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Ex2.xml" ContentType="application/vnd.ms-office.chartex+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kavitabhadja/Documents/Excel/Project/"/>
    </mc:Choice>
  </mc:AlternateContent>
  <xr:revisionPtr revIDLastSave="0" documentId="13_ncr:1_{361F7C73-150E-BD45-B6F4-203664B91B45}" xr6:coauthVersionLast="47" xr6:coauthVersionMax="47" xr10:uidLastSave="{00000000-0000-0000-0000-000000000000}"/>
  <bookViews>
    <workbookView xWindow="0" yWindow="500" windowWidth="33600" windowHeight="20500" activeTab="3" xr2:uid="{4993734B-31E9-D34F-AC80-04D035A3F67A}"/>
  </bookViews>
  <sheets>
    <sheet name="Raw Data" sheetId="13" r:id="rId1"/>
    <sheet name="financial_data" sheetId="11" r:id="rId2"/>
    <sheet name="Pivot" sheetId="6" r:id="rId3"/>
    <sheet name="Helper" sheetId="7" r:id="rId4"/>
    <sheet name="Dashboard" sheetId="9" r:id="rId5"/>
  </sheets>
  <definedNames>
    <definedName name="_xlchart.v1.0" hidden="1">Helper!$F$11:$F$14</definedName>
    <definedName name="_xlchart.v1.1" hidden="1">Helper!$G$11:$G$14</definedName>
    <definedName name="_xlchart.v1.2" hidden="1">Helper!$F$11:$F$14</definedName>
    <definedName name="_xlchart.v1.3" hidden="1">Helper!$G$11:$G$14</definedName>
    <definedName name="ExternalData_1" localSheetId="1" hidden="1">financial_data!$A$1:$P$701</definedName>
    <definedName name="ExternalData_1" localSheetId="0" hidden="1">'Raw Data'!$A$1:$P$701</definedName>
    <definedName name="Slicer_Country">#N/A</definedName>
    <definedName name="Slicer_Discount_Band">#N/A</definedName>
    <definedName name="Slicer_Product">#N/A</definedName>
    <definedName name="Slicer_Segment">#N/A</definedName>
    <definedName name="Slicer_Year">#N/A</definedName>
  </definedNames>
  <calcPr calcId="191029"/>
  <pivotCaches>
    <pivotCache cacheId="15"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52" i="9" l="1"/>
  <c r="Q2" i="11"/>
  <c r="Q3" i="11"/>
  <c r="Q4" i="11"/>
  <c r="Q5" i="11"/>
  <c r="Q6" i="11"/>
  <c r="Q7" i="11"/>
  <c r="Q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68" i="11"/>
  <c r="Q69" i="11"/>
  <c r="Q70" i="11"/>
  <c r="Q71" i="11"/>
  <c r="Q72" i="11"/>
  <c r="Q73" i="11"/>
  <c r="Q74" i="11"/>
  <c r="Q75" i="11"/>
  <c r="Q76" i="11"/>
  <c r="Q77" i="11"/>
  <c r="Q78" i="11"/>
  <c r="Q79" i="11"/>
  <c r="Q80" i="11"/>
  <c r="Q81" i="11"/>
  <c r="Q82" i="11"/>
  <c r="Q83" i="11"/>
  <c r="Q84" i="11"/>
  <c r="Q85" i="11"/>
  <c r="Q86" i="11"/>
  <c r="Q87" i="11"/>
  <c r="Q88" i="11"/>
  <c r="Q89" i="11"/>
  <c r="Q90" i="11"/>
  <c r="Q91" i="11"/>
  <c r="Q92" i="11"/>
  <c r="Q93" i="11"/>
  <c r="Q94" i="11"/>
  <c r="Q95" i="11"/>
  <c r="Q96" i="11"/>
  <c r="Q97" i="11"/>
  <c r="Q98" i="11"/>
  <c r="Q99" i="11"/>
  <c r="Q100" i="11"/>
  <c r="Q101" i="11"/>
  <c r="Q102" i="11"/>
  <c r="Q103" i="11"/>
  <c r="Q104" i="11"/>
  <c r="Q105" i="11"/>
  <c r="Q106" i="11"/>
  <c r="Q107" i="11"/>
  <c r="Q108" i="11"/>
  <c r="Q109" i="11"/>
  <c r="Q110" i="11"/>
  <c r="Q111" i="11"/>
  <c r="Q112" i="11"/>
  <c r="Q113" i="11"/>
  <c r="Q114" i="11"/>
  <c r="Q115" i="11"/>
  <c r="Q116" i="11"/>
  <c r="Q117" i="11"/>
  <c r="Q118" i="11"/>
  <c r="Q119" i="11"/>
  <c r="Q120" i="11"/>
  <c r="Q121" i="11"/>
  <c r="Q122" i="11"/>
  <c r="Q123" i="11"/>
  <c r="Q124" i="11"/>
  <c r="Q125" i="11"/>
  <c r="Q126" i="11"/>
  <c r="Q127" i="11"/>
  <c r="Q128" i="11"/>
  <c r="Q129" i="11"/>
  <c r="Q130" i="11"/>
  <c r="Q131" i="11"/>
  <c r="Q132" i="11"/>
  <c r="Q133" i="11"/>
  <c r="Q134" i="11"/>
  <c r="Q135" i="11"/>
  <c r="Q136" i="11"/>
  <c r="Q137" i="11"/>
  <c r="Q138" i="11"/>
  <c r="Q139" i="11"/>
  <c r="Q140" i="11"/>
  <c r="Q141" i="11"/>
  <c r="Q142" i="11"/>
  <c r="Q143" i="11"/>
  <c r="Q144" i="11"/>
  <c r="Q145" i="11"/>
  <c r="Q146" i="11"/>
  <c r="Q147" i="11"/>
  <c r="Q148" i="11"/>
  <c r="Q149" i="11"/>
  <c r="Q150" i="11"/>
  <c r="Q151" i="11"/>
  <c r="Q152" i="11"/>
  <c r="Q153" i="11"/>
  <c r="Q154" i="11"/>
  <c r="Q155" i="11"/>
  <c r="Q156" i="11"/>
  <c r="Q157" i="11"/>
  <c r="Q158" i="11"/>
  <c r="Q159" i="11"/>
  <c r="Q160" i="11"/>
  <c r="Q161" i="11"/>
  <c r="Q162" i="11"/>
  <c r="Q163" i="11"/>
  <c r="Q164" i="11"/>
  <c r="Q165" i="11"/>
  <c r="Q166" i="11"/>
  <c r="Q167" i="11"/>
  <c r="Q168" i="11"/>
  <c r="Q169" i="11"/>
  <c r="Q170" i="11"/>
  <c r="Q171" i="11"/>
  <c r="Q172" i="11"/>
  <c r="Q173" i="11"/>
  <c r="Q174" i="11"/>
  <c r="Q175" i="11"/>
  <c r="Q176" i="11"/>
  <c r="Q177" i="11"/>
  <c r="Q178" i="11"/>
  <c r="Q179" i="11"/>
  <c r="Q180" i="11"/>
  <c r="Q181" i="11"/>
  <c r="Q182" i="11"/>
  <c r="Q183" i="11"/>
  <c r="Q184" i="11"/>
  <c r="Q185" i="11"/>
  <c r="Q186" i="11"/>
  <c r="Q187" i="11"/>
  <c r="Q188" i="11"/>
  <c r="Q189" i="11"/>
  <c r="Q190" i="11"/>
  <c r="Q191" i="11"/>
  <c r="Q192" i="11"/>
  <c r="Q193" i="11"/>
  <c r="Q194" i="11"/>
  <c r="Q195" i="11"/>
  <c r="Q196" i="11"/>
  <c r="Q197" i="11"/>
  <c r="Q198" i="11"/>
  <c r="Q199" i="11"/>
  <c r="Q200" i="11"/>
  <c r="Q201" i="11"/>
  <c r="Q202" i="11"/>
  <c r="Q203" i="11"/>
  <c r="Q204" i="11"/>
  <c r="Q205" i="11"/>
  <c r="Q206" i="11"/>
  <c r="Q207" i="11"/>
  <c r="Q208" i="11"/>
  <c r="Q209" i="11"/>
  <c r="Q210" i="11"/>
  <c r="Q211" i="11"/>
  <c r="Q212" i="11"/>
  <c r="Q213" i="11"/>
  <c r="Q214" i="11"/>
  <c r="Q215" i="11"/>
  <c r="Q216" i="11"/>
  <c r="Q217" i="11"/>
  <c r="Q218" i="11"/>
  <c r="Q219" i="11"/>
  <c r="Q220" i="11"/>
  <c r="Q221" i="11"/>
  <c r="Q222" i="11"/>
  <c r="Q223" i="11"/>
  <c r="Q224" i="11"/>
  <c r="Q225" i="11"/>
  <c r="Q226" i="11"/>
  <c r="Q227" i="11"/>
  <c r="Q228" i="11"/>
  <c r="Q229" i="11"/>
  <c r="Q230" i="11"/>
  <c r="Q231" i="11"/>
  <c r="Q232" i="11"/>
  <c r="Q233" i="11"/>
  <c r="Q234" i="11"/>
  <c r="Q235" i="11"/>
  <c r="Q236" i="11"/>
  <c r="Q237" i="11"/>
  <c r="Q238" i="11"/>
  <c r="Q239" i="11"/>
  <c r="Q240" i="11"/>
  <c r="Q241" i="11"/>
  <c r="Q242" i="11"/>
  <c r="Q243" i="11"/>
  <c r="Q244" i="11"/>
  <c r="Q245" i="11"/>
  <c r="Q246" i="11"/>
  <c r="Q247" i="11"/>
  <c r="Q248" i="11"/>
  <c r="Q249" i="11"/>
  <c r="Q250" i="11"/>
  <c r="Q251" i="11"/>
  <c r="Q252" i="11"/>
  <c r="Q253" i="11"/>
  <c r="Q254" i="11"/>
  <c r="Q255" i="11"/>
  <c r="Q256" i="11"/>
  <c r="Q257" i="11"/>
  <c r="Q258" i="11"/>
  <c r="Q259" i="11"/>
  <c r="Q260" i="11"/>
  <c r="Q261" i="11"/>
  <c r="Q262" i="11"/>
  <c r="Q263" i="11"/>
  <c r="Q264" i="11"/>
  <c r="Q265" i="11"/>
  <c r="Q266" i="11"/>
  <c r="Q267" i="11"/>
  <c r="Q268" i="11"/>
  <c r="Q269" i="11"/>
  <c r="Q270" i="11"/>
  <c r="Q271" i="11"/>
  <c r="Q272" i="11"/>
  <c r="Q273" i="11"/>
  <c r="Q274" i="11"/>
  <c r="Q275" i="11"/>
  <c r="Q276" i="11"/>
  <c r="Q277" i="11"/>
  <c r="Q278" i="11"/>
  <c r="Q279" i="11"/>
  <c r="Q280" i="11"/>
  <c r="Q281" i="11"/>
  <c r="Q282" i="11"/>
  <c r="Q283" i="11"/>
  <c r="Q284" i="11"/>
  <c r="Q285" i="11"/>
  <c r="Q286" i="11"/>
  <c r="Q287" i="11"/>
  <c r="Q288" i="11"/>
  <c r="Q289" i="11"/>
  <c r="Q290" i="11"/>
  <c r="Q291" i="11"/>
  <c r="Q292" i="11"/>
  <c r="Q293" i="11"/>
  <c r="Q294" i="11"/>
  <c r="Q295" i="11"/>
  <c r="Q296" i="11"/>
  <c r="Q297" i="11"/>
  <c r="Q298" i="11"/>
  <c r="Q299" i="11"/>
  <c r="Q300" i="11"/>
  <c r="Q301" i="11"/>
  <c r="Q302" i="11"/>
  <c r="Q303" i="11"/>
  <c r="Q304" i="11"/>
  <c r="Q305" i="11"/>
  <c r="Q306" i="11"/>
  <c r="Q307" i="11"/>
  <c r="Q308" i="11"/>
  <c r="Q309" i="11"/>
  <c r="Q310" i="11"/>
  <c r="Q311" i="11"/>
  <c r="Q312" i="11"/>
  <c r="Q313" i="11"/>
  <c r="Q314" i="11"/>
  <c r="Q315" i="11"/>
  <c r="Q316" i="11"/>
  <c r="Q317" i="11"/>
  <c r="Q318"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Q393" i="11"/>
  <c r="Q394" i="11"/>
  <c r="Q395" i="11"/>
  <c r="Q396" i="11"/>
  <c r="Q397" i="11"/>
  <c r="Q398" i="11"/>
  <c r="Q399" i="11"/>
  <c r="Q400" i="11"/>
  <c r="Q401" i="11"/>
  <c r="Q402" i="11"/>
  <c r="Q403" i="11"/>
  <c r="Q404" i="11"/>
  <c r="Q405" i="11"/>
  <c r="Q406" i="11"/>
  <c r="Q407" i="11"/>
  <c r="Q408" i="11"/>
  <c r="Q409" i="11"/>
  <c r="Q410" i="11"/>
  <c r="Q411" i="11"/>
  <c r="Q412" i="11"/>
  <c r="Q413" i="11"/>
  <c r="Q414" i="11"/>
  <c r="Q415" i="11"/>
  <c r="Q416" i="11"/>
  <c r="Q417" i="11"/>
  <c r="Q418" i="11"/>
  <c r="Q419" i="11"/>
  <c r="Q420" i="11"/>
  <c r="Q421" i="11"/>
  <c r="Q422" i="11"/>
  <c r="Q423" i="11"/>
  <c r="Q424" i="11"/>
  <c r="Q425" i="11"/>
  <c r="Q426" i="11"/>
  <c r="Q427" i="11"/>
  <c r="Q428" i="11"/>
  <c r="Q429" i="11"/>
  <c r="Q430" i="11"/>
  <c r="Q431" i="11"/>
  <c r="Q432" i="11"/>
  <c r="Q433" i="11"/>
  <c r="Q434" i="11"/>
  <c r="Q435" i="11"/>
  <c r="Q436" i="11"/>
  <c r="Q437" i="11"/>
  <c r="Q438" i="11"/>
  <c r="Q439" i="11"/>
  <c r="Q440" i="11"/>
  <c r="Q441" i="11"/>
  <c r="Q442" i="11"/>
  <c r="Q443" i="11"/>
  <c r="Q444" i="11"/>
  <c r="Q445" i="11"/>
  <c r="Q446" i="11"/>
  <c r="Q447" i="11"/>
  <c r="Q448" i="11"/>
  <c r="Q449" i="11"/>
  <c r="Q450" i="11"/>
  <c r="Q451" i="11"/>
  <c r="Q452" i="11"/>
  <c r="Q453" i="11"/>
  <c r="Q454" i="11"/>
  <c r="Q455" i="11"/>
  <c r="Q456" i="11"/>
  <c r="Q457" i="11"/>
  <c r="Q458" i="11"/>
  <c r="Q459" i="11"/>
  <c r="Q460" i="11"/>
  <c r="Q461" i="11"/>
  <c r="Q462" i="11"/>
  <c r="Q463" i="11"/>
  <c r="Q464" i="11"/>
  <c r="Q465" i="11"/>
  <c r="Q466" i="11"/>
  <c r="Q467" i="11"/>
  <c r="Q468" i="11"/>
  <c r="Q469" i="11"/>
  <c r="Q470" i="11"/>
  <c r="Q471" i="11"/>
  <c r="Q472" i="11"/>
  <c r="Q473" i="11"/>
  <c r="Q474" i="11"/>
  <c r="Q475" i="11"/>
  <c r="Q476" i="11"/>
  <c r="Q477" i="11"/>
  <c r="Q478" i="11"/>
  <c r="Q479" i="11"/>
  <c r="Q480" i="11"/>
  <c r="Q481" i="11"/>
  <c r="Q482" i="11"/>
  <c r="Q483" i="11"/>
  <c r="Q484" i="11"/>
  <c r="Q485" i="11"/>
  <c r="Q486" i="11"/>
  <c r="Q487" i="11"/>
  <c r="Q488" i="11"/>
  <c r="Q489" i="11"/>
  <c r="Q490" i="11"/>
  <c r="Q491" i="11"/>
  <c r="Q492" i="11"/>
  <c r="Q493" i="11"/>
  <c r="Q494" i="11"/>
  <c r="Q495" i="11"/>
  <c r="Q496" i="11"/>
  <c r="Q497" i="11"/>
  <c r="Q498" i="11"/>
  <c r="Q499" i="11"/>
  <c r="Q500" i="11"/>
  <c r="Q501" i="11"/>
  <c r="Q502" i="11"/>
  <c r="Q503" i="11"/>
  <c r="Q504" i="11"/>
  <c r="Q505" i="11"/>
  <c r="Q506" i="11"/>
  <c r="Q507" i="11"/>
  <c r="Q508" i="11"/>
  <c r="Q509" i="11"/>
  <c r="Q510" i="11"/>
  <c r="Q511" i="11"/>
  <c r="Q512" i="11"/>
  <c r="Q513" i="11"/>
  <c r="Q514" i="11"/>
  <c r="Q515" i="11"/>
  <c r="Q516" i="11"/>
  <c r="Q517" i="11"/>
  <c r="Q518" i="11"/>
  <c r="Q519" i="11"/>
  <c r="Q520" i="11"/>
  <c r="Q521" i="11"/>
  <c r="Q522" i="11"/>
  <c r="Q523" i="11"/>
  <c r="Q524" i="11"/>
  <c r="Q525" i="11"/>
  <c r="Q526" i="11"/>
  <c r="Q527" i="11"/>
  <c r="Q528" i="11"/>
  <c r="Q529" i="11"/>
  <c r="Q530" i="11"/>
  <c r="Q531" i="11"/>
  <c r="Q532" i="11"/>
  <c r="Q533" i="11"/>
  <c r="Q534" i="11"/>
  <c r="Q535" i="11"/>
  <c r="Q536" i="11"/>
  <c r="Q537" i="11"/>
  <c r="Q538" i="11"/>
  <c r="Q539" i="11"/>
  <c r="Q540" i="11"/>
  <c r="Q541" i="11"/>
  <c r="Q542" i="11"/>
  <c r="Q543" i="11"/>
  <c r="Q544" i="11"/>
  <c r="Q545" i="11"/>
  <c r="Q546" i="11"/>
  <c r="Q547" i="11"/>
  <c r="Q548" i="11"/>
  <c r="Q549" i="11"/>
  <c r="Q550" i="11"/>
  <c r="Q551" i="11"/>
  <c r="Q552" i="11"/>
  <c r="Q553" i="11"/>
  <c r="Q554" i="11"/>
  <c r="Q555" i="11"/>
  <c r="Q556" i="11"/>
  <c r="Q557" i="11"/>
  <c r="Q558" i="11"/>
  <c r="Q559" i="11"/>
  <c r="Q560" i="11"/>
  <c r="Q561" i="11"/>
  <c r="Q562" i="11"/>
  <c r="Q563" i="11"/>
  <c r="Q564" i="11"/>
  <c r="Q565" i="11"/>
  <c r="Q566" i="11"/>
  <c r="Q567" i="11"/>
  <c r="Q568" i="11"/>
  <c r="Q569" i="11"/>
  <c r="Q570" i="11"/>
  <c r="Q571" i="11"/>
  <c r="Q572" i="11"/>
  <c r="Q573" i="11"/>
  <c r="Q574" i="11"/>
  <c r="Q575" i="11"/>
  <c r="Q576" i="11"/>
  <c r="Q577" i="11"/>
  <c r="Q578" i="11"/>
  <c r="Q579" i="11"/>
  <c r="Q580" i="11"/>
  <c r="Q581" i="11"/>
  <c r="Q582" i="11"/>
  <c r="Q583" i="11"/>
  <c r="Q584" i="11"/>
  <c r="Q585" i="11"/>
  <c r="Q586" i="11"/>
  <c r="Q587" i="11"/>
  <c r="Q588" i="11"/>
  <c r="Q589" i="11"/>
  <c r="Q590" i="11"/>
  <c r="Q591" i="11"/>
  <c r="Q592" i="11"/>
  <c r="Q593" i="11"/>
  <c r="Q594" i="11"/>
  <c r="Q595" i="11"/>
  <c r="Q596" i="11"/>
  <c r="Q597" i="11"/>
  <c r="Q598" i="11"/>
  <c r="Q599" i="11"/>
  <c r="Q600" i="11"/>
  <c r="Q601" i="11"/>
  <c r="Q602" i="11"/>
  <c r="Q603" i="11"/>
  <c r="Q604" i="11"/>
  <c r="Q605" i="11"/>
  <c r="Q606" i="11"/>
  <c r="Q607" i="11"/>
  <c r="Q608" i="11"/>
  <c r="Q609" i="11"/>
  <c r="Q610" i="11"/>
  <c r="Q611" i="11"/>
  <c r="Q612" i="11"/>
  <c r="Q613" i="11"/>
  <c r="Q614" i="11"/>
  <c r="Q615" i="11"/>
  <c r="Q616" i="11"/>
  <c r="Q617" i="11"/>
  <c r="Q618" i="11"/>
  <c r="Q619" i="11"/>
  <c r="Q620" i="11"/>
  <c r="Q621" i="11"/>
  <c r="Q622" i="11"/>
  <c r="Q623" i="11"/>
  <c r="Q624" i="11"/>
  <c r="Q625" i="11"/>
  <c r="Q626" i="11"/>
  <c r="Q627" i="11"/>
  <c r="Q628" i="11"/>
  <c r="Q629" i="11"/>
  <c r="Q630" i="11"/>
  <c r="Q631" i="11"/>
  <c r="Q632" i="11"/>
  <c r="Q633" i="11"/>
  <c r="Q634" i="11"/>
  <c r="Q635" i="11"/>
  <c r="Q636" i="11"/>
  <c r="Q637" i="11"/>
  <c r="Q638" i="11"/>
  <c r="Q639" i="11"/>
  <c r="Q640" i="11"/>
  <c r="Q641" i="11"/>
  <c r="Q642" i="11"/>
  <c r="Q643" i="11"/>
  <c r="Q644" i="11"/>
  <c r="Q645" i="11"/>
  <c r="Q646" i="11"/>
  <c r="Q647" i="11"/>
  <c r="Q648" i="11"/>
  <c r="Q649" i="11"/>
  <c r="Q650" i="11"/>
  <c r="Q651" i="11"/>
  <c r="Q652" i="11"/>
  <c r="Q653" i="11"/>
  <c r="Q654" i="11"/>
  <c r="Q655" i="11"/>
  <c r="Q656" i="11"/>
  <c r="Q657" i="11"/>
  <c r="Q658" i="11"/>
  <c r="Q659" i="11"/>
  <c r="Q660" i="11"/>
  <c r="Q661" i="11"/>
  <c r="Q662" i="11"/>
  <c r="Q663" i="11"/>
  <c r="Q664" i="11"/>
  <c r="Q665" i="11"/>
  <c r="Q666" i="11"/>
  <c r="Q667" i="11"/>
  <c r="Q668" i="11"/>
  <c r="Q669" i="11"/>
  <c r="Q670" i="11"/>
  <c r="Q671" i="11"/>
  <c r="Q672" i="11"/>
  <c r="Q673" i="11"/>
  <c r="Q674" i="11"/>
  <c r="Q675" i="11"/>
  <c r="Q676" i="11"/>
  <c r="Q677" i="11"/>
  <c r="Q678" i="11"/>
  <c r="Q679" i="11"/>
  <c r="Q680" i="11"/>
  <c r="Q681" i="11"/>
  <c r="Q682" i="11"/>
  <c r="Q683" i="11"/>
  <c r="Q684" i="11"/>
  <c r="Q685" i="11"/>
  <c r="Q686" i="11"/>
  <c r="Q687" i="11"/>
  <c r="Q688" i="11"/>
  <c r="Q689" i="11"/>
  <c r="Q690" i="11"/>
  <c r="Q691" i="11"/>
  <c r="Q692" i="11"/>
  <c r="Q693" i="11"/>
  <c r="Q694" i="11"/>
  <c r="Q695" i="11"/>
  <c r="Q696" i="11"/>
  <c r="Q697" i="11"/>
  <c r="Q698" i="11"/>
  <c r="Q699" i="11"/>
  <c r="Q700" i="11"/>
  <c r="Q701" i="11"/>
  <c r="R2" i="11"/>
  <c r="R3" i="11"/>
  <c r="R4" i="1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210" i="11"/>
  <c r="R211" i="11"/>
  <c r="R212" i="11"/>
  <c r="R213" i="11"/>
  <c r="R214" i="11"/>
  <c r="R215" i="11"/>
  <c r="R216" i="11"/>
  <c r="R217" i="11"/>
  <c r="R218" i="11"/>
  <c r="R219" i="11"/>
  <c r="R220" i="11"/>
  <c r="R221" i="11"/>
  <c r="R222" i="11"/>
  <c r="R223" i="11"/>
  <c r="R224" i="11"/>
  <c r="R225" i="11"/>
  <c r="R226" i="11"/>
  <c r="R227" i="11"/>
  <c r="R228" i="11"/>
  <c r="R229" i="11"/>
  <c r="R230" i="11"/>
  <c r="R231" i="11"/>
  <c r="R232" i="11"/>
  <c r="R233" i="11"/>
  <c r="R234" i="11"/>
  <c r="R235" i="11"/>
  <c r="R236" i="11"/>
  <c r="R237" i="11"/>
  <c r="R238" i="11"/>
  <c r="R239" i="11"/>
  <c r="R240" i="11"/>
  <c r="R241" i="11"/>
  <c r="R242" i="11"/>
  <c r="R243" i="11"/>
  <c r="R244" i="11"/>
  <c r="R245" i="11"/>
  <c r="R246" i="11"/>
  <c r="R247" i="11"/>
  <c r="R248" i="11"/>
  <c r="R249" i="11"/>
  <c r="R250" i="11"/>
  <c r="R251" i="11"/>
  <c r="R252" i="11"/>
  <c r="R253" i="11"/>
  <c r="R254" i="11"/>
  <c r="R255" i="11"/>
  <c r="R256" i="11"/>
  <c r="R257" i="11"/>
  <c r="R258" i="11"/>
  <c r="R259" i="11"/>
  <c r="R260" i="11"/>
  <c r="R261" i="11"/>
  <c r="R262" i="11"/>
  <c r="R263" i="11"/>
  <c r="R264" i="11"/>
  <c r="R265" i="11"/>
  <c r="R266" i="11"/>
  <c r="R267" i="11"/>
  <c r="R268" i="11"/>
  <c r="R269" i="11"/>
  <c r="R270" i="11"/>
  <c r="R271" i="11"/>
  <c r="R272" i="11"/>
  <c r="R273" i="11"/>
  <c r="R274" i="11"/>
  <c r="R275" i="11"/>
  <c r="R276" i="11"/>
  <c r="R277" i="11"/>
  <c r="R278" i="11"/>
  <c r="R279" i="11"/>
  <c r="R280" i="11"/>
  <c r="R281" i="11"/>
  <c r="R282" i="11"/>
  <c r="R283" i="11"/>
  <c r="R284" i="11"/>
  <c r="R285" i="11"/>
  <c r="R286" i="11"/>
  <c r="R287" i="11"/>
  <c r="R288" i="11"/>
  <c r="R289" i="11"/>
  <c r="R290" i="11"/>
  <c r="R291" i="11"/>
  <c r="R292" i="11"/>
  <c r="R293" i="11"/>
  <c r="R294" i="11"/>
  <c r="R295" i="11"/>
  <c r="R296" i="11"/>
  <c r="R297" i="11"/>
  <c r="R298" i="11"/>
  <c r="R299" i="11"/>
  <c r="R300" i="11"/>
  <c r="R301" i="11"/>
  <c r="R302" i="11"/>
  <c r="R303" i="11"/>
  <c r="R304" i="11"/>
  <c r="R305" i="11"/>
  <c r="R306" i="11"/>
  <c r="R307" i="11"/>
  <c r="R308" i="11"/>
  <c r="R309" i="11"/>
  <c r="R310" i="11"/>
  <c r="R311" i="11"/>
  <c r="R312" i="11"/>
  <c r="R313" i="11"/>
  <c r="R314" i="11"/>
  <c r="R315" i="11"/>
  <c r="R316" i="11"/>
  <c r="R317" i="11"/>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R393" i="11"/>
  <c r="R394" i="11"/>
  <c r="R395" i="11"/>
  <c r="R396" i="11"/>
  <c r="R397" i="11"/>
  <c r="R398" i="11"/>
  <c r="R399" i="11"/>
  <c r="R400" i="11"/>
  <c r="R401" i="11"/>
  <c r="R402" i="11"/>
  <c r="R403" i="11"/>
  <c r="R404" i="11"/>
  <c r="R405" i="11"/>
  <c r="R406" i="11"/>
  <c r="R407" i="11"/>
  <c r="R408" i="11"/>
  <c r="R409" i="11"/>
  <c r="R410" i="11"/>
  <c r="R411" i="11"/>
  <c r="R412" i="11"/>
  <c r="R413" i="11"/>
  <c r="R414" i="11"/>
  <c r="R415" i="11"/>
  <c r="R416" i="11"/>
  <c r="R417" i="11"/>
  <c r="R418" i="11"/>
  <c r="R419" i="11"/>
  <c r="R420" i="11"/>
  <c r="R421" i="11"/>
  <c r="R422" i="11"/>
  <c r="R423" i="11"/>
  <c r="R424" i="11"/>
  <c r="R425" i="11"/>
  <c r="R426" i="11"/>
  <c r="R427" i="11"/>
  <c r="R428" i="11"/>
  <c r="R429" i="11"/>
  <c r="R430" i="11"/>
  <c r="R431" i="11"/>
  <c r="R432" i="11"/>
  <c r="R433" i="11"/>
  <c r="R434" i="11"/>
  <c r="R435" i="11"/>
  <c r="R436" i="11"/>
  <c r="R437" i="11"/>
  <c r="R438" i="11"/>
  <c r="R439" i="11"/>
  <c r="R440" i="11"/>
  <c r="R441" i="11"/>
  <c r="R442" i="11"/>
  <c r="R443" i="11"/>
  <c r="R444" i="11"/>
  <c r="R445" i="11"/>
  <c r="R446" i="11"/>
  <c r="R447" i="11"/>
  <c r="R448" i="11"/>
  <c r="R449" i="11"/>
  <c r="R450" i="11"/>
  <c r="R451" i="11"/>
  <c r="R452" i="11"/>
  <c r="R453" i="11"/>
  <c r="R454" i="11"/>
  <c r="R455" i="11"/>
  <c r="R456" i="11"/>
  <c r="R457" i="11"/>
  <c r="R458" i="11"/>
  <c r="R459" i="11"/>
  <c r="R460" i="11"/>
  <c r="R461" i="11"/>
  <c r="R462" i="11"/>
  <c r="R463" i="11"/>
  <c r="R464" i="11"/>
  <c r="R465" i="11"/>
  <c r="R466" i="11"/>
  <c r="R467" i="11"/>
  <c r="R468" i="11"/>
  <c r="R469" i="11"/>
  <c r="R470" i="11"/>
  <c r="R471" i="11"/>
  <c r="R472" i="11"/>
  <c r="R473" i="11"/>
  <c r="R474" i="11"/>
  <c r="R475" i="11"/>
  <c r="R476" i="11"/>
  <c r="R477" i="11"/>
  <c r="R478" i="11"/>
  <c r="R479" i="11"/>
  <c r="R480" i="11"/>
  <c r="R481" i="11"/>
  <c r="R482" i="11"/>
  <c r="R483" i="11"/>
  <c r="R484" i="11"/>
  <c r="R485" i="11"/>
  <c r="R486" i="11"/>
  <c r="R487" i="11"/>
  <c r="R488" i="11"/>
  <c r="R489" i="11"/>
  <c r="R490" i="11"/>
  <c r="R491" i="11"/>
  <c r="R492" i="11"/>
  <c r="R493" i="11"/>
  <c r="R494" i="11"/>
  <c r="R495" i="11"/>
  <c r="R496" i="11"/>
  <c r="R497" i="11"/>
  <c r="R498" i="11"/>
  <c r="R499" i="11"/>
  <c r="R500" i="11"/>
  <c r="R501" i="11"/>
  <c r="R502" i="11"/>
  <c r="R503" i="11"/>
  <c r="R504" i="11"/>
  <c r="R505" i="11"/>
  <c r="R506" i="11"/>
  <c r="R507" i="11"/>
  <c r="R508" i="11"/>
  <c r="R509" i="11"/>
  <c r="R510" i="11"/>
  <c r="R511" i="11"/>
  <c r="R512" i="11"/>
  <c r="R513" i="11"/>
  <c r="R514" i="11"/>
  <c r="R515" i="11"/>
  <c r="R516" i="11"/>
  <c r="R517" i="11"/>
  <c r="R518" i="11"/>
  <c r="R519" i="11"/>
  <c r="R520" i="11"/>
  <c r="R521" i="11"/>
  <c r="R522" i="11"/>
  <c r="R523" i="11"/>
  <c r="R524" i="11"/>
  <c r="R525" i="11"/>
  <c r="R526" i="11"/>
  <c r="R527" i="11"/>
  <c r="R528" i="11"/>
  <c r="R529" i="11"/>
  <c r="R530" i="11"/>
  <c r="R531" i="11"/>
  <c r="R532" i="11"/>
  <c r="R533" i="11"/>
  <c r="R534" i="11"/>
  <c r="R535" i="11"/>
  <c r="R536" i="11"/>
  <c r="R537" i="11"/>
  <c r="R538" i="11"/>
  <c r="R539" i="11"/>
  <c r="R540" i="11"/>
  <c r="R541" i="11"/>
  <c r="R542" i="11"/>
  <c r="R543" i="11"/>
  <c r="R544" i="11"/>
  <c r="R545" i="11"/>
  <c r="R546" i="11"/>
  <c r="R547" i="11"/>
  <c r="R548" i="11"/>
  <c r="R549" i="11"/>
  <c r="R550" i="11"/>
  <c r="R551" i="11"/>
  <c r="R552" i="11"/>
  <c r="R553" i="11"/>
  <c r="R554" i="11"/>
  <c r="R555" i="11"/>
  <c r="R556" i="11"/>
  <c r="R557" i="11"/>
  <c r="R558" i="11"/>
  <c r="R559" i="11"/>
  <c r="R560" i="11"/>
  <c r="R561" i="11"/>
  <c r="R562" i="11"/>
  <c r="R563" i="11"/>
  <c r="R564" i="11"/>
  <c r="R565" i="11"/>
  <c r="R566" i="11"/>
  <c r="R567" i="11"/>
  <c r="R568" i="11"/>
  <c r="R569" i="11"/>
  <c r="R570" i="11"/>
  <c r="R571" i="11"/>
  <c r="R572" i="11"/>
  <c r="R573" i="11"/>
  <c r="R574" i="11"/>
  <c r="R575" i="11"/>
  <c r="R576" i="11"/>
  <c r="R577" i="11"/>
  <c r="R578" i="11"/>
  <c r="R579" i="11"/>
  <c r="R580" i="11"/>
  <c r="R581" i="11"/>
  <c r="R582" i="11"/>
  <c r="R583" i="11"/>
  <c r="R584" i="11"/>
  <c r="R585" i="11"/>
  <c r="R586" i="11"/>
  <c r="R587" i="11"/>
  <c r="R588" i="11"/>
  <c r="R589" i="11"/>
  <c r="R590" i="11"/>
  <c r="R591" i="11"/>
  <c r="R592" i="11"/>
  <c r="R593" i="11"/>
  <c r="R594" i="11"/>
  <c r="R595" i="11"/>
  <c r="R596" i="11"/>
  <c r="R597" i="11"/>
  <c r="R598" i="11"/>
  <c r="R599" i="11"/>
  <c r="R600" i="11"/>
  <c r="R601" i="11"/>
  <c r="R602" i="11"/>
  <c r="R603" i="11"/>
  <c r="R604" i="11"/>
  <c r="R605" i="11"/>
  <c r="R606" i="11"/>
  <c r="R607" i="11"/>
  <c r="R608" i="11"/>
  <c r="R609" i="11"/>
  <c r="R610" i="11"/>
  <c r="R611" i="11"/>
  <c r="R612" i="11"/>
  <c r="R613" i="11"/>
  <c r="R614" i="11"/>
  <c r="R615" i="11"/>
  <c r="R616" i="11"/>
  <c r="R617" i="11"/>
  <c r="R618" i="11"/>
  <c r="R619" i="11"/>
  <c r="R620" i="11"/>
  <c r="R621" i="11"/>
  <c r="R622" i="11"/>
  <c r="R623" i="11"/>
  <c r="R624" i="11"/>
  <c r="R625" i="11"/>
  <c r="R626" i="11"/>
  <c r="R627" i="11"/>
  <c r="R628" i="11"/>
  <c r="R629" i="11"/>
  <c r="R630" i="11"/>
  <c r="R631" i="11"/>
  <c r="R632" i="11"/>
  <c r="R633" i="11"/>
  <c r="R634" i="11"/>
  <c r="R635" i="11"/>
  <c r="R636" i="11"/>
  <c r="R637" i="11"/>
  <c r="R638" i="11"/>
  <c r="R639" i="11"/>
  <c r="R640" i="11"/>
  <c r="R641" i="11"/>
  <c r="R642" i="11"/>
  <c r="R643" i="11"/>
  <c r="R644" i="11"/>
  <c r="R645" i="11"/>
  <c r="R646" i="11"/>
  <c r="R647" i="11"/>
  <c r="R648" i="11"/>
  <c r="R649" i="11"/>
  <c r="R650" i="11"/>
  <c r="R651" i="11"/>
  <c r="R652" i="11"/>
  <c r="R653" i="11"/>
  <c r="R654" i="11"/>
  <c r="R655" i="11"/>
  <c r="R656" i="11"/>
  <c r="R657" i="11"/>
  <c r="R658" i="11"/>
  <c r="R659" i="11"/>
  <c r="R660" i="11"/>
  <c r="R661" i="11"/>
  <c r="R662" i="11"/>
  <c r="R663" i="11"/>
  <c r="R664" i="11"/>
  <c r="R665" i="11"/>
  <c r="R666" i="11"/>
  <c r="R667" i="11"/>
  <c r="R668" i="11"/>
  <c r="R669" i="11"/>
  <c r="R670" i="11"/>
  <c r="R671" i="11"/>
  <c r="R672" i="11"/>
  <c r="R673" i="11"/>
  <c r="R674" i="11"/>
  <c r="R675" i="11"/>
  <c r="R676" i="11"/>
  <c r="R677" i="11"/>
  <c r="R678" i="11"/>
  <c r="R679" i="11"/>
  <c r="R680" i="11"/>
  <c r="R681" i="11"/>
  <c r="R682" i="11"/>
  <c r="R683" i="11"/>
  <c r="R684" i="11"/>
  <c r="R685" i="11"/>
  <c r="R686" i="11"/>
  <c r="R687" i="11"/>
  <c r="R688" i="11"/>
  <c r="R689" i="11"/>
  <c r="R690" i="11"/>
  <c r="R691" i="11"/>
  <c r="R692" i="11"/>
  <c r="R693" i="11"/>
  <c r="R694" i="11"/>
  <c r="R695" i="11"/>
  <c r="R696" i="11"/>
  <c r="R697" i="11"/>
  <c r="R698" i="11"/>
  <c r="R699" i="11"/>
  <c r="R700" i="11"/>
  <c r="R701" i="11"/>
  <c r="S2" i="11"/>
  <c r="S3" i="11"/>
  <c r="S4" i="11"/>
  <c r="S5" i="11"/>
  <c r="S6" i="11"/>
  <c r="S7" i="11"/>
  <c r="S8"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S45" i="11"/>
  <c r="S46" i="11"/>
  <c r="S47" i="11"/>
  <c r="S48" i="11"/>
  <c r="S49" i="11"/>
  <c r="S50" i="11"/>
  <c r="S51" i="11"/>
  <c r="S52" i="11"/>
  <c r="S53" i="11"/>
  <c r="S54" i="11"/>
  <c r="S55" i="11"/>
  <c r="S56" i="11"/>
  <c r="S57" i="11"/>
  <c r="S58" i="11"/>
  <c r="S59" i="11"/>
  <c r="S60" i="11"/>
  <c r="S61" i="11"/>
  <c r="S62" i="11"/>
  <c r="S63" i="11"/>
  <c r="S64" i="11"/>
  <c r="S65" i="11"/>
  <c r="S66" i="11"/>
  <c r="S67" i="11"/>
  <c r="S68" i="11"/>
  <c r="S69" i="11"/>
  <c r="S70" i="11"/>
  <c r="S71" i="11"/>
  <c r="S72" i="11"/>
  <c r="S73" i="11"/>
  <c r="S74" i="11"/>
  <c r="S75" i="11"/>
  <c r="S76" i="11"/>
  <c r="S77" i="11"/>
  <c r="S78" i="11"/>
  <c r="S79" i="11"/>
  <c r="S80" i="11"/>
  <c r="S81" i="11"/>
  <c r="S82" i="11"/>
  <c r="S83" i="11"/>
  <c r="S84" i="11"/>
  <c r="S85" i="11"/>
  <c r="S86" i="11"/>
  <c r="S87" i="11"/>
  <c r="S88" i="11"/>
  <c r="S89" i="11"/>
  <c r="S90" i="11"/>
  <c r="S91" i="11"/>
  <c r="S92" i="11"/>
  <c r="S93" i="11"/>
  <c r="S94" i="11"/>
  <c r="S95" i="11"/>
  <c r="S96" i="11"/>
  <c r="S97" i="11"/>
  <c r="S98" i="11"/>
  <c r="S99" i="11"/>
  <c r="S100" i="11"/>
  <c r="S101" i="11"/>
  <c r="S102" i="11"/>
  <c r="S103" i="11"/>
  <c r="S104" i="11"/>
  <c r="S105" i="11"/>
  <c r="S106" i="11"/>
  <c r="S107" i="11"/>
  <c r="S108" i="11"/>
  <c r="S109" i="11"/>
  <c r="S110" i="11"/>
  <c r="S111" i="11"/>
  <c r="S112" i="11"/>
  <c r="S113" i="11"/>
  <c r="S114" i="11"/>
  <c r="S115" i="11"/>
  <c r="S116" i="11"/>
  <c r="S117" i="11"/>
  <c r="S118" i="11"/>
  <c r="S119" i="11"/>
  <c r="S120" i="11"/>
  <c r="S121" i="11"/>
  <c r="S122" i="11"/>
  <c r="S123" i="11"/>
  <c r="S124" i="11"/>
  <c r="S125" i="11"/>
  <c r="S126" i="11"/>
  <c r="S127" i="11"/>
  <c r="S128" i="11"/>
  <c r="S129" i="11"/>
  <c r="S130" i="11"/>
  <c r="S131" i="11"/>
  <c r="S132" i="11"/>
  <c r="S133" i="11"/>
  <c r="S134" i="11"/>
  <c r="S135" i="11"/>
  <c r="S136" i="11"/>
  <c r="S137" i="11"/>
  <c r="S138" i="11"/>
  <c r="S139" i="11"/>
  <c r="S140" i="11"/>
  <c r="S141" i="11"/>
  <c r="S142" i="11"/>
  <c r="S143" i="11"/>
  <c r="S144" i="11"/>
  <c r="S145" i="11"/>
  <c r="S146" i="11"/>
  <c r="S147" i="11"/>
  <c r="S148" i="11"/>
  <c r="S149" i="11"/>
  <c r="S150" i="11"/>
  <c r="S151" i="11"/>
  <c r="S152" i="11"/>
  <c r="S153" i="11"/>
  <c r="S154" i="11"/>
  <c r="S155" i="11"/>
  <c r="S156" i="11"/>
  <c r="S157" i="11"/>
  <c r="S158" i="11"/>
  <c r="S159" i="11"/>
  <c r="S160" i="11"/>
  <c r="S161" i="11"/>
  <c r="S162" i="11"/>
  <c r="S163" i="11"/>
  <c r="S164" i="11"/>
  <c r="S165" i="11"/>
  <c r="S166" i="11"/>
  <c r="S167" i="11"/>
  <c r="S168" i="11"/>
  <c r="S169" i="11"/>
  <c r="S170" i="11"/>
  <c r="S171" i="11"/>
  <c r="S172" i="11"/>
  <c r="S173" i="11"/>
  <c r="S174" i="11"/>
  <c r="S175" i="11"/>
  <c r="S176" i="11"/>
  <c r="S177" i="11"/>
  <c r="S178" i="11"/>
  <c r="S179" i="11"/>
  <c r="S180" i="11"/>
  <c r="S181" i="11"/>
  <c r="S182" i="11"/>
  <c r="S183" i="11"/>
  <c r="S184" i="11"/>
  <c r="S185" i="11"/>
  <c r="S186" i="11"/>
  <c r="S187" i="11"/>
  <c r="S188" i="11"/>
  <c r="S189" i="11"/>
  <c r="S190" i="11"/>
  <c r="S191" i="11"/>
  <c r="S192" i="11"/>
  <c r="S193" i="11"/>
  <c r="S194" i="11"/>
  <c r="S195" i="11"/>
  <c r="S196" i="11"/>
  <c r="S197" i="11"/>
  <c r="S198" i="11"/>
  <c r="S199" i="11"/>
  <c r="S200" i="11"/>
  <c r="S201" i="11"/>
  <c r="S202" i="11"/>
  <c r="S203" i="11"/>
  <c r="S204" i="11"/>
  <c r="S205" i="11"/>
  <c r="S206" i="11"/>
  <c r="S207" i="11"/>
  <c r="S208" i="11"/>
  <c r="S209" i="11"/>
  <c r="S210" i="11"/>
  <c r="S211" i="11"/>
  <c r="S212" i="11"/>
  <c r="S213" i="11"/>
  <c r="S214" i="11"/>
  <c r="S215" i="11"/>
  <c r="S216" i="11"/>
  <c r="S217" i="11"/>
  <c r="S218" i="11"/>
  <c r="S219" i="11"/>
  <c r="S220" i="11"/>
  <c r="S221" i="11"/>
  <c r="S222" i="11"/>
  <c r="S223" i="11"/>
  <c r="S224" i="11"/>
  <c r="S225" i="11"/>
  <c r="S226" i="11"/>
  <c r="S227" i="11"/>
  <c r="S228" i="11"/>
  <c r="S229" i="11"/>
  <c r="S230" i="11"/>
  <c r="S231" i="11"/>
  <c r="S232" i="11"/>
  <c r="S233" i="11"/>
  <c r="S234" i="11"/>
  <c r="S235" i="11"/>
  <c r="S236" i="11"/>
  <c r="S237" i="11"/>
  <c r="S238" i="11"/>
  <c r="S239" i="11"/>
  <c r="S240" i="11"/>
  <c r="S241" i="11"/>
  <c r="S242" i="11"/>
  <c r="S243" i="11"/>
  <c r="S244" i="11"/>
  <c r="S245" i="11"/>
  <c r="S246" i="11"/>
  <c r="S247" i="11"/>
  <c r="S248" i="11"/>
  <c r="S249" i="11"/>
  <c r="S250" i="11"/>
  <c r="S251" i="11"/>
  <c r="S252" i="11"/>
  <c r="S253" i="11"/>
  <c r="S254" i="11"/>
  <c r="S255" i="11"/>
  <c r="S256" i="11"/>
  <c r="S257" i="11"/>
  <c r="S258" i="11"/>
  <c r="S259" i="11"/>
  <c r="S260" i="11"/>
  <c r="S261" i="11"/>
  <c r="S262" i="11"/>
  <c r="S263" i="11"/>
  <c r="S264" i="11"/>
  <c r="S265" i="11"/>
  <c r="S266" i="11"/>
  <c r="S267" i="11"/>
  <c r="S268" i="11"/>
  <c r="S269" i="11"/>
  <c r="S270" i="11"/>
  <c r="S271" i="11"/>
  <c r="S272" i="11"/>
  <c r="S273" i="11"/>
  <c r="S274" i="11"/>
  <c r="S275" i="11"/>
  <c r="S276" i="11"/>
  <c r="S277" i="11"/>
  <c r="S278" i="11"/>
  <c r="S279" i="11"/>
  <c r="S280" i="11"/>
  <c r="S281" i="11"/>
  <c r="S282" i="11"/>
  <c r="S283" i="11"/>
  <c r="S284" i="11"/>
  <c r="S285" i="11"/>
  <c r="S286" i="11"/>
  <c r="S287" i="11"/>
  <c r="S288" i="11"/>
  <c r="S289" i="11"/>
  <c r="S290" i="11"/>
  <c r="S291" i="11"/>
  <c r="S292" i="11"/>
  <c r="S293" i="11"/>
  <c r="S294" i="11"/>
  <c r="S295" i="11"/>
  <c r="S296" i="11"/>
  <c r="S297" i="11"/>
  <c r="S298" i="11"/>
  <c r="S299" i="11"/>
  <c r="S300" i="11"/>
  <c r="S301" i="11"/>
  <c r="S302" i="11"/>
  <c r="S303" i="11"/>
  <c r="S304" i="11"/>
  <c r="S305" i="11"/>
  <c r="S306" i="11"/>
  <c r="S307" i="11"/>
  <c r="S308" i="11"/>
  <c r="S309" i="11"/>
  <c r="S310" i="11"/>
  <c r="S311" i="11"/>
  <c r="S312" i="11"/>
  <c r="S313" i="11"/>
  <c r="S314" i="11"/>
  <c r="S315" i="11"/>
  <c r="S316" i="11"/>
  <c r="S317" i="11"/>
  <c r="S318" i="11"/>
  <c r="S319" i="11"/>
  <c r="S320" i="11"/>
  <c r="S321" i="11"/>
  <c r="S322" i="11"/>
  <c r="S323" i="11"/>
  <c r="S324" i="11"/>
  <c r="S325" i="11"/>
  <c r="S326" i="11"/>
  <c r="S327" i="11"/>
  <c r="S328" i="11"/>
  <c r="S329" i="11"/>
  <c r="S330" i="11"/>
  <c r="S331" i="11"/>
  <c r="S332" i="11"/>
  <c r="S333" i="11"/>
  <c r="S334" i="11"/>
  <c r="S335" i="11"/>
  <c r="S336" i="11"/>
  <c r="S337" i="11"/>
  <c r="S338" i="11"/>
  <c r="S339" i="11"/>
  <c r="S340" i="11"/>
  <c r="S341" i="11"/>
  <c r="S342" i="11"/>
  <c r="S343" i="11"/>
  <c r="S344" i="11"/>
  <c r="S345" i="11"/>
  <c r="S346" i="11"/>
  <c r="S347" i="11"/>
  <c r="S348" i="11"/>
  <c r="S349" i="11"/>
  <c r="S350" i="11"/>
  <c r="S351" i="11"/>
  <c r="S352" i="11"/>
  <c r="S353" i="11"/>
  <c r="S354" i="11"/>
  <c r="S355" i="11"/>
  <c r="S356" i="11"/>
  <c r="S357" i="11"/>
  <c r="S358" i="11"/>
  <c r="S359" i="11"/>
  <c r="S360" i="11"/>
  <c r="S361" i="11"/>
  <c r="S362" i="11"/>
  <c r="S363" i="11"/>
  <c r="S364" i="11"/>
  <c r="S365" i="11"/>
  <c r="S366" i="11"/>
  <c r="S367" i="11"/>
  <c r="S368" i="11"/>
  <c r="S369" i="11"/>
  <c r="S370" i="11"/>
  <c r="S371" i="11"/>
  <c r="S372" i="11"/>
  <c r="S373" i="11"/>
  <c r="S374" i="11"/>
  <c r="S375" i="11"/>
  <c r="S376" i="11"/>
  <c r="S377" i="11"/>
  <c r="S378" i="11"/>
  <c r="S379" i="11"/>
  <c r="S380" i="11"/>
  <c r="S381" i="11"/>
  <c r="S382" i="11"/>
  <c r="S383" i="11"/>
  <c r="S384" i="11"/>
  <c r="S385" i="11"/>
  <c r="S386" i="11"/>
  <c r="S387" i="11"/>
  <c r="S388" i="11"/>
  <c r="S389" i="11"/>
  <c r="S390" i="11"/>
  <c r="S391" i="11"/>
  <c r="S392" i="11"/>
  <c r="S393" i="11"/>
  <c r="S394" i="11"/>
  <c r="S395" i="11"/>
  <c r="S396" i="11"/>
  <c r="S397" i="11"/>
  <c r="S398" i="11"/>
  <c r="S399" i="11"/>
  <c r="S400" i="11"/>
  <c r="S401" i="11"/>
  <c r="S402" i="11"/>
  <c r="S403" i="11"/>
  <c r="S404" i="11"/>
  <c r="S405" i="11"/>
  <c r="S406" i="11"/>
  <c r="S407" i="11"/>
  <c r="S408" i="11"/>
  <c r="S409" i="11"/>
  <c r="S410" i="11"/>
  <c r="S411" i="11"/>
  <c r="S412" i="11"/>
  <c r="S413" i="11"/>
  <c r="S414" i="11"/>
  <c r="S415" i="11"/>
  <c r="S416" i="11"/>
  <c r="S417" i="11"/>
  <c r="S418" i="11"/>
  <c r="S419" i="11"/>
  <c r="S420" i="11"/>
  <c r="S421" i="11"/>
  <c r="S422" i="11"/>
  <c r="S423" i="11"/>
  <c r="S424" i="11"/>
  <c r="S425" i="11"/>
  <c r="S426" i="11"/>
  <c r="S427" i="11"/>
  <c r="S428" i="11"/>
  <c r="S429" i="11"/>
  <c r="S430" i="11"/>
  <c r="S431" i="11"/>
  <c r="S432" i="11"/>
  <c r="S433" i="11"/>
  <c r="S434" i="11"/>
  <c r="S435" i="11"/>
  <c r="S436" i="11"/>
  <c r="S437" i="11"/>
  <c r="S438" i="11"/>
  <c r="S439" i="11"/>
  <c r="S440" i="11"/>
  <c r="S441" i="11"/>
  <c r="S442" i="11"/>
  <c r="S443" i="11"/>
  <c r="S444" i="11"/>
  <c r="S445" i="11"/>
  <c r="S446" i="11"/>
  <c r="S447" i="11"/>
  <c r="S448" i="11"/>
  <c r="S449" i="11"/>
  <c r="S450" i="11"/>
  <c r="S451" i="11"/>
  <c r="S452" i="11"/>
  <c r="S453" i="11"/>
  <c r="S454" i="11"/>
  <c r="S455" i="11"/>
  <c r="S456" i="11"/>
  <c r="S457" i="11"/>
  <c r="S458" i="11"/>
  <c r="S459" i="11"/>
  <c r="S460" i="11"/>
  <c r="S461" i="11"/>
  <c r="S462" i="11"/>
  <c r="S463" i="11"/>
  <c r="S464" i="11"/>
  <c r="S465" i="11"/>
  <c r="S466" i="11"/>
  <c r="S467" i="11"/>
  <c r="S468" i="11"/>
  <c r="S469" i="11"/>
  <c r="S470" i="11"/>
  <c r="S471" i="11"/>
  <c r="S472" i="11"/>
  <c r="S473" i="11"/>
  <c r="S474" i="11"/>
  <c r="S475" i="11"/>
  <c r="S476" i="11"/>
  <c r="S477" i="11"/>
  <c r="S478" i="11"/>
  <c r="S479" i="11"/>
  <c r="S480" i="11"/>
  <c r="S481" i="11"/>
  <c r="S482" i="11"/>
  <c r="S483" i="11"/>
  <c r="S484" i="11"/>
  <c r="S485" i="11"/>
  <c r="S486" i="11"/>
  <c r="S487" i="11"/>
  <c r="S488" i="11"/>
  <c r="S489" i="11"/>
  <c r="S490" i="11"/>
  <c r="S491" i="11"/>
  <c r="S492" i="11"/>
  <c r="S493" i="11"/>
  <c r="S494" i="11"/>
  <c r="S495" i="11"/>
  <c r="S496" i="11"/>
  <c r="S497" i="11"/>
  <c r="S498" i="11"/>
  <c r="S499" i="11"/>
  <c r="S500" i="11"/>
  <c r="S501" i="11"/>
  <c r="S502" i="11"/>
  <c r="S503" i="11"/>
  <c r="S504" i="11"/>
  <c r="S505" i="11"/>
  <c r="S506" i="11"/>
  <c r="S507" i="11"/>
  <c r="S508" i="11"/>
  <c r="S509" i="11"/>
  <c r="S510" i="11"/>
  <c r="S511" i="11"/>
  <c r="S512" i="11"/>
  <c r="S513" i="11"/>
  <c r="S514" i="11"/>
  <c r="S515" i="11"/>
  <c r="S516" i="11"/>
  <c r="S517" i="11"/>
  <c r="S518" i="11"/>
  <c r="S519" i="11"/>
  <c r="S520" i="11"/>
  <c r="S521" i="11"/>
  <c r="S522" i="11"/>
  <c r="S523" i="11"/>
  <c r="S524" i="11"/>
  <c r="S525" i="11"/>
  <c r="S526" i="11"/>
  <c r="S527" i="11"/>
  <c r="S528" i="11"/>
  <c r="S529" i="11"/>
  <c r="S530" i="11"/>
  <c r="S531" i="11"/>
  <c r="S532" i="11"/>
  <c r="S533" i="11"/>
  <c r="S534" i="11"/>
  <c r="S535" i="11"/>
  <c r="S536" i="11"/>
  <c r="S537" i="11"/>
  <c r="S538" i="11"/>
  <c r="S539" i="11"/>
  <c r="S540" i="11"/>
  <c r="S541" i="11"/>
  <c r="S542" i="11"/>
  <c r="S543" i="11"/>
  <c r="S544" i="11"/>
  <c r="S545" i="11"/>
  <c r="S546" i="11"/>
  <c r="S547" i="11"/>
  <c r="S548" i="11"/>
  <c r="S549" i="11"/>
  <c r="S550" i="11"/>
  <c r="S551" i="11"/>
  <c r="S552" i="11"/>
  <c r="S553" i="11"/>
  <c r="S554" i="11"/>
  <c r="S555" i="11"/>
  <c r="S556" i="11"/>
  <c r="S557" i="11"/>
  <c r="S558" i="11"/>
  <c r="S559" i="11"/>
  <c r="S560" i="11"/>
  <c r="S561" i="11"/>
  <c r="S562" i="11"/>
  <c r="S563" i="11"/>
  <c r="S564" i="11"/>
  <c r="S565" i="11"/>
  <c r="S566" i="11"/>
  <c r="S567" i="11"/>
  <c r="S568" i="11"/>
  <c r="S569" i="11"/>
  <c r="S570" i="11"/>
  <c r="S571" i="11"/>
  <c r="S572" i="11"/>
  <c r="S573" i="11"/>
  <c r="S574" i="11"/>
  <c r="S575" i="11"/>
  <c r="S576" i="11"/>
  <c r="S577" i="11"/>
  <c r="S578" i="11"/>
  <c r="S579" i="11"/>
  <c r="S580" i="11"/>
  <c r="S581" i="11"/>
  <c r="S582" i="11"/>
  <c r="S583" i="11"/>
  <c r="S584" i="11"/>
  <c r="S585" i="11"/>
  <c r="S586" i="11"/>
  <c r="S587" i="11"/>
  <c r="S588" i="11"/>
  <c r="S589" i="11"/>
  <c r="S590" i="11"/>
  <c r="S591" i="11"/>
  <c r="S592" i="11"/>
  <c r="S593" i="11"/>
  <c r="S594" i="11"/>
  <c r="S595" i="11"/>
  <c r="S596" i="11"/>
  <c r="S597" i="11"/>
  <c r="S598" i="11"/>
  <c r="S599" i="11"/>
  <c r="S600" i="11"/>
  <c r="S601" i="11"/>
  <c r="S602" i="11"/>
  <c r="S603" i="11"/>
  <c r="S604" i="11"/>
  <c r="S605" i="11"/>
  <c r="S606" i="11"/>
  <c r="S607" i="11"/>
  <c r="S608" i="11"/>
  <c r="S609" i="11"/>
  <c r="S610" i="11"/>
  <c r="S611" i="11"/>
  <c r="S612" i="11"/>
  <c r="S613" i="11"/>
  <c r="S614" i="11"/>
  <c r="S615" i="11"/>
  <c r="S616" i="11"/>
  <c r="S617" i="11"/>
  <c r="S618" i="11"/>
  <c r="S619" i="11"/>
  <c r="S620" i="11"/>
  <c r="S621" i="11"/>
  <c r="S622" i="11"/>
  <c r="S623" i="11"/>
  <c r="S624" i="11"/>
  <c r="S625" i="11"/>
  <c r="S626" i="11"/>
  <c r="S627" i="11"/>
  <c r="S628" i="11"/>
  <c r="S629" i="11"/>
  <c r="S630" i="11"/>
  <c r="S631" i="11"/>
  <c r="S632" i="11"/>
  <c r="S633" i="11"/>
  <c r="S634" i="11"/>
  <c r="S635" i="11"/>
  <c r="S636" i="11"/>
  <c r="S637" i="11"/>
  <c r="S638" i="11"/>
  <c r="S639" i="11"/>
  <c r="S640" i="11"/>
  <c r="S641" i="11"/>
  <c r="S642" i="11"/>
  <c r="S643" i="11"/>
  <c r="S644" i="11"/>
  <c r="S645" i="11"/>
  <c r="S646" i="11"/>
  <c r="S647" i="11"/>
  <c r="S648" i="11"/>
  <c r="S649" i="11"/>
  <c r="S650" i="11"/>
  <c r="S651" i="11"/>
  <c r="S652" i="11"/>
  <c r="S653" i="11"/>
  <c r="S654" i="11"/>
  <c r="S655" i="11"/>
  <c r="S656" i="11"/>
  <c r="S657" i="11"/>
  <c r="S658" i="11"/>
  <c r="S659" i="11"/>
  <c r="S660" i="11"/>
  <c r="S661" i="11"/>
  <c r="S662" i="11"/>
  <c r="S663" i="11"/>
  <c r="S664" i="11"/>
  <c r="S665" i="11"/>
  <c r="S666" i="11"/>
  <c r="S667" i="11"/>
  <c r="S668" i="11"/>
  <c r="S669" i="11"/>
  <c r="S670" i="11"/>
  <c r="S671" i="11"/>
  <c r="S672" i="11"/>
  <c r="S673" i="11"/>
  <c r="S674" i="11"/>
  <c r="S675" i="11"/>
  <c r="S676" i="11"/>
  <c r="S677" i="11"/>
  <c r="S678" i="11"/>
  <c r="S679" i="11"/>
  <c r="S680" i="11"/>
  <c r="S681" i="11"/>
  <c r="S682" i="11"/>
  <c r="S683" i="11"/>
  <c r="S684" i="11"/>
  <c r="S685" i="11"/>
  <c r="S686" i="11"/>
  <c r="S687" i="11"/>
  <c r="S688" i="11"/>
  <c r="S689" i="11"/>
  <c r="S690" i="11"/>
  <c r="S691" i="11"/>
  <c r="S692" i="11"/>
  <c r="S693" i="11"/>
  <c r="S694" i="11"/>
  <c r="S695" i="11"/>
  <c r="S696" i="11"/>
  <c r="S697" i="11"/>
  <c r="S698" i="11"/>
  <c r="S699" i="11"/>
  <c r="S700" i="11"/>
  <c r="S701" i="11"/>
  <c r="T2" i="11"/>
  <c r="T3" i="11"/>
  <c r="T4" i="11"/>
  <c r="T5" i="11"/>
  <c r="T6" i="11"/>
  <c r="T7" i="11"/>
  <c r="T8" i="11"/>
  <c r="T9" i="11"/>
  <c r="T10" i="11"/>
  <c r="T11" i="11"/>
  <c r="T12" i="11"/>
  <c r="T13" i="11"/>
  <c r="T14" i="11"/>
  <c r="T15" i="11"/>
  <c r="T16" i="11"/>
  <c r="T17" i="11"/>
  <c r="T18" i="11"/>
  <c r="T19" i="11"/>
  <c r="T20" i="11"/>
  <c r="T21" i="11"/>
  <c r="T22" i="11"/>
  <c r="T23" i="11"/>
  <c r="T24" i="11"/>
  <c r="T25" i="11"/>
  <c r="T26" i="11"/>
  <c r="T27" i="11"/>
  <c r="T28" i="11"/>
  <c r="T29" i="11"/>
  <c r="T30" i="11"/>
  <c r="T31" i="11"/>
  <c r="T32" i="11"/>
  <c r="T33" i="11"/>
  <c r="T34" i="11"/>
  <c r="T35" i="11"/>
  <c r="T36" i="11"/>
  <c r="T37" i="11"/>
  <c r="T38" i="11"/>
  <c r="T39" i="11"/>
  <c r="T40" i="11"/>
  <c r="T41" i="11"/>
  <c r="T42" i="11"/>
  <c r="T43" i="11"/>
  <c r="T44" i="11"/>
  <c r="T45" i="11"/>
  <c r="T46" i="11"/>
  <c r="T47" i="11"/>
  <c r="T48" i="11"/>
  <c r="T49" i="11"/>
  <c r="T50" i="11"/>
  <c r="T51" i="11"/>
  <c r="T52" i="11"/>
  <c r="T53" i="11"/>
  <c r="T54" i="11"/>
  <c r="T55" i="11"/>
  <c r="T56" i="11"/>
  <c r="T57" i="11"/>
  <c r="T58" i="11"/>
  <c r="T59" i="11"/>
  <c r="T60" i="11"/>
  <c r="T61" i="11"/>
  <c r="T62" i="11"/>
  <c r="T63" i="11"/>
  <c r="T64" i="11"/>
  <c r="T65" i="11"/>
  <c r="T66" i="11"/>
  <c r="T67" i="11"/>
  <c r="T68" i="11"/>
  <c r="T69" i="11"/>
  <c r="T70" i="11"/>
  <c r="T71" i="11"/>
  <c r="T72" i="11"/>
  <c r="T73" i="11"/>
  <c r="T74" i="11"/>
  <c r="T75" i="11"/>
  <c r="T76" i="11"/>
  <c r="T77" i="11"/>
  <c r="T78" i="11"/>
  <c r="T79" i="11"/>
  <c r="T80" i="11"/>
  <c r="T81" i="11"/>
  <c r="T82" i="11"/>
  <c r="T83" i="11"/>
  <c r="T84" i="11"/>
  <c r="T85" i="11"/>
  <c r="T86" i="11"/>
  <c r="T87" i="11"/>
  <c r="T88" i="11"/>
  <c r="T89" i="11"/>
  <c r="T90" i="11"/>
  <c r="T91" i="11"/>
  <c r="T92" i="11"/>
  <c r="T93" i="11"/>
  <c r="T94" i="11"/>
  <c r="T95" i="11"/>
  <c r="T96" i="11"/>
  <c r="T97" i="11"/>
  <c r="T98" i="11"/>
  <c r="T99" i="11"/>
  <c r="T100" i="11"/>
  <c r="T101" i="11"/>
  <c r="T102" i="11"/>
  <c r="T103" i="11"/>
  <c r="T104" i="11"/>
  <c r="T105" i="11"/>
  <c r="T106" i="11"/>
  <c r="T107" i="11"/>
  <c r="T108" i="11"/>
  <c r="T109" i="11"/>
  <c r="T110" i="11"/>
  <c r="T111" i="11"/>
  <c r="T112" i="11"/>
  <c r="T113" i="11"/>
  <c r="T114" i="11"/>
  <c r="T115" i="11"/>
  <c r="T116" i="11"/>
  <c r="T117" i="11"/>
  <c r="T118" i="11"/>
  <c r="T119" i="11"/>
  <c r="T120" i="11"/>
  <c r="T121" i="11"/>
  <c r="T122" i="11"/>
  <c r="T123" i="11"/>
  <c r="T124" i="11"/>
  <c r="T125" i="11"/>
  <c r="T126" i="11"/>
  <c r="T127" i="11"/>
  <c r="T128" i="11"/>
  <c r="T129" i="11"/>
  <c r="T130" i="11"/>
  <c r="T131" i="11"/>
  <c r="T132" i="11"/>
  <c r="T133" i="11"/>
  <c r="T134" i="11"/>
  <c r="T135" i="11"/>
  <c r="T136" i="11"/>
  <c r="T137" i="11"/>
  <c r="T138" i="11"/>
  <c r="T139" i="11"/>
  <c r="T140" i="11"/>
  <c r="T141" i="11"/>
  <c r="T142" i="11"/>
  <c r="T143" i="11"/>
  <c r="T144" i="11"/>
  <c r="T145" i="11"/>
  <c r="T146" i="11"/>
  <c r="T147" i="11"/>
  <c r="T148" i="11"/>
  <c r="T149" i="11"/>
  <c r="T150" i="11"/>
  <c r="T151" i="11"/>
  <c r="T152" i="11"/>
  <c r="T153" i="11"/>
  <c r="T154" i="11"/>
  <c r="T155" i="11"/>
  <c r="T156" i="11"/>
  <c r="T157" i="11"/>
  <c r="T158" i="11"/>
  <c r="T159" i="11"/>
  <c r="T160" i="11"/>
  <c r="T161" i="11"/>
  <c r="T162" i="11"/>
  <c r="T163" i="11"/>
  <c r="T164" i="11"/>
  <c r="T165" i="11"/>
  <c r="T166" i="11"/>
  <c r="T167" i="11"/>
  <c r="T168" i="11"/>
  <c r="T169" i="11"/>
  <c r="T170" i="11"/>
  <c r="T171" i="11"/>
  <c r="T172" i="11"/>
  <c r="T173" i="11"/>
  <c r="T174" i="11"/>
  <c r="T175" i="11"/>
  <c r="T176" i="11"/>
  <c r="T177" i="11"/>
  <c r="T178" i="11"/>
  <c r="T179" i="11"/>
  <c r="T180" i="11"/>
  <c r="T181" i="11"/>
  <c r="T182" i="11"/>
  <c r="T183" i="11"/>
  <c r="T184" i="11"/>
  <c r="T185" i="11"/>
  <c r="T186" i="11"/>
  <c r="T187" i="11"/>
  <c r="T188" i="11"/>
  <c r="T189" i="11"/>
  <c r="T190" i="11"/>
  <c r="T191" i="11"/>
  <c r="T192" i="11"/>
  <c r="T193" i="11"/>
  <c r="T194" i="11"/>
  <c r="T195" i="11"/>
  <c r="T196" i="11"/>
  <c r="T197" i="11"/>
  <c r="T198" i="11"/>
  <c r="T199" i="11"/>
  <c r="T200" i="11"/>
  <c r="T201" i="11"/>
  <c r="T202" i="11"/>
  <c r="T203" i="11"/>
  <c r="T204" i="11"/>
  <c r="T205" i="11"/>
  <c r="T206" i="11"/>
  <c r="T207" i="11"/>
  <c r="T208" i="11"/>
  <c r="T209" i="11"/>
  <c r="T210" i="11"/>
  <c r="T211" i="11"/>
  <c r="T212" i="11"/>
  <c r="T213" i="11"/>
  <c r="T214" i="11"/>
  <c r="T215" i="11"/>
  <c r="T216" i="11"/>
  <c r="T217" i="11"/>
  <c r="T218" i="11"/>
  <c r="T219" i="11"/>
  <c r="T220" i="11"/>
  <c r="T221" i="11"/>
  <c r="T222" i="11"/>
  <c r="T223" i="11"/>
  <c r="T224" i="11"/>
  <c r="T225" i="11"/>
  <c r="T226" i="11"/>
  <c r="T227" i="11"/>
  <c r="T228" i="11"/>
  <c r="T229" i="11"/>
  <c r="T230" i="11"/>
  <c r="T231" i="11"/>
  <c r="T232" i="11"/>
  <c r="T233" i="11"/>
  <c r="T234" i="11"/>
  <c r="T235" i="11"/>
  <c r="T236" i="11"/>
  <c r="T237" i="11"/>
  <c r="T238" i="11"/>
  <c r="T239" i="11"/>
  <c r="T240" i="11"/>
  <c r="T241" i="11"/>
  <c r="T242" i="11"/>
  <c r="T243" i="11"/>
  <c r="T244" i="11"/>
  <c r="T245" i="11"/>
  <c r="T246" i="11"/>
  <c r="T247" i="11"/>
  <c r="T248" i="11"/>
  <c r="T249" i="11"/>
  <c r="T250" i="11"/>
  <c r="T251" i="11"/>
  <c r="T252" i="11"/>
  <c r="T253" i="11"/>
  <c r="T254" i="11"/>
  <c r="T255" i="11"/>
  <c r="T256" i="11"/>
  <c r="T257" i="11"/>
  <c r="T258" i="11"/>
  <c r="T259" i="11"/>
  <c r="T260" i="11"/>
  <c r="T261" i="11"/>
  <c r="T262" i="11"/>
  <c r="T263" i="11"/>
  <c r="T264" i="11"/>
  <c r="T265" i="11"/>
  <c r="T266" i="11"/>
  <c r="T267" i="11"/>
  <c r="T268" i="11"/>
  <c r="T269" i="11"/>
  <c r="T270" i="11"/>
  <c r="T271" i="11"/>
  <c r="T272" i="11"/>
  <c r="T273" i="11"/>
  <c r="T274" i="11"/>
  <c r="T275" i="11"/>
  <c r="T276" i="11"/>
  <c r="T277" i="11"/>
  <c r="T278" i="11"/>
  <c r="T279" i="11"/>
  <c r="T280" i="11"/>
  <c r="T281" i="11"/>
  <c r="T282" i="11"/>
  <c r="T283" i="11"/>
  <c r="T284" i="11"/>
  <c r="T285" i="11"/>
  <c r="T286" i="11"/>
  <c r="T287" i="11"/>
  <c r="T288" i="11"/>
  <c r="T289" i="11"/>
  <c r="T290" i="11"/>
  <c r="T291" i="11"/>
  <c r="T292" i="11"/>
  <c r="T293" i="11"/>
  <c r="T294" i="11"/>
  <c r="T295" i="11"/>
  <c r="T296" i="11"/>
  <c r="T297" i="11"/>
  <c r="T298" i="11"/>
  <c r="T299" i="11"/>
  <c r="T300" i="11"/>
  <c r="T301" i="11"/>
  <c r="T302" i="11"/>
  <c r="T303" i="11"/>
  <c r="T304" i="11"/>
  <c r="T305" i="11"/>
  <c r="T306" i="11"/>
  <c r="T307" i="11"/>
  <c r="T308" i="11"/>
  <c r="T309" i="11"/>
  <c r="T310" i="11"/>
  <c r="T311" i="11"/>
  <c r="T312" i="11"/>
  <c r="T313" i="11"/>
  <c r="T314" i="11"/>
  <c r="T315" i="11"/>
  <c r="T316" i="11"/>
  <c r="T317" i="11"/>
  <c r="T318" i="11"/>
  <c r="T319" i="11"/>
  <c r="T320" i="11"/>
  <c r="T321" i="11"/>
  <c r="T322" i="11"/>
  <c r="T323" i="11"/>
  <c r="T324" i="11"/>
  <c r="T325" i="11"/>
  <c r="T326" i="11"/>
  <c r="T327" i="11"/>
  <c r="T328" i="11"/>
  <c r="T329" i="11"/>
  <c r="T330" i="11"/>
  <c r="T331" i="11"/>
  <c r="T332" i="11"/>
  <c r="T333" i="11"/>
  <c r="T334" i="11"/>
  <c r="T335" i="11"/>
  <c r="T336" i="11"/>
  <c r="T337" i="11"/>
  <c r="T338" i="11"/>
  <c r="T339" i="11"/>
  <c r="T340" i="11"/>
  <c r="T341" i="11"/>
  <c r="T342" i="11"/>
  <c r="T343" i="11"/>
  <c r="T344" i="11"/>
  <c r="T345" i="11"/>
  <c r="T346" i="11"/>
  <c r="T347" i="11"/>
  <c r="T348" i="11"/>
  <c r="T349" i="11"/>
  <c r="T350" i="11"/>
  <c r="T351" i="11"/>
  <c r="T352" i="11"/>
  <c r="T353" i="11"/>
  <c r="T354" i="11"/>
  <c r="T355" i="11"/>
  <c r="T356" i="11"/>
  <c r="T357" i="11"/>
  <c r="T358" i="11"/>
  <c r="T359" i="11"/>
  <c r="T360" i="11"/>
  <c r="T361" i="11"/>
  <c r="T362" i="11"/>
  <c r="T363" i="11"/>
  <c r="T364" i="11"/>
  <c r="T365" i="11"/>
  <c r="T366" i="11"/>
  <c r="T367" i="11"/>
  <c r="T368" i="11"/>
  <c r="T369" i="11"/>
  <c r="T370" i="11"/>
  <c r="T371" i="11"/>
  <c r="T372" i="11"/>
  <c r="T373" i="11"/>
  <c r="T374" i="11"/>
  <c r="T375" i="11"/>
  <c r="T376" i="11"/>
  <c r="T377" i="11"/>
  <c r="T378" i="11"/>
  <c r="T379" i="11"/>
  <c r="T380" i="11"/>
  <c r="T381" i="11"/>
  <c r="T382" i="11"/>
  <c r="T383" i="11"/>
  <c r="T384" i="11"/>
  <c r="T385" i="11"/>
  <c r="T386" i="11"/>
  <c r="T387" i="11"/>
  <c r="T388" i="11"/>
  <c r="T389" i="11"/>
  <c r="T390" i="11"/>
  <c r="T391" i="11"/>
  <c r="T392" i="11"/>
  <c r="T393" i="11"/>
  <c r="T394" i="11"/>
  <c r="T395" i="11"/>
  <c r="T396" i="11"/>
  <c r="T397" i="11"/>
  <c r="T398" i="11"/>
  <c r="T399" i="11"/>
  <c r="T400" i="11"/>
  <c r="T401" i="11"/>
  <c r="T402" i="11"/>
  <c r="T403" i="11"/>
  <c r="T404" i="11"/>
  <c r="T405" i="11"/>
  <c r="T406" i="11"/>
  <c r="T407" i="11"/>
  <c r="T408" i="11"/>
  <c r="T409" i="11"/>
  <c r="T410" i="11"/>
  <c r="T411" i="11"/>
  <c r="T412" i="11"/>
  <c r="T413" i="11"/>
  <c r="T414" i="11"/>
  <c r="T415" i="11"/>
  <c r="T416" i="11"/>
  <c r="T417" i="11"/>
  <c r="T418" i="11"/>
  <c r="T419" i="11"/>
  <c r="T420" i="11"/>
  <c r="T421" i="11"/>
  <c r="T422" i="11"/>
  <c r="T423" i="11"/>
  <c r="T424" i="11"/>
  <c r="T425" i="11"/>
  <c r="T426" i="11"/>
  <c r="T427" i="11"/>
  <c r="T428" i="11"/>
  <c r="T429" i="11"/>
  <c r="T430" i="11"/>
  <c r="T431" i="11"/>
  <c r="T432" i="11"/>
  <c r="T433" i="11"/>
  <c r="T434" i="11"/>
  <c r="T435" i="11"/>
  <c r="T436" i="11"/>
  <c r="T437" i="11"/>
  <c r="T438" i="11"/>
  <c r="T439" i="11"/>
  <c r="T440" i="11"/>
  <c r="T441" i="11"/>
  <c r="T442" i="11"/>
  <c r="T443" i="11"/>
  <c r="T444" i="11"/>
  <c r="T445" i="11"/>
  <c r="T446" i="11"/>
  <c r="T447" i="11"/>
  <c r="T448" i="11"/>
  <c r="T449" i="11"/>
  <c r="T450" i="11"/>
  <c r="T451" i="11"/>
  <c r="T452" i="11"/>
  <c r="T453" i="11"/>
  <c r="T454" i="11"/>
  <c r="T455" i="11"/>
  <c r="T456" i="11"/>
  <c r="T457" i="11"/>
  <c r="T458" i="11"/>
  <c r="T459" i="11"/>
  <c r="T460" i="11"/>
  <c r="T461" i="11"/>
  <c r="T462" i="11"/>
  <c r="T463" i="11"/>
  <c r="T464" i="11"/>
  <c r="T465" i="11"/>
  <c r="T466" i="11"/>
  <c r="T467" i="11"/>
  <c r="T468" i="11"/>
  <c r="T469" i="11"/>
  <c r="T470" i="11"/>
  <c r="T471" i="11"/>
  <c r="T472" i="11"/>
  <c r="T473" i="11"/>
  <c r="T474" i="11"/>
  <c r="T475" i="11"/>
  <c r="T476" i="11"/>
  <c r="T477" i="11"/>
  <c r="T478" i="11"/>
  <c r="T479" i="11"/>
  <c r="T480" i="11"/>
  <c r="T481" i="11"/>
  <c r="T482" i="11"/>
  <c r="T483" i="11"/>
  <c r="T484" i="11"/>
  <c r="T485" i="11"/>
  <c r="T486" i="11"/>
  <c r="T487" i="11"/>
  <c r="T488" i="11"/>
  <c r="T489" i="11"/>
  <c r="T490" i="11"/>
  <c r="T491" i="11"/>
  <c r="T492" i="11"/>
  <c r="T493" i="11"/>
  <c r="T494" i="11"/>
  <c r="T495" i="11"/>
  <c r="T496" i="11"/>
  <c r="T497" i="11"/>
  <c r="T498" i="11"/>
  <c r="T499" i="11"/>
  <c r="T500" i="11"/>
  <c r="T501" i="11"/>
  <c r="T502" i="11"/>
  <c r="T503" i="11"/>
  <c r="T504" i="11"/>
  <c r="T505" i="11"/>
  <c r="T506" i="11"/>
  <c r="T507" i="11"/>
  <c r="T508" i="11"/>
  <c r="T509" i="11"/>
  <c r="T510" i="11"/>
  <c r="T511" i="11"/>
  <c r="T512" i="11"/>
  <c r="T513" i="11"/>
  <c r="T514" i="11"/>
  <c r="T515" i="11"/>
  <c r="T516" i="11"/>
  <c r="T517" i="11"/>
  <c r="T518" i="11"/>
  <c r="T519" i="11"/>
  <c r="T520" i="11"/>
  <c r="T521" i="11"/>
  <c r="T522" i="11"/>
  <c r="T523" i="11"/>
  <c r="T524" i="11"/>
  <c r="T525" i="11"/>
  <c r="T526" i="11"/>
  <c r="T527" i="11"/>
  <c r="T528" i="11"/>
  <c r="T529" i="11"/>
  <c r="T530" i="11"/>
  <c r="T531" i="11"/>
  <c r="T532" i="11"/>
  <c r="T533" i="11"/>
  <c r="T534" i="11"/>
  <c r="T535" i="11"/>
  <c r="T536" i="11"/>
  <c r="T537" i="11"/>
  <c r="T538" i="11"/>
  <c r="T539" i="11"/>
  <c r="T540" i="11"/>
  <c r="T541" i="11"/>
  <c r="T542" i="11"/>
  <c r="T543" i="11"/>
  <c r="T544" i="11"/>
  <c r="T545" i="11"/>
  <c r="T546" i="11"/>
  <c r="T547" i="11"/>
  <c r="T548" i="11"/>
  <c r="T549" i="11"/>
  <c r="T550" i="11"/>
  <c r="T551" i="11"/>
  <c r="T552" i="11"/>
  <c r="T553" i="11"/>
  <c r="T554" i="11"/>
  <c r="T555" i="11"/>
  <c r="T556" i="11"/>
  <c r="T557" i="11"/>
  <c r="T558" i="11"/>
  <c r="T559" i="11"/>
  <c r="T560" i="11"/>
  <c r="T561" i="11"/>
  <c r="T562" i="11"/>
  <c r="T563" i="11"/>
  <c r="T564" i="11"/>
  <c r="T565" i="11"/>
  <c r="T566" i="11"/>
  <c r="T567" i="11"/>
  <c r="T568" i="11"/>
  <c r="T569" i="11"/>
  <c r="T570" i="11"/>
  <c r="T571" i="11"/>
  <c r="T572" i="11"/>
  <c r="T573" i="11"/>
  <c r="T574" i="11"/>
  <c r="T575" i="11"/>
  <c r="T576" i="11"/>
  <c r="T577" i="11"/>
  <c r="T578" i="11"/>
  <c r="T579" i="11"/>
  <c r="T580" i="11"/>
  <c r="T581" i="11"/>
  <c r="T582" i="11"/>
  <c r="T583" i="11"/>
  <c r="T584" i="11"/>
  <c r="T585" i="11"/>
  <c r="T586" i="11"/>
  <c r="T587" i="11"/>
  <c r="T588" i="11"/>
  <c r="T589" i="11"/>
  <c r="T590" i="11"/>
  <c r="T591" i="11"/>
  <c r="T592" i="11"/>
  <c r="T593" i="11"/>
  <c r="T594" i="11"/>
  <c r="T595" i="11"/>
  <c r="T596" i="11"/>
  <c r="T597" i="11"/>
  <c r="T598" i="11"/>
  <c r="T599" i="11"/>
  <c r="T600" i="11"/>
  <c r="T601" i="11"/>
  <c r="T602" i="11"/>
  <c r="T603" i="11"/>
  <c r="T604" i="11"/>
  <c r="T605" i="11"/>
  <c r="T606" i="11"/>
  <c r="T607" i="11"/>
  <c r="T608" i="11"/>
  <c r="T609" i="11"/>
  <c r="T610" i="11"/>
  <c r="T611" i="11"/>
  <c r="T612" i="11"/>
  <c r="T613" i="11"/>
  <c r="T614" i="11"/>
  <c r="T615" i="11"/>
  <c r="T616" i="11"/>
  <c r="T617" i="11"/>
  <c r="T618" i="11"/>
  <c r="T619" i="11"/>
  <c r="T620" i="11"/>
  <c r="T621" i="11"/>
  <c r="T622" i="11"/>
  <c r="T623" i="11"/>
  <c r="T624" i="11"/>
  <c r="T625" i="11"/>
  <c r="T626" i="11"/>
  <c r="T627" i="11"/>
  <c r="T628" i="11"/>
  <c r="T629" i="11"/>
  <c r="T630" i="11"/>
  <c r="T631" i="11"/>
  <c r="T632" i="11"/>
  <c r="T633" i="11"/>
  <c r="T634" i="11"/>
  <c r="T635" i="11"/>
  <c r="T636" i="11"/>
  <c r="T637" i="11"/>
  <c r="T638" i="11"/>
  <c r="T639" i="11"/>
  <c r="T640" i="11"/>
  <c r="T641" i="11"/>
  <c r="T642" i="11"/>
  <c r="T643" i="11"/>
  <c r="T644" i="11"/>
  <c r="T645" i="11"/>
  <c r="T646" i="11"/>
  <c r="T647" i="11"/>
  <c r="T648" i="11"/>
  <c r="T649" i="11"/>
  <c r="T650" i="11"/>
  <c r="T651" i="11"/>
  <c r="T652" i="11"/>
  <c r="T653" i="11"/>
  <c r="T654" i="11"/>
  <c r="T655" i="11"/>
  <c r="T656" i="11"/>
  <c r="T657" i="11"/>
  <c r="T658" i="11"/>
  <c r="T659" i="11"/>
  <c r="T660" i="11"/>
  <c r="T661" i="11"/>
  <c r="T662" i="11"/>
  <c r="T663" i="11"/>
  <c r="T664" i="11"/>
  <c r="T665" i="11"/>
  <c r="T666" i="11"/>
  <c r="T667" i="11"/>
  <c r="T668" i="11"/>
  <c r="T669" i="11"/>
  <c r="T670" i="11"/>
  <c r="T671" i="11"/>
  <c r="T672" i="11"/>
  <c r="T673" i="11"/>
  <c r="T674" i="11"/>
  <c r="T675" i="11"/>
  <c r="T676" i="11"/>
  <c r="T677" i="11"/>
  <c r="T678" i="11"/>
  <c r="T679" i="11"/>
  <c r="T680" i="11"/>
  <c r="T681" i="11"/>
  <c r="T682" i="11"/>
  <c r="T683" i="11"/>
  <c r="T684" i="11"/>
  <c r="T685" i="11"/>
  <c r="T686" i="11"/>
  <c r="T687" i="11"/>
  <c r="T688" i="11"/>
  <c r="T689" i="11"/>
  <c r="T690" i="11"/>
  <c r="T691" i="11"/>
  <c r="T692" i="11"/>
  <c r="T693" i="11"/>
  <c r="T694" i="11"/>
  <c r="T695" i="11"/>
  <c r="T696" i="11"/>
  <c r="T697" i="11"/>
  <c r="T698" i="11"/>
  <c r="T699" i="11"/>
  <c r="T700" i="11"/>
  <c r="T701" i="11"/>
  <c r="U2" i="11"/>
  <c r="U3" i="11"/>
  <c r="U4" i="11"/>
  <c r="U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U54" i="11"/>
  <c r="U55" i="11"/>
  <c r="U56" i="11"/>
  <c r="U57" i="11"/>
  <c r="U58" i="11"/>
  <c r="U59" i="11"/>
  <c r="U60" i="11"/>
  <c r="U61" i="11"/>
  <c r="U62" i="11"/>
  <c r="U63" i="11"/>
  <c r="U64" i="11"/>
  <c r="U65" i="11"/>
  <c r="U66" i="11"/>
  <c r="U67" i="11"/>
  <c r="U68" i="11"/>
  <c r="U69" i="11"/>
  <c r="U70" i="11"/>
  <c r="U71" i="11"/>
  <c r="U72" i="11"/>
  <c r="U73" i="11"/>
  <c r="U74" i="11"/>
  <c r="U75" i="11"/>
  <c r="U76" i="11"/>
  <c r="U77" i="11"/>
  <c r="U78" i="11"/>
  <c r="U79" i="11"/>
  <c r="U80" i="11"/>
  <c r="U81" i="11"/>
  <c r="U82" i="11"/>
  <c r="U83" i="11"/>
  <c r="U84" i="11"/>
  <c r="U85" i="11"/>
  <c r="U86" i="11"/>
  <c r="U87" i="11"/>
  <c r="U88" i="11"/>
  <c r="U89" i="11"/>
  <c r="U90" i="11"/>
  <c r="U91" i="11"/>
  <c r="U92" i="11"/>
  <c r="U93" i="11"/>
  <c r="U94" i="11"/>
  <c r="U95" i="11"/>
  <c r="U96" i="11"/>
  <c r="U97" i="11"/>
  <c r="U98" i="11"/>
  <c r="U99" i="11"/>
  <c r="U100" i="11"/>
  <c r="U101" i="11"/>
  <c r="U102" i="11"/>
  <c r="U103" i="11"/>
  <c r="U104" i="11"/>
  <c r="U105" i="11"/>
  <c r="U106" i="11"/>
  <c r="U107" i="11"/>
  <c r="U108" i="11"/>
  <c r="U109" i="11"/>
  <c r="U110" i="11"/>
  <c r="U111" i="11"/>
  <c r="U112" i="11"/>
  <c r="U113" i="11"/>
  <c r="U114" i="11"/>
  <c r="U115" i="11"/>
  <c r="U116" i="11"/>
  <c r="U117" i="11"/>
  <c r="U118" i="11"/>
  <c r="U119" i="11"/>
  <c r="U120" i="11"/>
  <c r="U121" i="11"/>
  <c r="U122" i="11"/>
  <c r="U123" i="11"/>
  <c r="U124" i="11"/>
  <c r="U125" i="11"/>
  <c r="U126" i="11"/>
  <c r="U127" i="11"/>
  <c r="U128" i="11"/>
  <c r="U129" i="11"/>
  <c r="U130" i="11"/>
  <c r="U131" i="11"/>
  <c r="U132" i="11"/>
  <c r="U133" i="11"/>
  <c r="U134" i="11"/>
  <c r="U135" i="11"/>
  <c r="U136" i="11"/>
  <c r="U137" i="11"/>
  <c r="U138" i="11"/>
  <c r="U139" i="11"/>
  <c r="U140" i="11"/>
  <c r="U141" i="11"/>
  <c r="U142" i="11"/>
  <c r="U143" i="11"/>
  <c r="U144" i="11"/>
  <c r="U145" i="11"/>
  <c r="U146" i="11"/>
  <c r="U147" i="11"/>
  <c r="U148" i="11"/>
  <c r="U149" i="11"/>
  <c r="U150" i="11"/>
  <c r="U151" i="11"/>
  <c r="U152" i="11"/>
  <c r="U153" i="11"/>
  <c r="U154" i="11"/>
  <c r="U155" i="11"/>
  <c r="U156" i="11"/>
  <c r="U157" i="11"/>
  <c r="U158" i="11"/>
  <c r="U159" i="11"/>
  <c r="U160" i="11"/>
  <c r="U161" i="11"/>
  <c r="U162" i="11"/>
  <c r="U163" i="11"/>
  <c r="U164" i="11"/>
  <c r="U165" i="11"/>
  <c r="U166" i="11"/>
  <c r="U167" i="11"/>
  <c r="U168" i="11"/>
  <c r="U169" i="11"/>
  <c r="U170" i="11"/>
  <c r="U171" i="11"/>
  <c r="U172" i="11"/>
  <c r="U173" i="11"/>
  <c r="U174" i="11"/>
  <c r="U175" i="11"/>
  <c r="U176" i="11"/>
  <c r="U177" i="11"/>
  <c r="U178" i="11"/>
  <c r="U179" i="11"/>
  <c r="U180" i="11"/>
  <c r="U181" i="11"/>
  <c r="U182" i="11"/>
  <c r="U183" i="11"/>
  <c r="U184" i="11"/>
  <c r="U185" i="11"/>
  <c r="U186" i="11"/>
  <c r="U187" i="11"/>
  <c r="U188" i="11"/>
  <c r="U189" i="11"/>
  <c r="U190" i="11"/>
  <c r="U191" i="11"/>
  <c r="U192" i="11"/>
  <c r="U193" i="11"/>
  <c r="U194" i="11"/>
  <c r="U195" i="11"/>
  <c r="U196" i="11"/>
  <c r="U197" i="11"/>
  <c r="U198" i="11"/>
  <c r="U199" i="11"/>
  <c r="U200" i="11"/>
  <c r="U201" i="11"/>
  <c r="U202" i="11"/>
  <c r="U203" i="11"/>
  <c r="U204" i="11"/>
  <c r="U205" i="11"/>
  <c r="U206" i="11"/>
  <c r="U207" i="11"/>
  <c r="U208" i="11"/>
  <c r="U209" i="11"/>
  <c r="U210" i="11"/>
  <c r="U211" i="11"/>
  <c r="U212" i="11"/>
  <c r="U213" i="11"/>
  <c r="U214" i="11"/>
  <c r="U215" i="11"/>
  <c r="U216" i="11"/>
  <c r="U217" i="11"/>
  <c r="U218" i="11"/>
  <c r="U219" i="11"/>
  <c r="U220" i="11"/>
  <c r="U221" i="11"/>
  <c r="U222" i="11"/>
  <c r="U223" i="11"/>
  <c r="U224" i="11"/>
  <c r="U225" i="11"/>
  <c r="U226" i="11"/>
  <c r="U227" i="11"/>
  <c r="U228" i="11"/>
  <c r="U229" i="11"/>
  <c r="U230" i="11"/>
  <c r="U231" i="11"/>
  <c r="U232" i="11"/>
  <c r="U233" i="11"/>
  <c r="U234" i="11"/>
  <c r="U235" i="11"/>
  <c r="U236" i="11"/>
  <c r="U237" i="11"/>
  <c r="U238" i="11"/>
  <c r="U239" i="11"/>
  <c r="U240" i="11"/>
  <c r="U241" i="11"/>
  <c r="U242" i="11"/>
  <c r="U243" i="11"/>
  <c r="U244" i="11"/>
  <c r="U245" i="11"/>
  <c r="U246" i="11"/>
  <c r="U247" i="11"/>
  <c r="U248" i="11"/>
  <c r="U249" i="11"/>
  <c r="U250" i="11"/>
  <c r="U251" i="11"/>
  <c r="U252" i="11"/>
  <c r="U253" i="11"/>
  <c r="U254" i="11"/>
  <c r="U255" i="11"/>
  <c r="U256" i="11"/>
  <c r="U257" i="11"/>
  <c r="U258" i="11"/>
  <c r="U259" i="11"/>
  <c r="U260" i="11"/>
  <c r="U261" i="11"/>
  <c r="U262" i="11"/>
  <c r="U263" i="11"/>
  <c r="U264" i="11"/>
  <c r="U265" i="11"/>
  <c r="U266" i="11"/>
  <c r="U267" i="11"/>
  <c r="U268" i="11"/>
  <c r="U269" i="11"/>
  <c r="U270" i="11"/>
  <c r="U271" i="11"/>
  <c r="U272" i="11"/>
  <c r="U273" i="11"/>
  <c r="U274" i="11"/>
  <c r="U275" i="11"/>
  <c r="U276" i="11"/>
  <c r="U277" i="11"/>
  <c r="U278" i="11"/>
  <c r="U279" i="11"/>
  <c r="U280" i="11"/>
  <c r="U281" i="11"/>
  <c r="U282" i="11"/>
  <c r="U283" i="11"/>
  <c r="U284" i="11"/>
  <c r="U285" i="11"/>
  <c r="U286" i="11"/>
  <c r="U287" i="11"/>
  <c r="U288" i="11"/>
  <c r="U289" i="11"/>
  <c r="U290" i="11"/>
  <c r="U291" i="11"/>
  <c r="U292" i="11"/>
  <c r="U293" i="11"/>
  <c r="U294" i="11"/>
  <c r="U295" i="11"/>
  <c r="U296" i="11"/>
  <c r="U297" i="11"/>
  <c r="U298" i="11"/>
  <c r="U299" i="11"/>
  <c r="U300" i="11"/>
  <c r="U301" i="11"/>
  <c r="U302" i="11"/>
  <c r="U303" i="11"/>
  <c r="U304" i="11"/>
  <c r="U305" i="11"/>
  <c r="U306" i="11"/>
  <c r="U307" i="11"/>
  <c r="U308" i="11"/>
  <c r="U309" i="11"/>
  <c r="U310" i="11"/>
  <c r="U311" i="11"/>
  <c r="U312" i="11"/>
  <c r="U313" i="11"/>
  <c r="U314" i="11"/>
  <c r="U315" i="11"/>
  <c r="U316" i="11"/>
  <c r="U317" i="11"/>
  <c r="U318" i="11"/>
  <c r="U319" i="11"/>
  <c r="U320" i="11"/>
  <c r="U321" i="11"/>
  <c r="U322" i="11"/>
  <c r="U323" i="11"/>
  <c r="U324" i="11"/>
  <c r="U325" i="11"/>
  <c r="U326" i="11"/>
  <c r="U327" i="11"/>
  <c r="U328" i="11"/>
  <c r="U329" i="11"/>
  <c r="U330" i="11"/>
  <c r="U331" i="11"/>
  <c r="U332" i="11"/>
  <c r="U333" i="11"/>
  <c r="U334" i="11"/>
  <c r="U335" i="11"/>
  <c r="U336" i="11"/>
  <c r="U337" i="11"/>
  <c r="U338" i="11"/>
  <c r="U339" i="11"/>
  <c r="U340" i="11"/>
  <c r="U341" i="11"/>
  <c r="U342" i="11"/>
  <c r="U343" i="11"/>
  <c r="U344" i="11"/>
  <c r="U345" i="11"/>
  <c r="U346" i="11"/>
  <c r="U347" i="11"/>
  <c r="U348" i="11"/>
  <c r="U349" i="11"/>
  <c r="U350" i="11"/>
  <c r="U351" i="11"/>
  <c r="U352" i="11"/>
  <c r="U353" i="11"/>
  <c r="U354" i="11"/>
  <c r="U355" i="11"/>
  <c r="U356" i="11"/>
  <c r="U357" i="11"/>
  <c r="U358" i="11"/>
  <c r="U359" i="11"/>
  <c r="U360" i="11"/>
  <c r="U361" i="11"/>
  <c r="U362" i="11"/>
  <c r="U363" i="11"/>
  <c r="U364" i="11"/>
  <c r="U365" i="11"/>
  <c r="U366" i="11"/>
  <c r="U367" i="11"/>
  <c r="U368" i="11"/>
  <c r="U369" i="11"/>
  <c r="U370" i="11"/>
  <c r="U371" i="11"/>
  <c r="U372" i="11"/>
  <c r="U373" i="11"/>
  <c r="U374" i="11"/>
  <c r="U375" i="11"/>
  <c r="U376" i="11"/>
  <c r="U377" i="11"/>
  <c r="U378" i="11"/>
  <c r="U379" i="11"/>
  <c r="U380" i="11"/>
  <c r="U381" i="11"/>
  <c r="U382" i="11"/>
  <c r="U383" i="11"/>
  <c r="U384" i="11"/>
  <c r="U385" i="11"/>
  <c r="U386" i="11"/>
  <c r="U387" i="11"/>
  <c r="U388" i="11"/>
  <c r="U389" i="11"/>
  <c r="U390" i="11"/>
  <c r="U391" i="11"/>
  <c r="U392" i="11"/>
  <c r="U393" i="11"/>
  <c r="U394" i="11"/>
  <c r="U395" i="11"/>
  <c r="U396" i="11"/>
  <c r="U397" i="11"/>
  <c r="U398" i="11"/>
  <c r="U399" i="11"/>
  <c r="U400" i="11"/>
  <c r="U401" i="11"/>
  <c r="U402" i="11"/>
  <c r="U403" i="11"/>
  <c r="U404" i="11"/>
  <c r="U405" i="11"/>
  <c r="U406" i="11"/>
  <c r="U407" i="11"/>
  <c r="U408" i="11"/>
  <c r="U409" i="11"/>
  <c r="U410" i="11"/>
  <c r="U411" i="11"/>
  <c r="U412" i="11"/>
  <c r="U413" i="11"/>
  <c r="U414" i="11"/>
  <c r="U415" i="11"/>
  <c r="U416" i="11"/>
  <c r="U417" i="11"/>
  <c r="U418" i="11"/>
  <c r="U419" i="11"/>
  <c r="U420" i="11"/>
  <c r="U421" i="11"/>
  <c r="U422" i="11"/>
  <c r="U423" i="11"/>
  <c r="U424" i="11"/>
  <c r="U425" i="11"/>
  <c r="U426" i="11"/>
  <c r="U427" i="11"/>
  <c r="U428" i="11"/>
  <c r="U429" i="11"/>
  <c r="U430" i="11"/>
  <c r="U431" i="11"/>
  <c r="U432" i="11"/>
  <c r="U433" i="11"/>
  <c r="U434" i="11"/>
  <c r="U435" i="11"/>
  <c r="U436" i="11"/>
  <c r="U437" i="11"/>
  <c r="U438" i="11"/>
  <c r="U439" i="11"/>
  <c r="U440" i="11"/>
  <c r="U441" i="11"/>
  <c r="U442" i="11"/>
  <c r="U443" i="11"/>
  <c r="U444" i="11"/>
  <c r="U445" i="11"/>
  <c r="U446" i="11"/>
  <c r="U447" i="11"/>
  <c r="U448" i="11"/>
  <c r="U449" i="11"/>
  <c r="U450" i="11"/>
  <c r="U451" i="11"/>
  <c r="U452" i="11"/>
  <c r="U453" i="11"/>
  <c r="U454" i="11"/>
  <c r="U455" i="11"/>
  <c r="U456" i="11"/>
  <c r="U457" i="11"/>
  <c r="U458" i="11"/>
  <c r="U459" i="11"/>
  <c r="U460" i="11"/>
  <c r="U461" i="11"/>
  <c r="U462" i="11"/>
  <c r="U463" i="11"/>
  <c r="U464" i="11"/>
  <c r="U465" i="11"/>
  <c r="U466" i="11"/>
  <c r="U467" i="11"/>
  <c r="U468" i="11"/>
  <c r="U469" i="11"/>
  <c r="U470" i="11"/>
  <c r="U471" i="11"/>
  <c r="U472" i="11"/>
  <c r="U473" i="11"/>
  <c r="U474" i="11"/>
  <c r="U475" i="11"/>
  <c r="U476" i="11"/>
  <c r="U477" i="11"/>
  <c r="U478" i="11"/>
  <c r="U479" i="11"/>
  <c r="U480" i="11"/>
  <c r="U481" i="11"/>
  <c r="U482" i="11"/>
  <c r="U483" i="11"/>
  <c r="U484" i="11"/>
  <c r="U485" i="11"/>
  <c r="U486" i="11"/>
  <c r="U487" i="11"/>
  <c r="U488" i="11"/>
  <c r="U489" i="11"/>
  <c r="U490" i="11"/>
  <c r="U491" i="11"/>
  <c r="U492" i="11"/>
  <c r="U493" i="11"/>
  <c r="U494" i="11"/>
  <c r="U495" i="11"/>
  <c r="U496" i="11"/>
  <c r="U497" i="11"/>
  <c r="U498" i="11"/>
  <c r="U499" i="11"/>
  <c r="U500" i="11"/>
  <c r="U501" i="11"/>
  <c r="U502" i="11"/>
  <c r="U503" i="11"/>
  <c r="U504" i="11"/>
  <c r="U505" i="11"/>
  <c r="U506" i="11"/>
  <c r="U507" i="11"/>
  <c r="U508" i="11"/>
  <c r="U509" i="11"/>
  <c r="U510" i="11"/>
  <c r="U511" i="11"/>
  <c r="U512" i="11"/>
  <c r="U513" i="11"/>
  <c r="U514" i="11"/>
  <c r="U515" i="11"/>
  <c r="U516" i="11"/>
  <c r="U517" i="11"/>
  <c r="U518" i="11"/>
  <c r="U519" i="11"/>
  <c r="U520" i="11"/>
  <c r="U521" i="11"/>
  <c r="U522" i="11"/>
  <c r="U523" i="11"/>
  <c r="U524" i="11"/>
  <c r="U525" i="11"/>
  <c r="U526" i="11"/>
  <c r="U527" i="11"/>
  <c r="U528" i="11"/>
  <c r="U529" i="11"/>
  <c r="U530" i="11"/>
  <c r="U531" i="11"/>
  <c r="U532" i="11"/>
  <c r="U533" i="11"/>
  <c r="U534" i="11"/>
  <c r="U535" i="11"/>
  <c r="U536" i="11"/>
  <c r="U537" i="11"/>
  <c r="U538" i="11"/>
  <c r="U539" i="11"/>
  <c r="U540" i="11"/>
  <c r="U541" i="11"/>
  <c r="U542" i="11"/>
  <c r="U543" i="11"/>
  <c r="U544" i="11"/>
  <c r="U545" i="11"/>
  <c r="U546" i="11"/>
  <c r="U547" i="11"/>
  <c r="U548" i="11"/>
  <c r="U549" i="11"/>
  <c r="U550" i="11"/>
  <c r="U551" i="11"/>
  <c r="U552" i="11"/>
  <c r="U553" i="11"/>
  <c r="U554" i="11"/>
  <c r="U555" i="11"/>
  <c r="U556" i="11"/>
  <c r="U557" i="11"/>
  <c r="U558" i="11"/>
  <c r="U559" i="11"/>
  <c r="U560" i="11"/>
  <c r="U561" i="11"/>
  <c r="U562" i="11"/>
  <c r="U563" i="11"/>
  <c r="U564" i="11"/>
  <c r="U565" i="11"/>
  <c r="U566" i="11"/>
  <c r="U567" i="11"/>
  <c r="U568" i="11"/>
  <c r="U569" i="11"/>
  <c r="U570" i="11"/>
  <c r="U571" i="11"/>
  <c r="U572" i="11"/>
  <c r="U573" i="11"/>
  <c r="U574" i="11"/>
  <c r="U575" i="11"/>
  <c r="U576" i="11"/>
  <c r="U577" i="11"/>
  <c r="U578" i="11"/>
  <c r="U579" i="11"/>
  <c r="U580" i="11"/>
  <c r="U581" i="11"/>
  <c r="U582" i="11"/>
  <c r="U583" i="11"/>
  <c r="U584" i="11"/>
  <c r="U585" i="11"/>
  <c r="U586" i="11"/>
  <c r="U587" i="11"/>
  <c r="U588" i="11"/>
  <c r="U589" i="11"/>
  <c r="U590" i="11"/>
  <c r="U591" i="11"/>
  <c r="U592" i="11"/>
  <c r="U593" i="11"/>
  <c r="U594" i="11"/>
  <c r="U595" i="11"/>
  <c r="U596" i="11"/>
  <c r="U597" i="11"/>
  <c r="U598" i="11"/>
  <c r="U599" i="11"/>
  <c r="U600" i="11"/>
  <c r="U601" i="11"/>
  <c r="U602" i="11"/>
  <c r="U603" i="11"/>
  <c r="U604" i="11"/>
  <c r="U605" i="11"/>
  <c r="U606" i="11"/>
  <c r="U607" i="11"/>
  <c r="U608" i="11"/>
  <c r="U609" i="11"/>
  <c r="U610" i="11"/>
  <c r="U611" i="11"/>
  <c r="U612" i="11"/>
  <c r="U613" i="11"/>
  <c r="U614" i="11"/>
  <c r="U615" i="11"/>
  <c r="U616" i="11"/>
  <c r="U617" i="11"/>
  <c r="U618" i="11"/>
  <c r="U619" i="11"/>
  <c r="U620" i="11"/>
  <c r="U621" i="11"/>
  <c r="U622" i="11"/>
  <c r="U623" i="11"/>
  <c r="U624" i="11"/>
  <c r="U625" i="11"/>
  <c r="U626" i="11"/>
  <c r="U627" i="11"/>
  <c r="U628" i="11"/>
  <c r="U629" i="11"/>
  <c r="U630" i="11"/>
  <c r="U631" i="11"/>
  <c r="U632" i="11"/>
  <c r="U633" i="11"/>
  <c r="U634" i="11"/>
  <c r="U635" i="11"/>
  <c r="U636" i="11"/>
  <c r="U637" i="11"/>
  <c r="U638" i="11"/>
  <c r="U639" i="11"/>
  <c r="U640" i="11"/>
  <c r="U641" i="11"/>
  <c r="U642" i="11"/>
  <c r="U643" i="11"/>
  <c r="U644" i="11"/>
  <c r="U645" i="11"/>
  <c r="U646" i="11"/>
  <c r="U647" i="11"/>
  <c r="U648" i="11"/>
  <c r="U649" i="11"/>
  <c r="U650" i="11"/>
  <c r="U651" i="11"/>
  <c r="U652" i="11"/>
  <c r="U653" i="11"/>
  <c r="U654" i="11"/>
  <c r="U655" i="11"/>
  <c r="U656" i="11"/>
  <c r="U657" i="11"/>
  <c r="U658" i="11"/>
  <c r="U659" i="11"/>
  <c r="U660" i="11"/>
  <c r="U661" i="11"/>
  <c r="U662" i="11"/>
  <c r="U663" i="11"/>
  <c r="U664" i="11"/>
  <c r="U665" i="11"/>
  <c r="U666" i="11"/>
  <c r="U667" i="11"/>
  <c r="U668" i="11"/>
  <c r="U669" i="11"/>
  <c r="U670" i="11"/>
  <c r="U671" i="11"/>
  <c r="U672" i="11"/>
  <c r="U673" i="11"/>
  <c r="U674" i="11"/>
  <c r="U675" i="11"/>
  <c r="U676" i="11"/>
  <c r="U677" i="11"/>
  <c r="U678" i="11"/>
  <c r="U679" i="11"/>
  <c r="U680" i="11"/>
  <c r="U681" i="11"/>
  <c r="U682" i="11"/>
  <c r="U683" i="11"/>
  <c r="U684" i="11"/>
  <c r="U685" i="11"/>
  <c r="U686" i="11"/>
  <c r="U687" i="11"/>
  <c r="U688" i="11"/>
  <c r="U689" i="11"/>
  <c r="U690" i="11"/>
  <c r="U691" i="11"/>
  <c r="U692" i="11"/>
  <c r="U693" i="11"/>
  <c r="U694" i="11"/>
  <c r="U695" i="11"/>
  <c r="U696" i="11"/>
  <c r="U697" i="11"/>
  <c r="U698" i="11"/>
  <c r="U699" i="11"/>
  <c r="U700" i="11"/>
  <c r="U701" i="11"/>
  <c r="V2" i="11"/>
  <c r="V3" i="11"/>
  <c r="V4" i="11"/>
  <c r="V5" i="11"/>
  <c r="V6" i="11"/>
  <c r="V7" i="11"/>
  <c r="V8" i="11"/>
  <c r="V9" i="11"/>
  <c r="V10" i="11"/>
  <c r="V11" i="11"/>
  <c r="V12" i="11"/>
  <c r="V13" i="11"/>
  <c r="V14"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41" i="11"/>
  <c r="V42" i="11"/>
  <c r="V43" i="11"/>
  <c r="V44" i="11"/>
  <c r="V45" i="11"/>
  <c r="V46" i="11"/>
  <c r="V47" i="11"/>
  <c r="V48" i="11"/>
  <c r="V49" i="11"/>
  <c r="V50" i="11"/>
  <c r="V51" i="11"/>
  <c r="V52" i="11"/>
  <c r="V53" i="11"/>
  <c r="V54" i="11"/>
  <c r="V55" i="11"/>
  <c r="V56" i="11"/>
  <c r="V57" i="11"/>
  <c r="V58" i="11"/>
  <c r="V59" i="11"/>
  <c r="V60" i="11"/>
  <c r="V61" i="11"/>
  <c r="V62" i="11"/>
  <c r="V63" i="11"/>
  <c r="V64" i="11"/>
  <c r="V65" i="11"/>
  <c r="V66" i="11"/>
  <c r="V67" i="11"/>
  <c r="V68" i="11"/>
  <c r="V69" i="11"/>
  <c r="V70" i="11"/>
  <c r="V71" i="11"/>
  <c r="V72" i="11"/>
  <c r="V73" i="11"/>
  <c r="V74" i="11"/>
  <c r="V75" i="11"/>
  <c r="V76" i="11"/>
  <c r="V77" i="11"/>
  <c r="V78" i="11"/>
  <c r="V79" i="11"/>
  <c r="V80" i="11"/>
  <c r="V81" i="11"/>
  <c r="V82" i="11"/>
  <c r="V83" i="11"/>
  <c r="V84" i="11"/>
  <c r="V85" i="11"/>
  <c r="V86" i="11"/>
  <c r="V87" i="11"/>
  <c r="V88" i="11"/>
  <c r="V89" i="11"/>
  <c r="V90" i="11"/>
  <c r="V91" i="11"/>
  <c r="V92" i="11"/>
  <c r="V93" i="11"/>
  <c r="V94" i="11"/>
  <c r="V95" i="11"/>
  <c r="V96" i="11"/>
  <c r="V97" i="11"/>
  <c r="V98" i="11"/>
  <c r="V99" i="11"/>
  <c r="V100" i="11"/>
  <c r="V101" i="11"/>
  <c r="V102" i="11"/>
  <c r="V103" i="11"/>
  <c r="V104" i="11"/>
  <c r="V105" i="11"/>
  <c r="V106" i="11"/>
  <c r="V107" i="11"/>
  <c r="V108" i="11"/>
  <c r="V109" i="11"/>
  <c r="V110" i="11"/>
  <c r="V111" i="11"/>
  <c r="V112" i="11"/>
  <c r="V113" i="11"/>
  <c r="V114" i="11"/>
  <c r="V115" i="11"/>
  <c r="V116" i="11"/>
  <c r="V117" i="11"/>
  <c r="V118" i="11"/>
  <c r="V119" i="11"/>
  <c r="V120" i="11"/>
  <c r="V121" i="11"/>
  <c r="V122" i="11"/>
  <c r="V123" i="11"/>
  <c r="V124" i="11"/>
  <c r="V125" i="11"/>
  <c r="V126" i="11"/>
  <c r="V127" i="11"/>
  <c r="V128" i="11"/>
  <c r="V129" i="11"/>
  <c r="V130" i="11"/>
  <c r="V131" i="11"/>
  <c r="V132" i="11"/>
  <c r="V133" i="11"/>
  <c r="V134" i="11"/>
  <c r="V135" i="11"/>
  <c r="V136" i="11"/>
  <c r="V137" i="11"/>
  <c r="V138" i="11"/>
  <c r="V139" i="11"/>
  <c r="V140" i="11"/>
  <c r="V141" i="11"/>
  <c r="V142" i="11"/>
  <c r="V143" i="11"/>
  <c r="V144" i="11"/>
  <c r="V145" i="11"/>
  <c r="V146" i="11"/>
  <c r="V147" i="11"/>
  <c r="V148" i="11"/>
  <c r="V149" i="11"/>
  <c r="V150" i="11"/>
  <c r="V151" i="11"/>
  <c r="V152" i="11"/>
  <c r="V153" i="11"/>
  <c r="V154" i="11"/>
  <c r="V155" i="11"/>
  <c r="V156" i="11"/>
  <c r="V157" i="11"/>
  <c r="V158" i="11"/>
  <c r="V159" i="11"/>
  <c r="V160" i="11"/>
  <c r="V161" i="11"/>
  <c r="V162" i="11"/>
  <c r="V163" i="11"/>
  <c r="V164" i="11"/>
  <c r="V165" i="11"/>
  <c r="V166" i="11"/>
  <c r="V167" i="11"/>
  <c r="V168" i="11"/>
  <c r="V169" i="11"/>
  <c r="V170" i="11"/>
  <c r="V171" i="11"/>
  <c r="V172" i="11"/>
  <c r="V173" i="11"/>
  <c r="V174" i="11"/>
  <c r="V175" i="11"/>
  <c r="V176" i="11"/>
  <c r="V177" i="11"/>
  <c r="V178" i="11"/>
  <c r="V179" i="11"/>
  <c r="V180" i="11"/>
  <c r="V181" i="11"/>
  <c r="V182" i="11"/>
  <c r="V183" i="11"/>
  <c r="V184" i="11"/>
  <c r="V185" i="11"/>
  <c r="V186" i="11"/>
  <c r="V187" i="11"/>
  <c r="V188" i="11"/>
  <c r="V189" i="11"/>
  <c r="V190" i="11"/>
  <c r="V191" i="11"/>
  <c r="V192" i="11"/>
  <c r="V193" i="11"/>
  <c r="V194" i="11"/>
  <c r="V195" i="11"/>
  <c r="V196" i="11"/>
  <c r="V197" i="11"/>
  <c r="V198" i="11"/>
  <c r="V199" i="11"/>
  <c r="V200" i="11"/>
  <c r="V201" i="11"/>
  <c r="V202" i="11"/>
  <c r="V203" i="11"/>
  <c r="V204" i="11"/>
  <c r="V205" i="11"/>
  <c r="V206" i="11"/>
  <c r="V207" i="11"/>
  <c r="V208" i="11"/>
  <c r="V209" i="11"/>
  <c r="V210" i="11"/>
  <c r="V211" i="11"/>
  <c r="V212" i="11"/>
  <c r="V213" i="11"/>
  <c r="V214" i="11"/>
  <c r="V215" i="11"/>
  <c r="V216" i="11"/>
  <c r="V217" i="11"/>
  <c r="V218" i="11"/>
  <c r="V219" i="11"/>
  <c r="V220" i="11"/>
  <c r="V221" i="11"/>
  <c r="V222" i="11"/>
  <c r="V223" i="11"/>
  <c r="V224" i="11"/>
  <c r="V225" i="11"/>
  <c r="V226" i="11"/>
  <c r="V227" i="11"/>
  <c r="V228" i="11"/>
  <c r="V229" i="11"/>
  <c r="V230" i="11"/>
  <c r="V231" i="11"/>
  <c r="V232" i="11"/>
  <c r="V233" i="11"/>
  <c r="V234" i="11"/>
  <c r="V235" i="11"/>
  <c r="V236" i="11"/>
  <c r="V237" i="11"/>
  <c r="V238" i="11"/>
  <c r="V239" i="11"/>
  <c r="V240" i="11"/>
  <c r="V241" i="11"/>
  <c r="V242" i="11"/>
  <c r="V243" i="11"/>
  <c r="V244" i="11"/>
  <c r="V245" i="11"/>
  <c r="V246" i="11"/>
  <c r="V247" i="11"/>
  <c r="V248" i="11"/>
  <c r="V249" i="11"/>
  <c r="V250" i="11"/>
  <c r="V251" i="11"/>
  <c r="V252" i="11"/>
  <c r="V253" i="11"/>
  <c r="V254" i="11"/>
  <c r="V255" i="11"/>
  <c r="V256" i="11"/>
  <c r="V257" i="11"/>
  <c r="V258" i="11"/>
  <c r="V259" i="11"/>
  <c r="V260" i="11"/>
  <c r="V261" i="11"/>
  <c r="V262" i="11"/>
  <c r="V263" i="11"/>
  <c r="V264" i="11"/>
  <c r="V265" i="11"/>
  <c r="V266" i="11"/>
  <c r="V267" i="11"/>
  <c r="V268" i="11"/>
  <c r="V269" i="11"/>
  <c r="V270" i="11"/>
  <c r="V271" i="11"/>
  <c r="V272" i="11"/>
  <c r="V273" i="11"/>
  <c r="V274" i="11"/>
  <c r="V275" i="11"/>
  <c r="V276" i="11"/>
  <c r="V277" i="11"/>
  <c r="V278" i="11"/>
  <c r="V279" i="11"/>
  <c r="V280" i="11"/>
  <c r="V281" i="11"/>
  <c r="V282" i="11"/>
  <c r="V283" i="11"/>
  <c r="V284" i="11"/>
  <c r="V285" i="11"/>
  <c r="V286" i="11"/>
  <c r="V287" i="11"/>
  <c r="V288" i="11"/>
  <c r="V289" i="11"/>
  <c r="V290" i="11"/>
  <c r="V291" i="11"/>
  <c r="V292" i="11"/>
  <c r="V293" i="11"/>
  <c r="V294" i="11"/>
  <c r="V295" i="11"/>
  <c r="V296" i="11"/>
  <c r="V297" i="11"/>
  <c r="V298" i="11"/>
  <c r="V299" i="11"/>
  <c r="V300" i="11"/>
  <c r="V301" i="11"/>
  <c r="V302" i="11"/>
  <c r="V303" i="11"/>
  <c r="V304" i="11"/>
  <c r="V305" i="11"/>
  <c r="V306" i="11"/>
  <c r="V307" i="11"/>
  <c r="V308" i="11"/>
  <c r="V309" i="11"/>
  <c r="V310" i="11"/>
  <c r="V311" i="11"/>
  <c r="V312" i="11"/>
  <c r="V313" i="11"/>
  <c r="V314" i="11"/>
  <c r="V315" i="11"/>
  <c r="V316" i="11"/>
  <c r="V317" i="11"/>
  <c r="V318" i="11"/>
  <c r="V319" i="11"/>
  <c r="V320" i="11"/>
  <c r="V321" i="11"/>
  <c r="V322" i="11"/>
  <c r="V323" i="11"/>
  <c r="V324" i="11"/>
  <c r="V325" i="11"/>
  <c r="V326" i="11"/>
  <c r="V327" i="11"/>
  <c r="V328" i="11"/>
  <c r="V329" i="11"/>
  <c r="V330" i="11"/>
  <c r="V331" i="11"/>
  <c r="V332" i="11"/>
  <c r="V333" i="11"/>
  <c r="V334" i="11"/>
  <c r="V335" i="11"/>
  <c r="V336" i="11"/>
  <c r="V337" i="11"/>
  <c r="V338" i="11"/>
  <c r="V339" i="11"/>
  <c r="V340" i="11"/>
  <c r="V341" i="11"/>
  <c r="V342" i="11"/>
  <c r="V343" i="11"/>
  <c r="V344" i="11"/>
  <c r="V345" i="11"/>
  <c r="V346" i="11"/>
  <c r="V347" i="11"/>
  <c r="V348" i="11"/>
  <c r="V349" i="11"/>
  <c r="V350" i="11"/>
  <c r="V351" i="11"/>
  <c r="V352" i="11"/>
  <c r="V353" i="11"/>
  <c r="V354" i="11"/>
  <c r="V355" i="11"/>
  <c r="V356" i="11"/>
  <c r="V357" i="11"/>
  <c r="V358" i="11"/>
  <c r="V359" i="11"/>
  <c r="V360" i="11"/>
  <c r="V361" i="11"/>
  <c r="V362" i="11"/>
  <c r="V363" i="11"/>
  <c r="V364" i="11"/>
  <c r="V365" i="11"/>
  <c r="V366" i="11"/>
  <c r="V367" i="11"/>
  <c r="V368" i="11"/>
  <c r="V369" i="11"/>
  <c r="V370" i="11"/>
  <c r="V371" i="11"/>
  <c r="V372" i="11"/>
  <c r="V373" i="11"/>
  <c r="V374" i="11"/>
  <c r="V375" i="11"/>
  <c r="V376" i="11"/>
  <c r="V377" i="11"/>
  <c r="V378" i="11"/>
  <c r="V379" i="11"/>
  <c r="V380" i="11"/>
  <c r="V381" i="11"/>
  <c r="V382" i="11"/>
  <c r="V383" i="11"/>
  <c r="V384" i="11"/>
  <c r="V385" i="11"/>
  <c r="V386" i="11"/>
  <c r="V387" i="11"/>
  <c r="V388" i="11"/>
  <c r="V389" i="11"/>
  <c r="V390" i="11"/>
  <c r="V391" i="11"/>
  <c r="V392" i="11"/>
  <c r="V393" i="11"/>
  <c r="V394" i="11"/>
  <c r="V395" i="11"/>
  <c r="V396" i="11"/>
  <c r="V397" i="11"/>
  <c r="V398" i="11"/>
  <c r="V399" i="11"/>
  <c r="V400" i="11"/>
  <c r="V401" i="11"/>
  <c r="V402" i="11"/>
  <c r="V403" i="11"/>
  <c r="V404" i="11"/>
  <c r="V405" i="11"/>
  <c r="V406" i="11"/>
  <c r="V407" i="11"/>
  <c r="V408" i="11"/>
  <c r="V409" i="11"/>
  <c r="V410" i="11"/>
  <c r="V411" i="11"/>
  <c r="V412" i="11"/>
  <c r="V413" i="11"/>
  <c r="V414" i="11"/>
  <c r="V415" i="11"/>
  <c r="V416" i="11"/>
  <c r="V417" i="11"/>
  <c r="V418" i="11"/>
  <c r="V419" i="11"/>
  <c r="V420" i="11"/>
  <c r="V421" i="11"/>
  <c r="V422" i="11"/>
  <c r="V423" i="11"/>
  <c r="V424" i="11"/>
  <c r="V425" i="11"/>
  <c r="V426" i="11"/>
  <c r="V427" i="11"/>
  <c r="V428" i="11"/>
  <c r="V429" i="11"/>
  <c r="V430" i="11"/>
  <c r="V431" i="11"/>
  <c r="V432" i="11"/>
  <c r="V433" i="11"/>
  <c r="V434" i="11"/>
  <c r="V435" i="11"/>
  <c r="V436" i="11"/>
  <c r="V437" i="11"/>
  <c r="V438" i="11"/>
  <c r="V439" i="11"/>
  <c r="V440" i="11"/>
  <c r="V441" i="11"/>
  <c r="V442" i="11"/>
  <c r="V443" i="11"/>
  <c r="V444" i="11"/>
  <c r="V445" i="11"/>
  <c r="V446" i="11"/>
  <c r="V447" i="11"/>
  <c r="V448" i="11"/>
  <c r="V449" i="11"/>
  <c r="V450" i="11"/>
  <c r="V451" i="11"/>
  <c r="V452" i="11"/>
  <c r="V453" i="11"/>
  <c r="V454" i="11"/>
  <c r="V455" i="11"/>
  <c r="V456" i="11"/>
  <c r="V457" i="11"/>
  <c r="V458" i="11"/>
  <c r="V459" i="11"/>
  <c r="V460" i="11"/>
  <c r="V461" i="11"/>
  <c r="V462" i="11"/>
  <c r="V463" i="11"/>
  <c r="V464" i="11"/>
  <c r="V465" i="11"/>
  <c r="V466" i="11"/>
  <c r="V467" i="11"/>
  <c r="V468" i="11"/>
  <c r="V469" i="11"/>
  <c r="V470" i="11"/>
  <c r="V471" i="11"/>
  <c r="V472" i="11"/>
  <c r="V473" i="11"/>
  <c r="V474" i="11"/>
  <c r="V475" i="11"/>
  <c r="V476" i="11"/>
  <c r="V477" i="11"/>
  <c r="V478" i="11"/>
  <c r="V479" i="11"/>
  <c r="V480" i="11"/>
  <c r="V481" i="11"/>
  <c r="V482" i="11"/>
  <c r="V483" i="11"/>
  <c r="V484" i="11"/>
  <c r="V485" i="11"/>
  <c r="V486" i="11"/>
  <c r="V487" i="11"/>
  <c r="V488" i="11"/>
  <c r="V489" i="11"/>
  <c r="V490" i="11"/>
  <c r="V491" i="11"/>
  <c r="V492" i="11"/>
  <c r="V493" i="11"/>
  <c r="V494" i="11"/>
  <c r="V495" i="11"/>
  <c r="V496" i="11"/>
  <c r="V497" i="11"/>
  <c r="V498" i="11"/>
  <c r="V499" i="11"/>
  <c r="V500" i="11"/>
  <c r="V501" i="11"/>
  <c r="V502" i="11"/>
  <c r="V503" i="11"/>
  <c r="V504" i="11"/>
  <c r="V505" i="11"/>
  <c r="V506" i="11"/>
  <c r="V507" i="11"/>
  <c r="V508" i="11"/>
  <c r="V509" i="11"/>
  <c r="V510" i="11"/>
  <c r="V511" i="11"/>
  <c r="V512" i="11"/>
  <c r="V513" i="11"/>
  <c r="V514" i="11"/>
  <c r="V515" i="11"/>
  <c r="V516" i="11"/>
  <c r="V517" i="11"/>
  <c r="V518" i="11"/>
  <c r="V519" i="11"/>
  <c r="V520" i="11"/>
  <c r="V521" i="11"/>
  <c r="V522" i="11"/>
  <c r="V523" i="11"/>
  <c r="V524" i="11"/>
  <c r="V525" i="11"/>
  <c r="V526" i="11"/>
  <c r="V527" i="11"/>
  <c r="V528" i="11"/>
  <c r="V529" i="11"/>
  <c r="V530" i="11"/>
  <c r="V531" i="11"/>
  <c r="V532" i="11"/>
  <c r="V533" i="11"/>
  <c r="V534" i="11"/>
  <c r="V535" i="11"/>
  <c r="V536" i="11"/>
  <c r="V537" i="11"/>
  <c r="V538" i="11"/>
  <c r="V539" i="11"/>
  <c r="V540" i="11"/>
  <c r="V541" i="11"/>
  <c r="V542" i="11"/>
  <c r="V543" i="11"/>
  <c r="V544" i="11"/>
  <c r="V545" i="11"/>
  <c r="V546" i="11"/>
  <c r="V547" i="11"/>
  <c r="V548" i="11"/>
  <c r="V549" i="11"/>
  <c r="V550" i="11"/>
  <c r="V551" i="11"/>
  <c r="V552" i="11"/>
  <c r="V553" i="11"/>
  <c r="V554" i="11"/>
  <c r="V555" i="11"/>
  <c r="V556" i="11"/>
  <c r="V557" i="11"/>
  <c r="V558" i="11"/>
  <c r="V559" i="11"/>
  <c r="V560" i="11"/>
  <c r="V561" i="11"/>
  <c r="V562" i="11"/>
  <c r="V563" i="11"/>
  <c r="V564" i="11"/>
  <c r="V565" i="11"/>
  <c r="V566" i="11"/>
  <c r="V567" i="11"/>
  <c r="V568" i="11"/>
  <c r="V569" i="11"/>
  <c r="V570" i="11"/>
  <c r="V571" i="11"/>
  <c r="V572" i="11"/>
  <c r="V573" i="11"/>
  <c r="V574" i="11"/>
  <c r="V575" i="11"/>
  <c r="V576" i="11"/>
  <c r="V577" i="11"/>
  <c r="V578" i="11"/>
  <c r="V579" i="11"/>
  <c r="V580" i="11"/>
  <c r="V581" i="11"/>
  <c r="V582" i="11"/>
  <c r="V583" i="11"/>
  <c r="V584" i="11"/>
  <c r="V585" i="11"/>
  <c r="V586" i="11"/>
  <c r="V587" i="11"/>
  <c r="V588" i="11"/>
  <c r="V589" i="11"/>
  <c r="V590" i="11"/>
  <c r="V591" i="11"/>
  <c r="V592" i="11"/>
  <c r="V593" i="11"/>
  <c r="V594" i="11"/>
  <c r="V595" i="11"/>
  <c r="V596" i="11"/>
  <c r="V597" i="11"/>
  <c r="V598" i="11"/>
  <c r="V599" i="11"/>
  <c r="V600" i="11"/>
  <c r="V601" i="11"/>
  <c r="V602" i="11"/>
  <c r="V603" i="11"/>
  <c r="V604" i="11"/>
  <c r="V605" i="11"/>
  <c r="V606" i="11"/>
  <c r="V607" i="11"/>
  <c r="V608" i="11"/>
  <c r="V609" i="11"/>
  <c r="V610" i="11"/>
  <c r="V611" i="11"/>
  <c r="V612" i="11"/>
  <c r="V613" i="11"/>
  <c r="V614" i="11"/>
  <c r="V615" i="11"/>
  <c r="V616" i="11"/>
  <c r="V617" i="11"/>
  <c r="V618" i="11"/>
  <c r="V619" i="11"/>
  <c r="V620" i="11"/>
  <c r="V621" i="11"/>
  <c r="V622" i="11"/>
  <c r="V623" i="11"/>
  <c r="V624" i="11"/>
  <c r="V625" i="11"/>
  <c r="V626" i="11"/>
  <c r="V627" i="11"/>
  <c r="V628" i="11"/>
  <c r="V629" i="11"/>
  <c r="V630" i="11"/>
  <c r="V631" i="11"/>
  <c r="V632" i="11"/>
  <c r="V633" i="11"/>
  <c r="V634" i="11"/>
  <c r="V635" i="11"/>
  <c r="V636" i="11"/>
  <c r="V637" i="11"/>
  <c r="V638" i="11"/>
  <c r="V639" i="11"/>
  <c r="V640" i="11"/>
  <c r="V641" i="11"/>
  <c r="V642" i="11"/>
  <c r="V643" i="11"/>
  <c r="V644" i="11"/>
  <c r="V645" i="11"/>
  <c r="V646" i="11"/>
  <c r="V647" i="11"/>
  <c r="V648" i="11"/>
  <c r="V649" i="11"/>
  <c r="V650" i="11"/>
  <c r="V651" i="11"/>
  <c r="V652" i="11"/>
  <c r="V653" i="11"/>
  <c r="V654" i="11"/>
  <c r="V655" i="11"/>
  <c r="V656" i="11"/>
  <c r="V657" i="11"/>
  <c r="V658" i="11"/>
  <c r="V659" i="11"/>
  <c r="V660" i="11"/>
  <c r="V661" i="11"/>
  <c r="V662" i="11"/>
  <c r="V663" i="11"/>
  <c r="V664" i="11"/>
  <c r="V665" i="11"/>
  <c r="V666" i="11"/>
  <c r="V667" i="11"/>
  <c r="V668" i="11"/>
  <c r="V669" i="11"/>
  <c r="V670" i="11"/>
  <c r="V671" i="11"/>
  <c r="V672" i="11"/>
  <c r="V673" i="11"/>
  <c r="V674" i="11"/>
  <c r="V675" i="11"/>
  <c r="V676" i="11"/>
  <c r="V677" i="11"/>
  <c r="V678" i="11"/>
  <c r="V679" i="11"/>
  <c r="V680" i="11"/>
  <c r="V681" i="11"/>
  <c r="V682" i="11"/>
  <c r="V683" i="11"/>
  <c r="V684" i="11"/>
  <c r="V685" i="11"/>
  <c r="V686" i="11"/>
  <c r="V687" i="11"/>
  <c r="V688" i="11"/>
  <c r="V689" i="11"/>
  <c r="V690" i="11"/>
  <c r="V691" i="11"/>
  <c r="V692" i="11"/>
  <c r="V693" i="11"/>
  <c r="V694" i="11"/>
  <c r="V695" i="11"/>
  <c r="V696" i="11"/>
  <c r="V697" i="11"/>
  <c r="V698" i="11"/>
  <c r="V699" i="11"/>
  <c r="V700" i="11"/>
  <c r="V701" i="11"/>
  <c r="W2" i="11"/>
  <c r="W3" i="11"/>
  <c r="W4" i="11"/>
  <c r="W5" i="11"/>
  <c r="W6" i="1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W54" i="11"/>
  <c r="W55" i="11"/>
  <c r="W56" i="11"/>
  <c r="W57" i="11"/>
  <c r="W58" i="11"/>
  <c r="W59" i="11"/>
  <c r="W60" i="11"/>
  <c r="W61" i="11"/>
  <c r="W62" i="11"/>
  <c r="W63" i="11"/>
  <c r="W64" i="11"/>
  <c r="W65" i="11"/>
  <c r="W66" i="11"/>
  <c r="W67" i="11"/>
  <c r="W68" i="11"/>
  <c r="W69" i="11"/>
  <c r="W70" i="11"/>
  <c r="W71" i="11"/>
  <c r="W72" i="11"/>
  <c r="W73" i="11"/>
  <c r="W74" i="11"/>
  <c r="W75" i="11"/>
  <c r="W76" i="11"/>
  <c r="W77" i="11"/>
  <c r="W78" i="11"/>
  <c r="W79" i="11"/>
  <c r="W80" i="11"/>
  <c r="W81" i="11"/>
  <c r="W82" i="11"/>
  <c r="W83" i="11"/>
  <c r="W84" i="11"/>
  <c r="W85" i="11"/>
  <c r="W86" i="11"/>
  <c r="W87" i="11"/>
  <c r="W88" i="11"/>
  <c r="W89" i="11"/>
  <c r="W90" i="11"/>
  <c r="W91" i="11"/>
  <c r="W92" i="11"/>
  <c r="W93" i="11"/>
  <c r="W94" i="11"/>
  <c r="W95" i="11"/>
  <c r="W96" i="11"/>
  <c r="W97" i="11"/>
  <c r="W98" i="11"/>
  <c r="W99" i="11"/>
  <c r="W100" i="11"/>
  <c r="W101" i="11"/>
  <c r="W102" i="11"/>
  <c r="W103" i="11"/>
  <c r="W104" i="11"/>
  <c r="W105" i="11"/>
  <c r="W106" i="11"/>
  <c r="W107" i="11"/>
  <c r="W108" i="11"/>
  <c r="W109" i="11"/>
  <c r="W110" i="11"/>
  <c r="W111" i="11"/>
  <c r="W112" i="11"/>
  <c r="W113" i="11"/>
  <c r="W114" i="11"/>
  <c r="W115" i="11"/>
  <c r="W116" i="11"/>
  <c r="W117" i="11"/>
  <c r="W118" i="11"/>
  <c r="W119" i="11"/>
  <c r="W120" i="11"/>
  <c r="W121" i="11"/>
  <c r="W122" i="11"/>
  <c r="W123" i="11"/>
  <c r="W124" i="11"/>
  <c r="W125" i="11"/>
  <c r="W126" i="11"/>
  <c r="W127" i="11"/>
  <c r="W128" i="11"/>
  <c r="W129" i="11"/>
  <c r="W130" i="11"/>
  <c r="W131" i="11"/>
  <c r="W132" i="11"/>
  <c r="W133" i="11"/>
  <c r="W134" i="11"/>
  <c r="W135" i="11"/>
  <c r="W136" i="11"/>
  <c r="W137" i="11"/>
  <c r="W138" i="11"/>
  <c r="W139" i="11"/>
  <c r="W140" i="11"/>
  <c r="W141" i="11"/>
  <c r="W142" i="11"/>
  <c r="W143" i="11"/>
  <c r="W144" i="11"/>
  <c r="W145" i="11"/>
  <c r="W146" i="11"/>
  <c r="W147" i="11"/>
  <c r="W148" i="11"/>
  <c r="W149" i="11"/>
  <c r="W150" i="11"/>
  <c r="W151" i="11"/>
  <c r="W152" i="11"/>
  <c r="W153" i="11"/>
  <c r="W154" i="11"/>
  <c r="W155" i="11"/>
  <c r="W156" i="11"/>
  <c r="W157" i="11"/>
  <c r="W158" i="11"/>
  <c r="W159" i="11"/>
  <c r="W160" i="11"/>
  <c r="W161" i="11"/>
  <c r="W162" i="11"/>
  <c r="W163" i="11"/>
  <c r="W164" i="11"/>
  <c r="W165" i="11"/>
  <c r="W166" i="11"/>
  <c r="W167" i="11"/>
  <c r="W168" i="11"/>
  <c r="W169" i="11"/>
  <c r="W170" i="11"/>
  <c r="W171" i="11"/>
  <c r="W172" i="11"/>
  <c r="W173" i="11"/>
  <c r="W174" i="11"/>
  <c r="W175" i="11"/>
  <c r="W176" i="11"/>
  <c r="W177" i="11"/>
  <c r="W178" i="11"/>
  <c r="W179" i="11"/>
  <c r="W180" i="11"/>
  <c r="W181" i="11"/>
  <c r="W182" i="11"/>
  <c r="W183" i="11"/>
  <c r="W184" i="11"/>
  <c r="W185" i="11"/>
  <c r="W186" i="11"/>
  <c r="W187" i="11"/>
  <c r="W188" i="11"/>
  <c r="W189" i="11"/>
  <c r="W190" i="11"/>
  <c r="W191" i="11"/>
  <c r="W192" i="11"/>
  <c r="W193" i="11"/>
  <c r="W194" i="11"/>
  <c r="W195" i="11"/>
  <c r="W196" i="11"/>
  <c r="W197" i="11"/>
  <c r="W198" i="11"/>
  <c r="W199" i="11"/>
  <c r="W200" i="11"/>
  <c r="W201" i="11"/>
  <c r="W202" i="11"/>
  <c r="W203" i="11"/>
  <c r="W204" i="11"/>
  <c r="W205" i="11"/>
  <c r="W206" i="11"/>
  <c r="W207" i="11"/>
  <c r="W208" i="11"/>
  <c r="W209" i="11"/>
  <c r="W210" i="11"/>
  <c r="W211" i="11"/>
  <c r="W212" i="11"/>
  <c r="W213" i="11"/>
  <c r="W214" i="11"/>
  <c r="W215" i="11"/>
  <c r="W216" i="11"/>
  <c r="W217" i="11"/>
  <c r="W218" i="11"/>
  <c r="W219" i="11"/>
  <c r="W220" i="11"/>
  <c r="W221" i="11"/>
  <c r="W222" i="11"/>
  <c r="W223" i="11"/>
  <c r="W224" i="11"/>
  <c r="W225" i="11"/>
  <c r="W226" i="11"/>
  <c r="W227" i="11"/>
  <c r="W228" i="11"/>
  <c r="W229" i="11"/>
  <c r="W230" i="11"/>
  <c r="W231" i="11"/>
  <c r="W232" i="11"/>
  <c r="W233" i="11"/>
  <c r="W234" i="11"/>
  <c r="W235" i="11"/>
  <c r="W236" i="11"/>
  <c r="W237" i="11"/>
  <c r="W238" i="11"/>
  <c r="W239" i="11"/>
  <c r="W240" i="11"/>
  <c r="W241" i="11"/>
  <c r="W242" i="11"/>
  <c r="W243" i="11"/>
  <c r="W244" i="11"/>
  <c r="W245" i="11"/>
  <c r="W246" i="11"/>
  <c r="W247" i="11"/>
  <c r="W248" i="11"/>
  <c r="W249" i="11"/>
  <c r="W250" i="11"/>
  <c r="W251" i="11"/>
  <c r="W252" i="11"/>
  <c r="W253" i="11"/>
  <c r="W254" i="11"/>
  <c r="W255" i="11"/>
  <c r="W256" i="11"/>
  <c r="W257" i="11"/>
  <c r="W258" i="11"/>
  <c r="W259" i="11"/>
  <c r="W260" i="11"/>
  <c r="W261" i="11"/>
  <c r="W262" i="11"/>
  <c r="W263" i="11"/>
  <c r="W264" i="11"/>
  <c r="W265" i="11"/>
  <c r="W266" i="11"/>
  <c r="W267" i="11"/>
  <c r="W268" i="11"/>
  <c r="W269" i="11"/>
  <c r="W270" i="11"/>
  <c r="W271" i="11"/>
  <c r="W272" i="11"/>
  <c r="W273" i="11"/>
  <c r="W274" i="11"/>
  <c r="W275" i="11"/>
  <c r="W276" i="11"/>
  <c r="W277" i="11"/>
  <c r="W278" i="11"/>
  <c r="W279" i="11"/>
  <c r="W280" i="11"/>
  <c r="W281" i="11"/>
  <c r="W282" i="11"/>
  <c r="W283" i="11"/>
  <c r="W284" i="11"/>
  <c r="W285" i="11"/>
  <c r="W286" i="11"/>
  <c r="W287" i="11"/>
  <c r="W288" i="11"/>
  <c r="W289" i="11"/>
  <c r="W290" i="11"/>
  <c r="W291" i="11"/>
  <c r="W292" i="11"/>
  <c r="W293" i="11"/>
  <c r="W294" i="11"/>
  <c r="W295" i="11"/>
  <c r="W296" i="11"/>
  <c r="W297" i="11"/>
  <c r="W298" i="11"/>
  <c r="W299" i="11"/>
  <c r="W300" i="11"/>
  <c r="W301" i="11"/>
  <c r="W302" i="11"/>
  <c r="W303" i="11"/>
  <c r="W304" i="11"/>
  <c r="W305" i="11"/>
  <c r="W306" i="11"/>
  <c r="W307" i="11"/>
  <c r="W308" i="11"/>
  <c r="W309" i="11"/>
  <c r="W310" i="11"/>
  <c r="W311" i="11"/>
  <c r="W312" i="11"/>
  <c r="W313" i="11"/>
  <c r="W314" i="11"/>
  <c r="W315" i="11"/>
  <c r="W316" i="11"/>
  <c r="W317" i="11"/>
  <c r="W318" i="11"/>
  <c r="W319" i="11"/>
  <c r="W320" i="11"/>
  <c r="W321" i="11"/>
  <c r="W322" i="11"/>
  <c r="W323" i="11"/>
  <c r="W324" i="11"/>
  <c r="W325" i="11"/>
  <c r="W326" i="11"/>
  <c r="W327" i="11"/>
  <c r="W328" i="11"/>
  <c r="W329" i="11"/>
  <c r="W330" i="11"/>
  <c r="W331" i="11"/>
  <c r="W332" i="11"/>
  <c r="W333" i="11"/>
  <c r="W334" i="11"/>
  <c r="W335" i="11"/>
  <c r="W336" i="11"/>
  <c r="W337" i="11"/>
  <c r="W338" i="11"/>
  <c r="W339" i="11"/>
  <c r="W340" i="11"/>
  <c r="W341" i="11"/>
  <c r="W342" i="11"/>
  <c r="W343" i="11"/>
  <c r="W344" i="11"/>
  <c r="W345" i="11"/>
  <c r="W346" i="11"/>
  <c r="W347" i="11"/>
  <c r="W348" i="11"/>
  <c r="W349" i="11"/>
  <c r="W350" i="11"/>
  <c r="W351" i="11"/>
  <c r="W352" i="11"/>
  <c r="W353" i="11"/>
  <c r="W354" i="11"/>
  <c r="W355" i="11"/>
  <c r="W356" i="11"/>
  <c r="W357" i="11"/>
  <c r="W358" i="11"/>
  <c r="W359" i="11"/>
  <c r="W360" i="11"/>
  <c r="W361" i="11"/>
  <c r="W362" i="11"/>
  <c r="W363" i="11"/>
  <c r="W364" i="11"/>
  <c r="W365" i="11"/>
  <c r="W366" i="11"/>
  <c r="W367" i="11"/>
  <c r="W368" i="11"/>
  <c r="W369" i="11"/>
  <c r="W370" i="11"/>
  <c r="W371" i="11"/>
  <c r="W372" i="11"/>
  <c r="W373" i="11"/>
  <c r="W374" i="11"/>
  <c r="W375" i="11"/>
  <c r="W376" i="11"/>
  <c r="W377" i="11"/>
  <c r="W378" i="11"/>
  <c r="W379" i="11"/>
  <c r="W380" i="11"/>
  <c r="W381" i="11"/>
  <c r="W382" i="11"/>
  <c r="W383" i="11"/>
  <c r="W384" i="11"/>
  <c r="W385" i="11"/>
  <c r="W386" i="11"/>
  <c r="W387" i="11"/>
  <c r="W388" i="11"/>
  <c r="W389" i="11"/>
  <c r="W390" i="11"/>
  <c r="W391" i="11"/>
  <c r="W392" i="11"/>
  <c r="W393" i="11"/>
  <c r="W394" i="11"/>
  <c r="W395" i="11"/>
  <c r="W396" i="11"/>
  <c r="W397" i="11"/>
  <c r="W398" i="11"/>
  <c r="W399" i="11"/>
  <c r="W400" i="11"/>
  <c r="W401" i="11"/>
  <c r="W402" i="11"/>
  <c r="W403" i="11"/>
  <c r="W404" i="11"/>
  <c r="W405" i="11"/>
  <c r="W406" i="11"/>
  <c r="W407" i="11"/>
  <c r="W408" i="11"/>
  <c r="W409" i="11"/>
  <c r="W410" i="11"/>
  <c r="W411" i="11"/>
  <c r="W412" i="11"/>
  <c r="W413" i="11"/>
  <c r="W414" i="11"/>
  <c r="W415" i="11"/>
  <c r="W416" i="11"/>
  <c r="W417" i="11"/>
  <c r="W418" i="11"/>
  <c r="W419" i="11"/>
  <c r="W420" i="11"/>
  <c r="W421" i="11"/>
  <c r="W422" i="11"/>
  <c r="W423" i="11"/>
  <c r="W424" i="11"/>
  <c r="W425" i="11"/>
  <c r="W426" i="11"/>
  <c r="W427" i="11"/>
  <c r="W428" i="11"/>
  <c r="W429" i="11"/>
  <c r="W430" i="11"/>
  <c r="W431" i="11"/>
  <c r="W432" i="11"/>
  <c r="W433" i="11"/>
  <c r="W434" i="11"/>
  <c r="W435" i="11"/>
  <c r="W436" i="11"/>
  <c r="W437" i="11"/>
  <c r="W438" i="11"/>
  <c r="W439" i="11"/>
  <c r="W440" i="11"/>
  <c r="W441" i="11"/>
  <c r="W442" i="11"/>
  <c r="W443" i="11"/>
  <c r="W444" i="11"/>
  <c r="W445" i="11"/>
  <c r="W446" i="11"/>
  <c r="W447" i="11"/>
  <c r="W448" i="11"/>
  <c r="W449" i="11"/>
  <c r="W450" i="11"/>
  <c r="W451" i="11"/>
  <c r="W452" i="11"/>
  <c r="W453" i="11"/>
  <c r="W454" i="11"/>
  <c r="W455" i="11"/>
  <c r="W456" i="11"/>
  <c r="W457" i="11"/>
  <c r="W458" i="11"/>
  <c r="W459" i="11"/>
  <c r="W460" i="11"/>
  <c r="W461" i="11"/>
  <c r="W462" i="11"/>
  <c r="W463" i="11"/>
  <c r="W464" i="11"/>
  <c r="W465" i="11"/>
  <c r="W466" i="11"/>
  <c r="W467" i="11"/>
  <c r="W468" i="11"/>
  <c r="W469" i="11"/>
  <c r="W470" i="11"/>
  <c r="W471" i="11"/>
  <c r="W472" i="11"/>
  <c r="W473" i="11"/>
  <c r="W474" i="11"/>
  <c r="W475" i="11"/>
  <c r="W476" i="11"/>
  <c r="W477" i="11"/>
  <c r="W478" i="11"/>
  <c r="W479" i="11"/>
  <c r="W480" i="11"/>
  <c r="W481" i="11"/>
  <c r="W482" i="11"/>
  <c r="W483" i="11"/>
  <c r="W484" i="11"/>
  <c r="W485" i="11"/>
  <c r="W486" i="11"/>
  <c r="W487" i="11"/>
  <c r="W488" i="11"/>
  <c r="W489" i="11"/>
  <c r="W490" i="11"/>
  <c r="W491" i="11"/>
  <c r="W492" i="11"/>
  <c r="W493" i="11"/>
  <c r="W494" i="11"/>
  <c r="W495" i="11"/>
  <c r="W496" i="11"/>
  <c r="W497" i="11"/>
  <c r="W498" i="11"/>
  <c r="W499" i="11"/>
  <c r="W500" i="11"/>
  <c r="W501" i="11"/>
  <c r="W502" i="11"/>
  <c r="W503" i="11"/>
  <c r="W504" i="11"/>
  <c r="W505" i="11"/>
  <c r="W506" i="11"/>
  <c r="W507" i="11"/>
  <c r="W508" i="11"/>
  <c r="W509" i="11"/>
  <c r="W510" i="11"/>
  <c r="W511" i="11"/>
  <c r="W512" i="11"/>
  <c r="W513" i="11"/>
  <c r="W514" i="11"/>
  <c r="W515" i="11"/>
  <c r="W516" i="11"/>
  <c r="W517" i="11"/>
  <c r="W518" i="11"/>
  <c r="W519" i="11"/>
  <c r="W520" i="11"/>
  <c r="W521" i="11"/>
  <c r="W522" i="11"/>
  <c r="W523" i="11"/>
  <c r="W524" i="11"/>
  <c r="W525" i="11"/>
  <c r="W526" i="11"/>
  <c r="W527" i="11"/>
  <c r="W528" i="11"/>
  <c r="W529" i="11"/>
  <c r="W530" i="11"/>
  <c r="W531" i="11"/>
  <c r="W532" i="11"/>
  <c r="W533" i="11"/>
  <c r="W534" i="11"/>
  <c r="W535" i="11"/>
  <c r="W536" i="11"/>
  <c r="W537" i="11"/>
  <c r="W538" i="11"/>
  <c r="W539" i="11"/>
  <c r="W540" i="11"/>
  <c r="W541" i="11"/>
  <c r="W542" i="11"/>
  <c r="W543" i="11"/>
  <c r="W544" i="11"/>
  <c r="W545" i="11"/>
  <c r="W546" i="11"/>
  <c r="W547" i="11"/>
  <c r="W548" i="11"/>
  <c r="W549" i="11"/>
  <c r="W550" i="11"/>
  <c r="W551" i="11"/>
  <c r="W552" i="11"/>
  <c r="W553" i="11"/>
  <c r="W554" i="11"/>
  <c r="W555" i="11"/>
  <c r="W556" i="11"/>
  <c r="W557" i="11"/>
  <c r="W558" i="11"/>
  <c r="W559" i="11"/>
  <c r="W560" i="11"/>
  <c r="W561" i="11"/>
  <c r="W562" i="11"/>
  <c r="W563" i="11"/>
  <c r="W564" i="11"/>
  <c r="W565" i="11"/>
  <c r="W566" i="11"/>
  <c r="W567" i="11"/>
  <c r="W568" i="11"/>
  <c r="W569" i="11"/>
  <c r="W570" i="11"/>
  <c r="W571" i="11"/>
  <c r="W572" i="11"/>
  <c r="W573" i="11"/>
  <c r="W574" i="11"/>
  <c r="W575" i="11"/>
  <c r="W576" i="11"/>
  <c r="W577" i="11"/>
  <c r="W578" i="11"/>
  <c r="W579" i="11"/>
  <c r="W580" i="11"/>
  <c r="W581" i="11"/>
  <c r="W582" i="11"/>
  <c r="W583" i="11"/>
  <c r="W584" i="11"/>
  <c r="W585" i="11"/>
  <c r="W586" i="11"/>
  <c r="W587" i="11"/>
  <c r="W588" i="11"/>
  <c r="W589" i="11"/>
  <c r="W590" i="11"/>
  <c r="W591" i="11"/>
  <c r="W592" i="11"/>
  <c r="W593" i="11"/>
  <c r="W594" i="11"/>
  <c r="W595" i="11"/>
  <c r="W596" i="11"/>
  <c r="W597" i="11"/>
  <c r="W598" i="11"/>
  <c r="W599" i="11"/>
  <c r="W600" i="11"/>
  <c r="W601" i="11"/>
  <c r="W602" i="11"/>
  <c r="W603" i="11"/>
  <c r="W604" i="11"/>
  <c r="W605" i="11"/>
  <c r="W606" i="11"/>
  <c r="W607" i="11"/>
  <c r="W608" i="11"/>
  <c r="W609" i="11"/>
  <c r="W610" i="11"/>
  <c r="W611" i="11"/>
  <c r="W612" i="11"/>
  <c r="W613" i="11"/>
  <c r="W614" i="11"/>
  <c r="W615" i="11"/>
  <c r="W616" i="11"/>
  <c r="W617" i="11"/>
  <c r="W618" i="11"/>
  <c r="W619" i="11"/>
  <c r="W620" i="11"/>
  <c r="W621" i="11"/>
  <c r="W622" i="11"/>
  <c r="W623" i="11"/>
  <c r="W624" i="11"/>
  <c r="W625" i="11"/>
  <c r="W626" i="11"/>
  <c r="W627" i="11"/>
  <c r="W628" i="11"/>
  <c r="W629" i="11"/>
  <c r="W630" i="11"/>
  <c r="W631" i="11"/>
  <c r="W632" i="11"/>
  <c r="W633" i="11"/>
  <c r="W634" i="11"/>
  <c r="W635" i="11"/>
  <c r="W636" i="11"/>
  <c r="W637" i="11"/>
  <c r="W638" i="11"/>
  <c r="W639" i="11"/>
  <c r="W640" i="11"/>
  <c r="W641" i="11"/>
  <c r="W642" i="11"/>
  <c r="W643" i="11"/>
  <c r="W644" i="11"/>
  <c r="W645" i="11"/>
  <c r="W646" i="11"/>
  <c r="W647" i="11"/>
  <c r="W648" i="11"/>
  <c r="W649" i="11"/>
  <c r="W650" i="11"/>
  <c r="W651" i="11"/>
  <c r="W652" i="11"/>
  <c r="W653" i="11"/>
  <c r="W654" i="11"/>
  <c r="W655" i="11"/>
  <c r="W656" i="11"/>
  <c r="W657" i="11"/>
  <c r="W658" i="11"/>
  <c r="W659" i="11"/>
  <c r="W660" i="11"/>
  <c r="W661" i="11"/>
  <c r="W662" i="11"/>
  <c r="W663" i="11"/>
  <c r="W664" i="11"/>
  <c r="W665" i="11"/>
  <c r="W666" i="11"/>
  <c r="W667" i="11"/>
  <c r="W668" i="11"/>
  <c r="W669" i="11"/>
  <c r="W670" i="11"/>
  <c r="W671" i="11"/>
  <c r="W672" i="11"/>
  <c r="W673" i="11"/>
  <c r="W674" i="11"/>
  <c r="W675" i="11"/>
  <c r="W676" i="11"/>
  <c r="W677" i="11"/>
  <c r="W678" i="11"/>
  <c r="W679" i="11"/>
  <c r="W680" i="11"/>
  <c r="W681" i="11"/>
  <c r="W682" i="11"/>
  <c r="W683" i="11"/>
  <c r="W684" i="11"/>
  <c r="W685" i="11"/>
  <c r="W686" i="11"/>
  <c r="W687" i="11"/>
  <c r="W688" i="11"/>
  <c r="W689" i="11"/>
  <c r="W690" i="11"/>
  <c r="W691" i="11"/>
  <c r="W692" i="11"/>
  <c r="W693" i="11"/>
  <c r="W694" i="11"/>
  <c r="W695" i="11"/>
  <c r="W696" i="11"/>
  <c r="W697" i="11"/>
  <c r="W698" i="11"/>
  <c r="W699" i="11"/>
  <c r="W700" i="11"/>
  <c r="W701" i="11"/>
  <c r="B57" i="9"/>
  <c r="B56" i="9"/>
  <c r="B55" i="9"/>
  <c r="B54" i="9"/>
  <c r="B53" i="9"/>
  <c r="I53" i="9"/>
  <c r="P35" i="6"/>
  <c r="E54" i="9"/>
  <c r="F54" i="9"/>
  <c r="P34" i="6"/>
  <c r="C56" i="9"/>
  <c r="E53" i="9"/>
  <c r="C52" i="9"/>
  <c r="F53" i="9"/>
  <c r="D54" i="9"/>
  <c r="I56" i="9"/>
  <c r="C55" i="9"/>
  <c r="P37" i="6"/>
  <c r="G55" i="9"/>
  <c r="I54" i="9"/>
  <c r="D53" i="9"/>
  <c r="G54" i="9"/>
  <c r="I57" i="9"/>
  <c r="I55" i="9"/>
  <c r="F52" i="9"/>
  <c r="P33" i="6"/>
  <c r="F57" i="9"/>
  <c r="D52" i="9"/>
  <c r="G53" i="9"/>
  <c r="D57" i="9"/>
  <c r="C54" i="9"/>
  <c r="F56" i="9"/>
  <c r="C53" i="9"/>
  <c r="F55" i="9"/>
  <c r="D55" i="9"/>
  <c r="P36" i="6"/>
  <c r="E57" i="9"/>
  <c r="P32" i="6"/>
  <c r="I52" i="9"/>
  <c r="E56" i="9"/>
  <c r="G57" i="9"/>
  <c r="G56" i="9"/>
  <c r="G52" i="9"/>
  <c r="C57" i="9"/>
  <c r="E52" i="9"/>
  <c r="D56" i="9"/>
  <c r="E55" i="9"/>
  <c r="F4" i="7"/>
  <c r="H55" i="9" l="1"/>
  <c r="H52" i="9"/>
  <c r="H53" i="9"/>
  <c r="H54" i="9"/>
  <c r="H57" i="9"/>
  <c r="H56" i="9"/>
  <c r="K4" i="6"/>
  <c r="G11" i="7"/>
  <c r="G13" i="7"/>
  <c r="G12" i="7"/>
  <c r="M4" i="7"/>
  <c r="G14" i="7"/>
  <c r="J8" i="7"/>
  <c r="J4" i="7"/>
  <c r="J6" i="7"/>
  <c r="J5" i="7"/>
  <c r="J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127838-D0CC-F74F-A6B7-91EF221E5DBB}" keepAlive="1" name="Query - financial_data" description="Connection to the 'financial_data' query in the workbook." type="5" refreshedVersion="8" background="1" saveData="1">
    <dbPr connection="Provider=Microsoft.Mashup.OleDb.1;Data Source=$Workbook$;Location=financial_data;Extended Properties=&quot;&quot;" command="SELECT * FROM [financial_data]"/>
  </connection>
  <connection id="2" xr16:uid="{60A5C7E8-2381-FC49-9066-5C1E1D7B99DF}" keepAlive="1" name="Query - financial_data (2)" description="Connection to the 'financial_data (2)' query in the workbook." type="5" refreshedVersion="8" background="1" saveData="1">
    <dbPr connection="Provider=Microsoft.Mashup.OleDb.1;Data Source=$Workbook$;Location=&quot;financial_data (2)&quot;;Extended Properties=&quot;&quot;" command="SELECT * FROM [financial_data (2)]"/>
  </connection>
  <connection id="3" xr16:uid="{CAD4F7D6-8693-714A-897F-511305DE15D5}" keepAlive="1" name="Query - financial_data (3)" description="Connection to the 'financial_data (3)' query in the workbook." type="5" refreshedVersion="8" background="1" saveData="1">
    <dbPr connection="Provider=Microsoft.Mashup.OleDb.1;Data Source=$Workbook$;Location=&quot;financial_data (3)&quot;;Extended Properties=&quot;&quot;" command="SELECT * FROM [financial_data (3)]"/>
  </connection>
  <connection id="4" xr16:uid="{22BC213A-B6E8-B742-911E-DD39BB87FAC3}" keepAlive="1" name="Query - financial_data (4)" description="Connection to the 'financial_data (4)' query in the workbook." type="5" refreshedVersion="8" background="1" saveData="1">
    <dbPr connection="Provider=Microsoft.Mashup.OleDb.1;Data Source=$Workbook$;Location=&quot;financial_data (4)&quot;;Extended Properties=&quot;&quot;" command="SELECT * FROM [financial_data (4)]"/>
  </connection>
</connections>
</file>

<file path=xl/sharedStrings.xml><?xml version="1.0" encoding="utf-8"?>
<sst xmlns="http://schemas.openxmlformats.org/spreadsheetml/2006/main" count="8571" uniqueCount="1166">
  <si>
    <t>Segment</t>
  </si>
  <si>
    <t>Country</t>
  </si>
  <si>
    <t xml:space="preserve"> Product </t>
  </si>
  <si>
    <t xml:space="preserve"> Discount Band </t>
  </si>
  <si>
    <t xml:space="preserve"> Units Sold </t>
  </si>
  <si>
    <t xml:space="preserve"> Manufacturing Price </t>
  </si>
  <si>
    <t xml:space="preserve"> Sale Price </t>
  </si>
  <si>
    <t xml:space="preserve"> Gross Sales </t>
  </si>
  <si>
    <t xml:space="preserve"> Discounts </t>
  </si>
  <si>
    <t xml:space="preserve">  Sales </t>
  </si>
  <si>
    <t xml:space="preserve"> COGS </t>
  </si>
  <si>
    <t>Date</t>
  </si>
  <si>
    <t>Month Number</t>
  </si>
  <si>
    <t xml:space="preserve"> Month Name </t>
  </si>
  <si>
    <t>Year</t>
  </si>
  <si>
    <t>Government</t>
  </si>
  <si>
    <t>Canada</t>
  </si>
  <si>
    <t xml:space="preserve"> Carretera </t>
  </si>
  <si>
    <t xml:space="preserve"> None </t>
  </si>
  <si>
    <t xml:space="preserve"> January </t>
  </si>
  <si>
    <t>Germany</t>
  </si>
  <si>
    <t>Midmarket</t>
  </si>
  <si>
    <t>France</t>
  </si>
  <si>
    <t xml:space="preserve"> June </t>
  </si>
  <si>
    <t>Mexico</t>
  </si>
  <si>
    <t xml:space="preserve"> December </t>
  </si>
  <si>
    <t xml:space="preserve"> Montana </t>
  </si>
  <si>
    <t xml:space="preserve"> March </t>
  </si>
  <si>
    <t>Channel Partners</t>
  </si>
  <si>
    <t>Enterprise</t>
  </si>
  <si>
    <t xml:space="preserve"> July </t>
  </si>
  <si>
    <t>Small Business</t>
  </si>
  <si>
    <t xml:space="preserve"> August </t>
  </si>
  <si>
    <t xml:space="preserve"> September </t>
  </si>
  <si>
    <t xml:space="preserve"> October </t>
  </si>
  <si>
    <t>United States of America</t>
  </si>
  <si>
    <t xml:space="preserve"> Paseo </t>
  </si>
  <si>
    <t xml:space="preserve"> February </t>
  </si>
  <si>
    <t xml:space="preserve"> November </t>
  </si>
  <si>
    <t xml:space="preserve"> Velo </t>
  </si>
  <si>
    <t xml:space="preserve"> VTT </t>
  </si>
  <si>
    <t xml:space="preserve"> April </t>
  </si>
  <si>
    <t xml:space="preserve"> Amarilla </t>
  </si>
  <si>
    <t xml:space="preserve"> Low </t>
  </si>
  <si>
    <t xml:space="preserve"> May </t>
  </si>
  <si>
    <t xml:space="preserve"> Medium </t>
  </si>
  <si>
    <t xml:space="preserve"> High </t>
  </si>
  <si>
    <t>Row Labels</t>
  </si>
  <si>
    <t>Grand Total</t>
  </si>
  <si>
    <t xml:space="preserve">Sum of   Sales </t>
  </si>
  <si>
    <t>Profit margin</t>
  </si>
  <si>
    <t>Sales Category</t>
  </si>
  <si>
    <t>Error check</t>
  </si>
  <si>
    <t>Profit Status</t>
  </si>
  <si>
    <t>Sales Size</t>
  </si>
  <si>
    <t xml:space="preserve">Sum of  Gross Sales </t>
  </si>
  <si>
    <t xml:space="preserve">Sum of  Units Sold </t>
  </si>
  <si>
    <t xml:space="preserve">Sum of  Discounts </t>
  </si>
  <si>
    <t>Profit Margin</t>
  </si>
  <si>
    <t>month-year</t>
  </si>
  <si>
    <t>2013</t>
  </si>
  <si>
    <t>Element</t>
  </si>
  <si>
    <t>HEX</t>
  </si>
  <si>
    <t>Background</t>
  </si>
  <si>
    <t>#F8FAFC</t>
  </si>
  <si>
    <t>KPI Card</t>
  </si>
  <si>
    <t>#FFFFFF</t>
  </si>
  <si>
    <t>Border</t>
  </si>
  <si>
    <t>#E5E7EB</t>
  </si>
  <si>
    <t>Main Title</t>
  </si>
  <si>
    <t>#0F2D62</t>
  </si>
  <si>
    <t>KPI Value</t>
  </si>
  <si>
    <t>#0B1F44</t>
  </si>
  <si>
    <t>KPI Title</t>
  </si>
  <si>
    <t>#6B7280</t>
  </si>
  <si>
    <t>Subtitle</t>
  </si>
  <si>
    <t>#94A3B8</t>
  </si>
  <si>
    <t>Sales</t>
  </si>
  <si>
    <t>Saleds</t>
  </si>
  <si>
    <t xml:space="preserve">Count of  Discounts </t>
  </si>
  <si>
    <t xml:space="preserve">Units Sold </t>
  </si>
  <si>
    <t>Sales($)</t>
  </si>
  <si>
    <t>Gross Sales($)</t>
  </si>
  <si>
    <t>COGS($)</t>
  </si>
  <si>
    <t>Discounts($)</t>
  </si>
  <si>
    <t>Profit($)</t>
  </si>
  <si>
    <t>Profti Margin(%)</t>
  </si>
  <si>
    <t xml:space="preserve">Sales </t>
  </si>
  <si>
    <t xml:space="preserve"> Profit </t>
  </si>
  <si>
    <t>2014</t>
  </si>
  <si>
    <t>ISDate</t>
  </si>
  <si>
    <t xml:space="preserve">Sum of  Profit </t>
  </si>
  <si>
    <t xml:space="preserve">Sum of  COGS </t>
  </si>
  <si>
    <t>Sep</t>
  </si>
  <si>
    <t>Oct</t>
  </si>
  <si>
    <t>Nov</t>
  </si>
  <si>
    <t>Dec</t>
  </si>
  <si>
    <t>Jan</t>
  </si>
  <si>
    <t>Feb</t>
  </si>
  <si>
    <t>Mar</t>
  </si>
  <si>
    <t>Apr</t>
  </si>
  <si>
    <t>May</t>
  </si>
  <si>
    <t>Jun</t>
  </si>
  <si>
    <t>Jul</t>
  </si>
  <si>
    <t>Aug</t>
  </si>
  <si>
    <t xml:space="preserve"> $-   </t>
  </si>
  <si>
    <t xml:space="preserve"> $16,185.00 </t>
  </si>
  <si>
    <t xml:space="preserve"> $13,210.00 </t>
  </si>
  <si>
    <t xml:space="preserve"> $10,890.00 </t>
  </si>
  <si>
    <t xml:space="preserve"> $4,440.00 </t>
  </si>
  <si>
    <t xml:space="preserve"> $12,350.00 </t>
  </si>
  <si>
    <t xml:space="preserve"> $136,170.00 </t>
  </si>
  <si>
    <t xml:space="preserve"> $4,605.00 </t>
  </si>
  <si>
    <t xml:space="preserve"> $22,662.00 </t>
  </si>
  <si>
    <t xml:space="preserve"> $18,990.00 </t>
  </si>
  <si>
    <t xml:space="preserve"> $13,905.00 </t>
  </si>
  <si>
    <t xml:space="preserve"> $13,327.50 </t>
  </si>
  <si>
    <t xml:space="preserve"> $47,900.00 </t>
  </si>
  <si>
    <t xml:space="preserve"> $4,292.00 </t>
  </si>
  <si>
    <t xml:space="preserve"> $1,725.00 </t>
  </si>
  <si>
    <t xml:space="preserve"> $3,075.00 </t>
  </si>
  <si>
    <t xml:space="preserve"> $2,920.00 </t>
  </si>
  <si>
    <t xml:space="preserve"> $4,870.00 </t>
  </si>
  <si>
    <t xml:space="preserve"> $90,540.00 </t>
  </si>
  <si>
    <t xml:space="preserve"> $3,303.00 </t>
  </si>
  <si>
    <t xml:space="preserve"> $1,766.00 </t>
  </si>
  <si>
    <t xml:space="preserve"> $2,745.00 </t>
  </si>
  <si>
    <t xml:space="preserve"> $39,400.00 </t>
  </si>
  <si>
    <t xml:space="preserve"> $12,360.00 </t>
  </si>
  <si>
    <t xml:space="preserve"> $2,286.00 </t>
  </si>
  <si>
    <t xml:space="preserve"> $155,250.00 </t>
  </si>
  <si>
    <t xml:space="preserve"> $8,208.00 </t>
  </si>
  <si>
    <t xml:space="preserve"> $10,760.00 </t>
  </si>
  <si>
    <t xml:space="preserve"> $18,170.00 </t>
  </si>
  <si>
    <t xml:space="preserve"> $2,986.00 </t>
  </si>
  <si>
    <t xml:space="preserve"> $9,020.00 </t>
  </si>
  <si>
    <t xml:space="preserve"> $19,449.00 </t>
  </si>
  <si>
    <t xml:space="preserve"> $14,105.00 </t>
  </si>
  <si>
    <t xml:space="preserve"> $100,050.00 </t>
  </si>
  <si>
    <t xml:space="preserve"> $25,542.00 </t>
  </si>
  <si>
    <t xml:space="preserve"> $137,430.00 </t>
  </si>
  <si>
    <t xml:space="preserve"> $107,550.00 </t>
  </si>
  <si>
    <t xml:space="preserve"> $247,500.00 </t>
  </si>
  <si>
    <t xml:space="preserve"> $17,577.00 </t>
  </si>
  <si>
    <t xml:space="preserve"> $21,097.50 </t>
  </si>
  <si>
    <t xml:space="preserve"> $3,372.00 </t>
  </si>
  <si>
    <t xml:space="preserve"> $19,269.00 </t>
  </si>
  <si>
    <t xml:space="preserve"> $276.15 </t>
  </si>
  <si>
    <t xml:space="preserve"> $7,613.85 </t>
  </si>
  <si>
    <t xml:space="preserve"> $344.40 </t>
  </si>
  <si>
    <t xml:space="preserve"> $11,135.60 </t>
  </si>
  <si>
    <t xml:space="preserve"> $72.10 </t>
  </si>
  <si>
    <t xml:space="preserve"> $1,987.90 </t>
  </si>
  <si>
    <t xml:space="preserve"> $44.73 </t>
  </si>
  <si>
    <t xml:space="preserve"> $1,233.27 </t>
  </si>
  <si>
    <t xml:space="preserve"> $92.82 </t>
  </si>
  <si>
    <t xml:space="preserve"> $2,559.18 </t>
  </si>
  <si>
    <t xml:space="preserve"> $222.96 </t>
  </si>
  <si>
    <t xml:space="preserve"> $16,499.04 </t>
  </si>
  <si>
    <t xml:space="preserve"> $4,235.00 </t>
  </si>
  <si>
    <t xml:space="preserve"> $104,665.00 </t>
  </si>
  <si>
    <t xml:space="preserve"> $177.03 </t>
  </si>
  <si>
    <t xml:space="preserve"> $4,880.97 </t>
  </si>
  <si>
    <t xml:space="preserve"> $173.40 </t>
  </si>
  <si>
    <t xml:space="preserve"> $12,831.60 </t>
  </si>
  <si>
    <t xml:space="preserve"> $412.50 </t>
  </si>
  <si>
    <t xml:space="preserve"> $1,237.50 </t>
  </si>
  <si>
    <t xml:space="preserve"> $320.52 </t>
  </si>
  <si>
    <t xml:space="preserve"> $23,718.48 </t>
  </si>
  <si>
    <t xml:space="preserve"> $91.92 </t>
  </si>
  <si>
    <t xml:space="preserve"> $6,802.08 </t>
  </si>
  <si>
    <t xml:space="preserve"> $1,482.00 </t>
  </si>
  <si>
    <t xml:space="preserve"> $23,218.00 </t>
  </si>
  <si>
    <t xml:space="preserve"> $4,889.50 </t>
  </si>
  <si>
    <t xml:space="preserve"> $120,840.50 </t>
  </si>
  <si>
    <t xml:space="preserve"> $7,542.50 </t>
  </si>
  <si>
    <t xml:space="preserve"> $186,407.50 </t>
  </si>
  <si>
    <t xml:space="preserve"> $332.10 </t>
  </si>
  <si>
    <t xml:space="preserve"> $10,737.90 </t>
  </si>
  <si>
    <t xml:space="preserve"> $6,903.00 </t>
  </si>
  <si>
    <t xml:space="preserve"> $108,147.00 </t>
  </si>
  <si>
    <t xml:space="preserve"> $275.10 </t>
  </si>
  <si>
    <t xml:space="preserve"> $13,479.90 </t>
  </si>
  <si>
    <t xml:space="preserve"> $128.10 </t>
  </si>
  <si>
    <t xml:space="preserve"> $3,531.90 </t>
  </si>
  <si>
    <t xml:space="preserve"> $7,494.00 </t>
  </si>
  <si>
    <t xml:space="preserve"> $117,406.00 </t>
  </si>
  <si>
    <t xml:space="preserve"> $828.75 </t>
  </si>
  <si>
    <t xml:space="preserve"> $2,486.25 </t>
  </si>
  <si>
    <t xml:space="preserve"> $227.10 </t>
  </si>
  <si>
    <t xml:space="preserve"> $7,342.90 </t>
  </si>
  <si>
    <t xml:space="preserve"> $314.48 </t>
  </si>
  <si>
    <t xml:space="preserve"> $8,670.52 </t>
  </si>
  <si>
    <t xml:space="preserve"> $908.75 </t>
  </si>
  <si>
    <t xml:space="preserve"> $2,726.25 </t>
  </si>
  <si>
    <t xml:space="preserve"> $983.75 </t>
  </si>
  <si>
    <t xml:space="preserve"> $2,951.25 </t>
  </si>
  <si>
    <t xml:space="preserve"> $2,278.75 </t>
  </si>
  <si>
    <t xml:space="preserve"> $6,836.25 </t>
  </si>
  <si>
    <t xml:space="preserve"> $112.05 </t>
  </si>
  <si>
    <t xml:space="preserve"> $3,622.95 </t>
  </si>
  <si>
    <t xml:space="preserve"> $8,715.00 </t>
  </si>
  <si>
    <t xml:space="preserve"> $136,535.00 </t>
  </si>
  <si>
    <t xml:space="preserve"> $772.80 </t>
  </si>
  <si>
    <t xml:space="preserve"> $37,867.20 </t>
  </si>
  <si>
    <t xml:space="preserve"> $25.34 </t>
  </si>
  <si>
    <t xml:space="preserve"> $698.66 </t>
  </si>
  <si>
    <t xml:space="preserve"> $1,153.75 </t>
  </si>
  <si>
    <t xml:space="preserve"> $3,461.25 </t>
  </si>
  <si>
    <t xml:space="preserve"> $146.44 </t>
  </si>
  <si>
    <t xml:space="preserve"> $4,037.56 </t>
  </si>
  <si>
    <t xml:space="preserve"> $18.41 </t>
  </si>
  <si>
    <t xml:space="preserve"> $507.59 </t>
  </si>
  <si>
    <t xml:space="preserve"> $3,302.25 </t>
  </si>
  <si>
    <t xml:space="preserve"> $81,612.75 </t>
  </si>
  <si>
    <t xml:space="preserve"> $2,958.00 </t>
  </si>
  <si>
    <t xml:space="preserve"> $46,342.00 </t>
  </si>
  <si>
    <t xml:space="preserve"> $2,180.00 </t>
  </si>
  <si>
    <t xml:space="preserve"> $6,540.00 </t>
  </si>
  <si>
    <t xml:space="preserve"> $238.68 </t>
  </si>
  <si>
    <t xml:space="preserve"> $17,662.32 </t>
  </si>
  <si>
    <t xml:space="preserve"> $48.15 </t>
  </si>
  <si>
    <t xml:space="preserve"> $1,556.85 </t>
  </si>
  <si>
    <t xml:space="preserve"> $1,856.25 </t>
  </si>
  <si>
    <t xml:space="preserve"> $310.80 </t>
  </si>
  <si>
    <t xml:space="preserve"> $11,344.20 </t>
  </si>
  <si>
    <t xml:space="preserve"> $1,284.00 </t>
  </si>
  <si>
    <t xml:space="preserve"> $9,416.00 </t>
  </si>
  <si>
    <t xml:space="preserve"> $300.30 </t>
  </si>
  <si>
    <t xml:space="preserve"> $3,989.70 </t>
  </si>
  <si>
    <t xml:space="preserve"> $19,964.00 </t>
  </si>
  <si>
    <t xml:space="preserve"> $236,716.00 </t>
  </si>
  <si>
    <t xml:space="preserve"> $274.08 </t>
  </si>
  <si>
    <t xml:space="preserve"> $10,003.92 </t>
  </si>
  <si>
    <t xml:space="preserve"> $626.40 </t>
  </si>
  <si>
    <t xml:space="preserve"> $15,033.60 </t>
  </si>
  <si>
    <t xml:space="preserve"> $165.60 </t>
  </si>
  <si>
    <t xml:space="preserve"> $6,044.40 </t>
  </si>
  <si>
    <t xml:space="preserve"> $4,150.00 </t>
  </si>
  <si>
    <t xml:space="preserve"> $708.90 </t>
  </si>
  <si>
    <t xml:space="preserve"> $11,106.10 </t>
  </si>
  <si>
    <t xml:space="preserve"> $5,508.00 </t>
  </si>
  <si>
    <t xml:space="preserve"> $40,392.00 </t>
  </si>
  <si>
    <t xml:space="preserve"> $10,368.00 </t>
  </si>
  <si>
    <t xml:space="preserve"> $76,032.00 </t>
  </si>
  <si>
    <t xml:space="preserve"> $1,655.00 </t>
  </si>
  <si>
    <t xml:space="preserve"> $2,022.50 </t>
  </si>
  <si>
    <t xml:space="preserve"> $5,362.50 </t>
  </si>
  <si>
    <t xml:space="preserve"> $428.40 </t>
  </si>
  <si>
    <t xml:space="preserve"> $15,636.60 </t>
  </si>
  <si>
    <t xml:space="preserve"> $11,496.00 </t>
  </si>
  <si>
    <t xml:space="preserve"> $84,304.00 </t>
  </si>
  <si>
    <t xml:space="preserve"> $6,822.50 </t>
  </si>
  <si>
    <t xml:space="preserve"> $577.50 </t>
  </si>
  <si>
    <t xml:space="preserve"> $9,047.50 </t>
  </si>
  <si>
    <t xml:space="preserve"> $281.82 </t>
  </si>
  <si>
    <t xml:space="preserve"> $3,744.18 </t>
  </si>
  <si>
    <t xml:space="preserve"> $253.20 </t>
  </si>
  <si>
    <t xml:space="preserve"> $9,241.80 </t>
  </si>
  <si>
    <t xml:space="preserve"> $260.16 </t>
  </si>
  <si>
    <t xml:space="preserve"> $9,495.84 </t>
  </si>
  <si>
    <t xml:space="preserve"> $20,762.00 </t>
  </si>
  <si>
    <t xml:space="preserve"> $246,178.00 </t>
  </si>
  <si>
    <t xml:space="preserve"> $20,139.00 </t>
  </si>
  <si>
    <t xml:space="preserve"> $238,791.00 </t>
  </si>
  <si>
    <t xml:space="preserve"> $217.60 </t>
  </si>
  <si>
    <t xml:space="preserve"> $5,222.40 </t>
  </si>
  <si>
    <t xml:space="preserve"> $1,862.00 </t>
  </si>
  <si>
    <t xml:space="preserve"> $22,078.00 </t>
  </si>
  <si>
    <t xml:space="preserve"> $13,580.00 </t>
  </si>
  <si>
    <t xml:space="preserve"> $161,020.00 </t>
  </si>
  <si>
    <t xml:space="preserve"> $1,554.00 </t>
  </si>
  <si>
    <t xml:space="preserve"> $11,396.00 </t>
  </si>
  <si>
    <t xml:space="preserve"> $6,606.00 </t>
  </si>
  <si>
    <t xml:space="preserve"> $48,444.00 </t>
  </si>
  <si>
    <t xml:space="preserve"> $5,690.00 </t>
  </si>
  <si>
    <t xml:space="preserve"> $494.40 </t>
  </si>
  <si>
    <t xml:space="preserve"> $11,865.60 </t>
  </si>
  <si>
    <t xml:space="preserve"> $376.40 </t>
  </si>
  <si>
    <t xml:space="preserve"> $9,033.60 </t>
  </si>
  <si>
    <t xml:space="preserve"> $15,913.13 </t>
  </si>
  <si>
    <t xml:space="preserve"> $5,304.38 </t>
  </si>
  <si>
    <t xml:space="preserve"> $1,548.00 </t>
  </si>
  <si>
    <t xml:space="preserve"> $24,252.00 </t>
  </si>
  <si>
    <t xml:space="preserve"> $6,201.00 </t>
  </si>
  <si>
    <t xml:space="preserve"> $28,249.00 </t>
  </si>
  <si>
    <t xml:space="preserve"> $700.92 </t>
  </si>
  <si>
    <t xml:space="preserve"> $16,822.08 </t>
  </si>
  <si>
    <t xml:space="preserve"> $326.88 </t>
  </si>
  <si>
    <t xml:space="preserve"> $7,845.12 </t>
  </si>
  <si>
    <t xml:space="preserve"> $411.18 </t>
  </si>
  <si>
    <t xml:space="preserve"> $3,504.82 </t>
  </si>
  <si>
    <t xml:space="preserve"> $684.36 </t>
  </si>
  <si>
    <t xml:space="preserve"> $16,424.64 </t>
  </si>
  <si>
    <t xml:space="preserve"> $114.24 </t>
  </si>
  <si>
    <t xml:space="preserve"> $973.76 </t>
  </si>
  <si>
    <t xml:space="preserve"> $18,868.50 </t>
  </si>
  <si>
    <t xml:space="preserve"> $142,861.50 </t>
  </si>
  <si>
    <t xml:space="preserve"> $4,826.25 </t>
  </si>
  <si>
    <t xml:space="preserve"> $1,608.75 </t>
  </si>
  <si>
    <t xml:space="preserve"> $6,397.50 </t>
  </si>
  <si>
    <t xml:space="preserve"> $2,132.50 </t>
  </si>
  <si>
    <t xml:space="preserve"> $21,910.50 </t>
  </si>
  <si>
    <t xml:space="preserve"> $99,814.50 </t>
  </si>
  <si>
    <t xml:space="preserve"> $6,652.50 </t>
  </si>
  <si>
    <t xml:space="preserve"> $2,217.50 </t>
  </si>
  <si>
    <t xml:space="preserve"> $5,887.50 </t>
  </si>
  <si>
    <t xml:space="preserve"> $1,962.50 </t>
  </si>
  <si>
    <t xml:space="preserve"> $493.02 </t>
  </si>
  <si>
    <t xml:space="preserve"> $11,832.48 </t>
  </si>
  <si>
    <t xml:space="preserve"> $7,533.75 </t>
  </si>
  <si>
    <t xml:space="preserve"> $2,511.25 </t>
  </si>
  <si>
    <t xml:space="preserve"> $875.25 </t>
  </si>
  <si>
    <t xml:space="preserve"> $8,849.75 </t>
  </si>
  <si>
    <t xml:space="preserve"> $25,596.00 </t>
  </si>
  <si>
    <t xml:space="preserve"> $116,604.00 </t>
  </si>
  <si>
    <t xml:space="preserve"> $689.76 </t>
  </si>
  <si>
    <t xml:space="preserve"> $16,554.24 </t>
  </si>
  <si>
    <t xml:space="preserve"> $16,866.00 </t>
  </si>
  <si>
    <t xml:space="preserve"> $76,834.00 </t>
  </si>
  <si>
    <t xml:space="preserve"> $17,241.00 </t>
  </si>
  <si>
    <t xml:space="preserve"> $130,539.00 </t>
  </si>
  <si>
    <t xml:space="preserve"> $498.60 </t>
  </si>
  <si>
    <t xml:space="preserve"> $7,811.40 </t>
  </si>
  <si>
    <t xml:space="preserve"> $369.60 </t>
  </si>
  <si>
    <t xml:space="preserve"> $3,150.40 </t>
  </si>
  <si>
    <t xml:space="preserve"> $2,310.30 </t>
  </si>
  <si>
    <t xml:space="preserve"> $36,194.70 </t>
  </si>
  <si>
    <t xml:space="preserve"> $892.44 </t>
  </si>
  <si>
    <t xml:space="preserve"> $21,418.56 </t>
  </si>
  <si>
    <t xml:space="preserve"> $1,218.60 </t>
  </si>
  <si>
    <t xml:space="preserve"> $8,936.40 </t>
  </si>
  <si>
    <t xml:space="preserve"> $1,356.60 </t>
  </si>
  <si>
    <t xml:space="preserve"> $9,948.40 </t>
  </si>
  <si>
    <t xml:space="preserve"> $588.80 </t>
  </si>
  <si>
    <t xml:space="preserve"> $6,771.20 </t>
  </si>
  <si>
    <t xml:space="preserve"> $798.28 </t>
  </si>
  <si>
    <t xml:space="preserve"> $4,903.72 </t>
  </si>
  <si>
    <t xml:space="preserve"> $76,798.00 </t>
  </si>
  <si>
    <t xml:space="preserve"> $3,836.00 </t>
  </si>
  <si>
    <t xml:space="preserve"> $20,824.00 </t>
  </si>
  <si>
    <t xml:space="preserve"> $1,180.20 </t>
  </si>
  <si>
    <t xml:space="preserve"> $8,654.80 </t>
  </si>
  <si>
    <t xml:space="preserve"> $22,308.00 </t>
  </si>
  <si>
    <t xml:space="preserve"> $70,642.00 </t>
  </si>
  <si>
    <t xml:space="preserve"> $1,190.28 </t>
  </si>
  <si>
    <t xml:space="preserve"> $7,311.72 </t>
  </si>
  <si>
    <t xml:space="preserve"> $3,975.00 </t>
  </si>
  <si>
    <t xml:space="preserve"> $16,974.00 </t>
  </si>
  <si>
    <t xml:space="preserve"> $53,751.00 </t>
  </si>
  <si>
    <t xml:space="preserve"> $35,016.00 </t>
  </si>
  <si>
    <t xml:space="preserve"> $110,884.00 </t>
  </si>
  <si>
    <t xml:space="preserve"> $48,300.00 </t>
  </si>
  <si>
    <t xml:space="preserve"> $262,200.00 </t>
  </si>
  <si>
    <t xml:space="preserve"> $14,940.00 </t>
  </si>
  <si>
    <t xml:space="preserve"> $130.80 </t>
  </si>
  <si>
    <t xml:space="preserve"> $959.20 </t>
  </si>
  <si>
    <t xml:space="preserve"> $1,659.20 </t>
  </si>
  <si>
    <t xml:space="preserve"> $19,080.80 </t>
  </si>
  <si>
    <t xml:space="preserve"> $844.80 </t>
  </si>
  <si>
    <t xml:space="preserve"> $9,715.20 </t>
  </si>
  <si>
    <t xml:space="preserve"> $402.60 </t>
  </si>
  <si>
    <t xml:space="preserve"> $2,952.40 </t>
  </si>
  <si>
    <t xml:space="preserve"> $908.40 </t>
  </si>
  <si>
    <t xml:space="preserve"> $6,661.60 </t>
  </si>
  <si>
    <t xml:space="preserve"> $703.20 </t>
  </si>
  <si>
    <t xml:space="preserve"> $12,481.80 </t>
  </si>
  <si>
    <t xml:space="preserve"> $2,116.80 </t>
  </si>
  <si>
    <t xml:space="preserve"> $24,343.20 </t>
  </si>
  <si>
    <t xml:space="preserve"> $30,478.00 </t>
  </si>
  <si>
    <t xml:space="preserve"> $165,452.00 </t>
  </si>
  <si>
    <t xml:space="preserve"> $415.68 </t>
  </si>
  <si>
    <t xml:space="preserve"> $7,378.32 </t>
  </si>
  <si>
    <t xml:space="preserve"> $4,886.00 </t>
  </si>
  <si>
    <t xml:space="preserve"> $26,524.00 </t>
  </si>
  <si>
    <t xml:space="preserve"> $26,110.00 </t>
  </si>
  <si>
    <t xml:space="preserve"> $141,740.00 </t>
  </si>
  <si>
    <t xml:space="preserve"> $5,370.00 </t>
  </si>
  <si>
    <t xml:space="preserve"> $26,698.00 </t>
  </si>
  <si>
    <t xml:space="preserve"> $144,932.00 </t>
  </si>
  <si>
    <t xml:space="preserve"> $24,892.00 </t>
  </si>
  <si>
    <t xml:space="preserve"> $135,128.00 </t>
  </si>
  <si>
    <t xml:space="preserve"> $405.65 </t>
  </si>
  <si>
    <t xml:space="preserve"> $1,912.35 </t>
  </si>
  <si>
    <t xml:space="preserve"> $480.20 </t>
  </si>
  <si>
    <t xml:space="preserve"> $2,263.80 </t>
  </si>
  <si>
    <t xml:space="preserve"> $822.15 </t>
  </si>
  <si>
    <t xml:space="preserve"> $3,875.85 </t>
  </si>
  <si>
    <t xml:space="preserve"> $941.15 </t>
  </si>
  <si>
    <t xml:space="preserve"> $4,436.85 </t>
  </si>
  <si>
    <t xml:space="preserve"> $1,458.60 </t>
  </si>
  <si>
    <t xml:space="preserve"> $20,420.40 </t>
  </si>
  <si>
    <t xml:space="preserve"> $589.05 </t>
  </si>
  <si>
    <t xml:space="preserve"> $2,776.95 </t>
  </si>
  <si>
    <t xml:space="preserve"> $673.80 </t>
  </si>
  <si>
    <t xml:space="preserve"> $9,433.20 </t>
  </si>
  <si>
    <t xml:space="preserve"> $1,119.00 </t>
  </si>
  <si>
    <t xml:space="preserve"> $15,666.00 </t>
  </si>
  <si>
    <t xml:space="preserve"> $669.60 </t>
  </si>
  <si>
    <t xml:space="preserve"> $9,374.40 </t>
  </si>
  <si>
    <t xml:space="preserve"> $1,563.00 </t>
  </si>
  <si>
    <t xml:space="preserve"> $14,067.00 </t>
  </si>
  <si>
    <t xml:space="preserve"> $14,865.00 </t>
  </si>
  <si>
    <t xml:space="preserve"> $34,685.00 </t>
  </si>
  <si>
    <t xml:space="preserve"> $355.60 </t>
  </si>
  <si>
    <t xml:space="preserve"> $1,676.40 </t>
  </si>
  <si>
    <t xml:space="preserve"> $2,093.25 </t>
  </si>
  <si>
    <t xml:space="preserve"> $11,861.75 </t>
  </si>
  <si>
    <t xml:space="preserve"> $199.50 </t>
  </si>
  <si>
    <t xml:space="preserve"> $940.50 </t>
  </si>
  <si>
    <t xml:space="preserve"> $870.45 </t>
  </si>
  <si>
    <t xml:space="preserve"> $4,103.55 </t>
  </si>
  <si>
    <t xml:space="preserve"> $24,228.75 </t>
  </si>
  <si>
    <t xml:space="preserve"> $100,376.25 </t>
  </si>
  <si>
    <t xml:space="preserve"> $22,668.75 </t>
  </si>
  <si>
    <t xml:space="preserve"> $(4,533.75)</t>
  </si>
  <si>
    <t xml:space="preserve"> $12,600.00 </t>
  </si>
  <si>
    <t xml:space="preserve"> $52,200.00 </t>
  </si>
  <si>
    <t xml:space="preserve"> $1,405.20 </t>
  </si>
  <si>
    <t xml:space="preserve"> $19,672.80 </t>
  </si>
  <si>
    <t xml:space="preserve"> $16,500.00 </t>
  </si>
  <si>
    <t xml:space="preserve"> $38,500.00 </t>
  </si>
  <si>
    <t xml:space="preserve"> $1,303.00 </t>
  </si>
  <si>
    <t xml:space="preserve"> $11,727.00 </t>
  </si>
  <si>
    <t xml:space="preserve"> $18,700.00 </t>
  </si>
  <si>
    <t xml:space="preserve"> $(3,740.00)</t>
  </si>
  <si>
    <t xml:space="preserve"> $14,906.25 </t>
  </si>
  <si>
    <t xml:space="preserve"> $(2,981.25)</t>
  </si>
  <si>
    <t xml:space="preserve"> $24,105.00 </t>
  </si>
  <si>
    <t xml:space="preserve"> $56,245.00 </t>
  </si>
  <si>
    <t xml:space="preserve"> $814.45 </t>
  </si>
  <si>
    <t xml:space="preserve"> $3,839.55 </t>
  </si>
  <si>
    <t xml:space="preserve"> $10,535.00 </t>
  </si>
  <si>
    <t xml:space="preserve"> $43,645.00 </t>
  </si>
  <si>
    <t xml:space="preserve"> $1,965.00 </t>
  </si>
  <si>
    <t xml:space="preserve"> $11,135.00 </t>
  </si>
  <si>
    <t xml:space="preserve"> $21,490.00 </t>
  </si>
  <si>
    <t xml:space="preserve"> $89,030.00 </t>
  </si>
  <si>
    <t xml:space="preserve"> $1,389.00 </t>
  </si>
  <si>
    <t xml:space="preserve"> $12,501.00 </t>
  </si>
  <si>
    <t xml:space="preserve"> $5,381.25 </t>
  </si>
  <si>
    <t xml:space="preserve"> $(1,076.25)</t>
  </si>
  <si>
    <t xml:space="preserve"> $4,400.00 </t>
  </si>
  <si>
    <t xml:space="preserve"> $(880.00)</t>
  </si>
  <si>
    <t xml:space="preserve"> $1,802.00 </t>
  </si>
  <si>
    <t xml:space="preserve"> $16,218.00 </t>
  </si>
  <si>
    <t xml:space="preserve"> $2,663.00 </t>
  </si>
  <si>
    <t xml:space="preserve"> $23,967.00 </t>
  </si>
  <si>
    <t xml:space="preserve"> $747.60 </t>
  </si>
  <si>
    <t xml:space="preserve"> $3,524.40 </t>
  </si>
  <si>
    <t xml:space="preserve"> $1,587.00 </t>
  </si>
  <si>
    <t xml:space="preserve"> $8,993.00 </t>
  </si>
  <si>
    <t xml:space="preserve"> $416.25 </t>
  </si>
  <si>
    <t xml:space="preserve"> $2,358.75 </t>
  </si>
  <si>
    <t xml:space="preserve"> $2,145.75 </t>
  </si>
  <si>
    <t xml:space="preserve"> $12,159.25 </t>
  </si>
  <si>
    <t xml:space="preserve"> $5,043.75 </t>
  </si>
  <si>
    <t xml:space="preserve"> $(1,008.75)</t>
  </si>
  <si>
    <t xml:space="preserve"> $2,832.00 </t>
  </si>
  <si>
    <t xml:space="preserve"> $25,488.00 </t>
  </si>
  <si>
    <t xml:space="preserve"> $1,579.00 </t>
  </si>
  <si>
    <t xml:space="preserve"> $14,211.00 </t>
  </si>
  <si>
    <t xml:space="preserve"> $1,033.00 </t>
  </si>
  <si>
    <t xml:space="preserve"> $9,297.00 </t>
  </si>
  <si>
    <t xml:space="preserve"> $18,750.00 </t>
  </si>
  <si>
    <t xml:space="preserve"> $43,750.00 </t>
  </si>
  <si>
    <t xml:space="preserve"> $1,265.00 </t>
  </si>
  <si>
    <t xml:space="preserve"> $11,385.00 </t>
  </si>
  <si>
    <t xml:space="preserve"> $2,297.00 </t>
  </si>
  <si>
    <t xml:space="preserve"> $20,673.00 </t>
  </si>
  <si>
    <t xml:space="preserve"> $23,625.00 </t>
  </si>
  <si>
    <t xml:space="preserve"> $97,875.00 </t>
  </si>
  <si>
    <t xml:space="preserve"> $9,660.00 </t>
  </si>
  <si>
    <t xml:space="preserve"> $40,020.00 </t>
  </si>
  <si>
    <t xml:space="preserve"> $3,420.90 </t>
  </si>
  <si>
    <t xml:space="preserve"> $15,584.10 </t>
  </si>
  <si>
    <t xml:space="preserve"> $1,341.00 </t>
  </si>
  <si>
    <t xml:space="preserve"> $9,834.00 </t>
  </si>
  <si>
    <t xml:space="preserve"> $2,559.60 </t>
  </si>
  <si>
    <t xml:space="preserve"> $11,660.40 </t>
  </si>
  <si>
    <t xml:space="preserve"> $404.64 </t>
  </si>
  <si>
    <t xml:space="preserve"> $4,653.36 </t>
  </si>
  <si>
    <t xml:space="preserve"> $1,655.28 </t>
  </si>
  <si>
    <t xml:space="preserve"> $19,035.72 </t>
  </si>
  <si>
    <t xml:space="preserve"> $1,827.00 </t>
  </si>
  <si>
    <t xml:space="preserve"> $8,323.00 </t>
  </si>
  <si>
    <t xml:space="preserve"> $110.46 </t>
  </si>
  <si>
    <t xml:space="preserve"> $415.54 </t>
  </si>
  <si>
    <t xml:space="preserve"> $(2,217.50)</t>
  </si>
  <si>
    <t xml:space="preserve"> $20,580.00 </t>
  </si>
  <si>
    <t xml:space="preserve"> $67,620.00 </t>
  </si>
  <si>
    <t xml:space="preserve"> $30,660.00 </t>
  </si>
  <si>
    <t xml:space="preserve"> $100,740.00 </t>
  </si>
  <si>
    <t xml:space="preserve"> $589.26 </t>
  </si>
  <si>
    <t xml:space="preserve"> $2,216.74 </t>
  </si>
  <si>
    <t xml:space="preserve"> $1,960.56 </t>
  </si>
  <si>
    <t xml:space="preserve"> $22,546.44 </t>
  </si>
  <si>
    <t xml:space="preserve"> $31,416.00 </t>
  </si>
  <si>
    <t xml:space="preserve"> $103,224.00 </t>
  </si>
  <si>
    <t xml:space="preserve"> $15,267.00 </t>
  </si>
  <si>
    <t xml:space="preserve"> $50,163.00 </t>
  </si>
  <si>
    <t xml:space="preserve"> $7,140.00 </t>
  </si>
  <si>
    <t xml:space="preserve"> $(2,380.00)</t>
  </si>
  <si>
    <t xml:space="preserve"> $20,662.50 </t>
  </si>
  <si>
    <t xml:space="preserve"> $(6,887.50)</t>
  </si>
  <si>
    <t xml:space="preserve"> $1,377.00 </t>
  </si>
  <si>
    <t xml:space="preserve"> $6,273.00 </t>
  </si>
  <si>
    <t xml:space="preserve"> $629.16 </t>
  </si>
  <si>
    <t xml:space="preserve"> $2,366.84 </t>
  </si>
  <si>
    <t xml:space="preserve"> $21,978.00 </t>
  </si>
  <si>
    <t xml:space="preserve"> $39,072.00 </t>
  </si>
  <si>
    <t xml:space="preserve"> $43,596.00 </t>
  </si>
  <si>
    <t xml:space="preserve"> $143,244.00 </t>
  </si>
  <si>
    <t xml:space="preserve"> $1,347.60 </t>
  </si>
  <si>
    <t xml:space="preserve"> $9,882.40 </t>
  </si>
  <si>
    <t xml:space="preserve"> $43,848.00 </t>
  </si>
  <si>
    <t xml:space="preserve"> $77,952.00 </t>
  </si>
  <si>
    <t xml:space="preserve"> $(4,968.75)</t>
  </si>
  <si>
    <t xml:space="preserve"> $35,259.00 </t>
  </si>
  <si>
    <t xml:space="preserve"> $115,851.00 </t>
  </si>
  <si>
    <t xml:space="preserve"> $2,108.40 </t>
  </si>
  <si>
    <t xml:space="preserve"> $15,461.60 </t>
  </si>
  <si>
    <t xml:space="preserve"> $1,978.20 </t>
  </si>
  <si>
    <t xml:space="preserve"> $9,011.80 </t>
  </si>
  <si>
    <t xml:space="preserve"> $1,568.70 </t>
  </si>
  <si>
    <t xml:space="preserve"> $7,146.30 </t>
  </si>
  <si>
    <t xml:space="preserve"> $1,037.70 </t>
  </si>
  <si>
    <t xml:space="preserve"> $4,727.30 </t>
  </si>
  <si>
    <t xml:space="preserve"> $1,201.20 </t>
  </si>
  <si>
    <t xml:space="preserve"> $8,808.80 </t>
  </si>
  <si>
    <t xml:space="preserve"> $559.86 </t>
  </si>
  <si>
    <t xml:space="preserve"> $2,106.14 </t>
  </si>
  <si>
    <t xml:space="preserve"> $610.68 </t>
  </si>
  <si>
    <t xml:space="preserve"> $5,932.32 </t>
  </si>
  <si>
    <t xml:space="preserve"> $1,582.56 </t>
  </si>
  <si>
    <t xml:space="preserve"> $15,373.44 </t>
  </si>
  <si>
    <t xml:space="preserve"> $2,567.60 </t>
  </si>
  <si>
    <t xml:space="preserve"> $15,772.40 </t>
  </si>
  <si>
    <t xml:space="preserve"> $1,965.60 </t>
  </si>
  <si>
    <t xml:space="preserve"> $19,094.40 </t>
  </si>
  <si>
    <t xml:space="preserve"> $1,967.28 </t>
  </si>
  <si>
    <t xml:space="preserve"> $19,110.72 </t>
  </si>
  <si>
    <t xml:space="preserve"> $505.19 </t>
  </si>
  <si>
    <t xml:space="preserve"> $1,556.81 </t>
  </si>
  <si>
    <t xml:space="preserve"> $1,325.10 </t>
  </si>
  <si>
    <t xml:space="preserve"> $4,984.90 </t>
  </si>
  <si>
    <t xml:space="preserve"> $556.15 </t>
  </si>
  <si>
    <t xml:space="preserve"> $1,713.85 </t>
  </si>
  <si>
    <t xml:space="preserve"> $268.03 </t>
  </si>
  <si>
    <t xml:space="preserve"> $825.97 </t>
  </si>
  <si>
    <t xml:space="preserve"> $775.18 </t>
  </si>
  <si>
    <t xml:space="preserve"> $2,388.82 </t>
  </si>
  <si>
    <t xml:space="preserve"> $1,460.34 </t>
  </si>
  <si>
    <t xml:space="preserve"> $14,186.16 </t>
  </si>
  <si>
    <t xml:space="preserve"> $1,860.60 </t>
  </si>
  <si>
    <t xml:space="preserve"> $18,074.40 </t>
  </si>
  <si>
    <t xml:space="preserve"> $43,144.50 </t>
  </si>
  <si>
    <t xml:space="preserve"> $115,345.50 </t>
  </si>
  <si>
    <t xml:space="preserve"> $9,408.00 </t>
  </si>
  <si>
    <t xml:space="preserve"> $12,992.00 </t>
  </si>
  <si>
    <t xml:space="preserve"> $45,801.00 </t>
  </si>
  <si>
    <t xml:space="preserve"> $63,249.00 </t>
  </si>
  <si>
    <t xml:space="preserve"> $2,766.40 </t>
  </si>
  <si>
    <t xml:space="preserve"> $16,993.60 </t>
  </si>
  <si>
    <t xml:space="preserve"> $21,875.00 </t>
  </si>
  <si>
    <t xml:space="preserve"> $(9,375.00)</t>
  </si>
  <si>
    <t xml:space="preserve"> $35,742.00 </t>
  </si>
  <si>
    <t xml:space="preserve"> $49,358.00 </t>
  </si>
  <si>
    <t xml:space="preserve"> $30,738.75 </t>
  </si>
  <si>
    <t xml:space="preserve"> $(13,173.75)</t>
  </si>
  <si>
    <t xml:space="preserve"> $2,206.05 </t>
  </si>
  <si>
    <t xml:space="preserve"> $8,298.95 </t>
  </si>
  <si>
    <t xml:space="preserve"> $3,077.55 </t>
  </si>
  <si>
    <t xml:space="preserve"> $11,577.45 </t>
  </si>
  <si>
    <t xml:space="preserve"> $2,149.00 </t>
  </si>
  <si>
    <t xml:space="preserve"> $13,201.00 </t>
  </si>
  <si>
    <t xml:space="preserve"> $23,583.00 </t>
  </si>
  <si>
    <t xml:space="preserve"> $32,567.00 </t>
  </si>
  <si>
    <t xml:space="preserve"> $29,484.00 </t>
  </si>
  <si>
    <t xml:space="preserve"> $40,716.00 </t>
  </si>
  <si>
    <t xml:space="preserve"> $2,320.92 </t>
  </si>
  <si>
    <t xml:space="preserve"> $22,546.08 </t>
  </si>
  <si>
    <t xml:space="preserve"> $1,041.25 </t>
  </si>
  <si>
    <t xml:space="preserve"> $3,208.75 </t>
  </si>
  <si>
    <t xml:space="preserve"> $34,839.00 </t>
  </si>
  <si>
    <t xml:space="preserve"> $48,111.00 </t>
  </si>
  <si>
    <t xml:space="preserve"> $852.60 </t>
  </si>
  <si>
    <t xml:space="preserve"> $5,237.40 </t>
  </si>
  <si>
    <t xml:space="preserve"> $18,261.25 </t>
  </si>
  <si>
    <t xml:space="preserve"> $(7,826.25)</t>
  </si>
  <si>
    <t xml:space="preserve"> $1,989.40 </t>
  </si>
  <si>
    <t xml:space="preserve"> $12,220.60 </t>
  </si>
  <si>
    <t xml:space="preserve"> $28,812.00 </t>
  </si>
  <si>
    <t xml:space="preserve"> $39,788.00 </t>
  </si>
  <si>
    <t xml:space="preserve"> $823.20 </t>
  </si>
  <si>
    <t xml:space="preserve"> $5,056.80 </t>
  </si>
  <si>
    <t xml:space="preserve"> $2,725.38 </t>
  </si>
  <si>
    <t xml:space="preserve"> $26,475.12 </t>
  </si>
  <si>
    <t xml:space="preserve"> $27,811.00 </t>
  </si>
  <si>
    <t xml:space="preserve"> $57,687.00 </t>
  </si>
  <si>
    <t xml:space="preserve"> $79,663.00 </t>
  </si>
  <si>
    <t xml:space="preserve"> $14,393.75 </t>
  </si>
  <si>
    <t xml:space="preserve"> $(6,168.75)</t>
  </si>
  <si>
    <t xml:space="preserve"> $70,462.00 </t>
  </si>
  <si>
    <t xml:space="preserve"> $188,378.00 </t>
  </si>
  <si>
    <t xml:space="preserve"> $8,697.50 </t>
  </si>
  <si>
    <t xml:space="preserve"> $(3,727.50)</t>
  </si>
  <si>
    <t xml:space="preserve"> $1,565.20 </t>
  </si>
  <si>
    <t xml:space="preserve"> $9,614.80 </t>
  </si>
  <si>
    <t xml:space="preserve"> $273.28 </t>
  </si>
  <si>
    <t xml:space="preserve"> $702.72 </t>
  </si>
  <si>
    <t xml:space="preserve"> $2,051.20 </t>
  </si>
  <si>
    <t xml:space="preserve"> $10,768.80 </t>
  </si>
  <si>
    <t xml:space="preserve"> $143.92 </t>
  </si>
  <si>
    <t xml:space="preserve"> $370.08 </t>
  </si>
  <si>
    <t xml:space="preserve"> $15,400.00 </t>
  </si>
  <si>
    <t xml:space="preserve"> $(7,700.00)</t>
  </si>
  <si>
    <t xml:space="preserve"> $588.00 </t>
  </si>
  <si>
    <t xml:space="preserve"> $38,136.00 </t>
  </si>
  <si>
    <t xml:space="preserve"> $84,444.00 </t>
  </si>
  <si>
    <t xml:space="preserve"> $3,001.20 </t>
  </si>
  <si>
    <t xml:space="preserve"> $9,503.80 </t>
  </si>
  <si>
    <t xml:space="preserve"> $1,132.80 </t>
  </si>
  <si>
    <t xml:space="preserve"> $5,947.20 </t>
  </si>
  <si>
    <t xml:space="preserve"> $1,032.00 </t>
  </si>
  <si>
    <t xml:space="preserve"> $5,418.00 </t>
  </si>
  <si>
    <t xml:space="preserve"> $37,488.00 </t>
  </si>
  <si>
    <t xml:space="preserve"> $40,612.00 </t>
  </si>
  <si>
    <t xml:space="preserve"> $30,792.00 </t>
  </si>
  <si>
    <t xml:space="preserve"> $33,358.00 </t>
  </si>
  <si>
    <t xml:space="preserve"> $853.20 </t>
  </si>
  <si>
    <t xml:space="preserve"> $2,701.80 </t>
  </si>
  <si>
    <t xml:space="preserve"> $11,140.00 </t>
  </si>
  <si>
    <t xml:space="preserve"> $(5,570.00)</t>
  </si>
  <si>
    <t xml:space="preserve"> $705.04 </t>
  </si>
  <si>
    <t xml:space="preserve"> $1,812.96 </t>
  </si>
  <si>
    <t xml:space="preserve"> $613.20 </t>
  </si>
  <si>
    <t xml:space="preserve"> $1,576.80 </t>
  </si>
  <si>
    <t xml:space="preserve"> $2,185.60 </t>
  </si>
  <si>
    <t xml:space="preserve"> $11,474.40 </t>
  </si>
  <si>
    <t xml:space="preserve"> $59,040.00 </t>
  </si>
  <si>
    <t xml:space="preserve"> $63,960.00 </t>
  </si>
  <si>
    <t xml:space="preserve"> $379.68 </t>
  </si>
  <si>
    <t xml:space="preserve"> $976.32 </t>
  </si>
  <si>
    <t xml:space="preserve"> $894.88 </t>
  </si>
  <si>
    <t xml:space="preserve"> $2,301.12 </t>
  </si>
  <si>
    <t xml:space="preserve"> $1,349.04 </t>
  </si>
  <si>
    <t xml:space="preserve"> $3,468.96 </t>
  </si>
  <si>
    <t xml:space="preserve"> $3,094.40 </t>
  </si>
  <si>
    <t xml:space="preserve"> $16,245.60 </t>
  </si>
  <si>
    <t xml:space="preserve"> $4,788.80 </t>
  </si>
  <si>
    <t xml:space="preserve"> $25,141.20 </t>
  </si>
  <si>
    <t xml:space="preserve"> $60,088.00 </t>
  </si>
  <si>
    <t xml:space="preserve"> $133,052.00 </t>
  </si>
  <si>
    <t xml:space="preserve"> $1,089.76 </t>
  </si>
  <si>
    <t xml:space="preserve"> $2,802.24 </t>
  </si>
  <si>
    <t xml:space="preserve"> $574.08 </t>
  </si>
  <si>
    <t xml:space="preserve"> $4,807.92 </t>
  </si>
  <si>
    <t xml:space="preserve"> $1,627.92 </t>
  </si>
  <si>
    <t xml:space="preserve"> $4,186.08 </t>
  </si>
  <si>
    <t xml:space="preserve"> $1,309.28 </t>
  </si>
  <si>
    <t xml:space="preserve"> $3,366.72 </t>
  </si>
  <si>
    <t xml:space="preserve"> $9,264.00 </t>
  </si>
  <si>
    <t xml:space="preserve"> $10,036.00 </t>
  </si>
  <si>
    <t xml:space="preserve"> $15,240.00 </t>
  </si>
  <si>
    <t xml:space="preserve"> $16,510.00 </t>
  </si>
  <si>
    <t xml:space="preserve"> $16,086.00 </t>
  </si>
  <si>
    <t xml:space="preserve"> $35,619.00 </t>
  </si>
  <si>
    <t xml:space="preserve"> $10,668.00 </t>
  </si>
  <si>
    <t xml:space="preserve"> $23,622.00 </t>
  </si>
  <si>
    <t xml:space="preserve"> $11,816.00 </t>
  </si>
  <si>
    <t xml:space="preserve"> $26,164.00 </t>
  </si>
  <si>
    <t xml:space="preserve"> $51,216.00 </t>
  </si>
  <si>
    <t xml:space="preserve"> $55,484.00 </t>
  </si>
  <si>
    <t xml:space="preserve"> $19,392.00 </t>
  </si>
  <si>
    <t xml:space="preserve"> $21,008.00 </t>
  </si>
  <si>
    <t xml:space="preserve"> $2,432.00 </t>
  </si>
  <si>
    <t xml:space="preserve"> $12,768.00 </t>
  </si>
  <si>
    <t xml:space="preserve"> $1,320.00 </t>
  </si>
  <si>
    <t xml:space="preserve"> $11,055.00 </t>
  </si>
  <si>
    <t xml:space="preserve"> $698.40 </t>
  </si>
  <si>
    <t xml:space="preserve"> $3,666.60 </t>
  </si>
  <si>
    <t xml:space="preserve"> $29,538.00 </t>
  </si>
  <si>
    <t xml:space="preserve"> $25,162.00 </t>
  </si>
  <si>
    <t xml:space="preserve"> $396.36 </t>
  </si>
  <si>
    <t xml:space="preserve"> $2,906.64 </t>
  </si>
  <si>
    <t xml:space="preserve"> $102,667.50 </t>
  </si>
  <si>
    <t xml:space="preserve"> $87,457.50 </t>
  </si>
  <si>
    <t xml:space="preserve"> $52,479.00 </t>
  </si>
  <si>
    <t xml:space="preserve"> $97,461.00 </t>
  </si>
  <si>
    <t xml:space="preserve"> $8,694.00 </t>
  </si>
  <si>
    <t xml:space="preserve"> $7,406.00 </t>
  </si>
  <si>
    <t xml:space="preserve"> $2,506.68 </t>
  </si>
  <si>
    <t xml:space="preserve"> $18,382.32 </t>
  </si>
  <si>
    <t xml:space="preserve"> $20,891.25 </t>
  </si>
  <si>
    <t xml:space="preserve"> $(11,606.25)</t>
  </si>
  <si>
    <t xml:space="preserve"> $1,014.93 </t>
  </si>
  <si>
    <t xml:space="preserve"> $2,207.07 </t>
  </si>
  <si>
    <t xml:space="preserve"> $31,466.25 </t>
  </si>
  <si>
    <t xml:space="preserve"> $(17,481.25)</t>
  </si>
  <si>
    <t xml:space="preserve"> $9,018.00 </t>
  </si>
  <si>
    <t xml:space="preserve"> $7,682.00 </t>
  </si>
  <si>
    <t xml:space="preserve"> $69,255.00 </t>
  </si>
  <si>
    <t xml:space="preserve"> $58,995.00 </t>
  </si>
  <si>
    <t xml:space="preserve"> $76,135.50 </t>
  </si>
  <si>
    <t xml:space="preserve"> $141,394.50 </t>
  </si>
  <si>
    <t xml:space="preserve"> $4,961.25 </t>
  </si>
  <si>
    <t xml:space="preserve"> $13,413.75 </t>
  </si>
  <si>
    <t xml:space="preserve"> $1,656.45 </t>
  </si>
  <si>
    <t xml:space="preserve"> $4,478.55 </t>
  </si>
  <si>
    <t xml:space="preserve"> $35,748.00 </t>
  </si>
  <si>
    <t xml:space="preserve"> $30,452.00 </t>
  </si>
  <si>
    <t xml:space="preserve"> $1,917.00 </t>
  </si>
  <si>
    <t xml:space="preserve"> $14,058.00 </t>
  </si>
  <si>
    <t xml:space="preserve"> $330.75 </t>
  </si>
  <si>
    <t xml:space="preserve"> $894.25 </t>
  </si>
  <si>
    <t xml:space="preserve"> $102,424.50 </t>
  </si>
  <si>
    <t xml:space="preserve"> $87,250.50 </t>
  </si>
  <si>
    <t xml:space="preserve"> $41,170.50 </t>
  </si>
  <si>
    <t xml:space="preserve"> $76,459.50 </t>
  </si>
  <si>
    <t xml:space="preserve"> $6,378.75 </t>
  </si>
  <si>
    <t xml:space="preserve"> $(3,543.75)</t>
  </si>
  <si>
    <t xml:space="preserve"> $23,737.50 </t>
  </si>
  <si>
    <t xml:space="preserve"> $(13,187.50)</t>
  </si>
  <si>
    <t xml:space="preserve"> $39,973.50 </t>
  </si>
  <si>
    <t xml:space="preserve"> $74,236.50 </t>
  </si>
  <si>
    <t xml:space="preserve"> $2,112.48 </t>
  </si>
  <si>
    <t xml:space="preserve"> $15,491.52 </t>
  </si>
  <si>
    <t xml:space="preserve"> $71,793.00 </t>
  </si>
  <si>
    <t xml:space="preserve"> $61,157.00 </t>
  </si>
  <si>
    <t xml:space="preserve"> $42,572.25 </t>
  </si>
  <si>
    <t xml:space="preserve"> $79,062.75 </t>
  </si>
  <si>
    <t xml:space="preserve"> $950.40 </t>
  </si>
  <si>
    <t xml:space="preserve"> $6,969.60 </t>
  </si>
  <si>
    <t xml:space="preserve"> $50,409.00 </t>
  </si>
  <si>
    <t xml:space="preserve"> $42,941.00 </t>
  </si>
  <si>
    <t xml:space="preserve"> $2,412.72 </t>
  </si>
  <si>
    <t xml:space="preserve"> $17,693.28 </t>
  </si>
  <si>
    <t xml:space="preserve"> $9,866.25 </t>
  </si>
  <si>
    <t xml:space="preserve"> $(5,481.25)</t>
  </si>
  <si>
    <t xml:space="preserve"> $65,236.50 </t>
  </si>
  <si>
    <t xml:space="preserve"> $121,153.50 </t>
  </si>
  <si>
    <t xml:space="preserve"> $1,309.50 </t>
  </si>
  <si>
    <t xml:space="preserve"> $3,540.50 </t>
  </si>
  <si>
    <t xml:space="preserve"> $3,049.20 </t>
  </si>
  <si>
    <t xml:space="preserve"> $13,890.80 </t>
  </si>
  <si>
    <t xml:space="preserve"> $1,193.40 </t>
  </si>
  <si>
    <t xml:space="preserve"> $5,436.60 </t>
  </si>
  <si>
    <t xml:space="preserve"> $515.97 </t>
  </si>
  <si>
    <t xml:space="preserve"> $1,122.03 </t>
  </si>
  <si>
    <t xml:space="preserve"> $1,706.40 </t>
  </si>
  <si>
    <t xml:space="preserve"> $12,513.60 </t>
  </si>
  <si>
    <t xml:space="preserve"> $328.23 </t>
  </si>
  <si>
    <t xml:space="preserve"> $713.77 </t>
  </si>
  <si>
    <t xml:space="preserve"> $1,751.40 </t>
  </si>
  <si>
    <t xml:space="preserve"> $7,978.60 </t>
  </si>
  <si>
    <t xml:space="preserve"> $1,868.40 </t>
  </si>
  <si>
    <t xml:space="preserve"> $8,511.60 </t>
  </si>
  <si>
    <t xml:space="preserve"> $226.80 </t>
  </si>
  <si>
    <t xml:space="preserve"> $493.20 </t>
  </si>
  <si>
    <t xml:space="preserve"> $2,124.36 </t>
  </si>
  <si>
    <t xml:space="preserve"> $15,578.64 </t>
  </si>
  <si>
    <t xml:space="preserve"> $3,547.80 </t>
  </si>
  <si>
    <t xml:space="preserve"> $9,592.20 </t>
  </si>
  <si>
    <t xml:space="preserve"> $4,827.60 </t>
  </si>
  <si>
    <t xml:space="preserve"> $21,992.40 </t>
  </si>
  <si>
    <t xml:space="preserve"> $2,201.18 </t>
  </si>
  <si>
    <t xml:space="preserve"> $5,951.32 </t>
  </si>
  <si>
    <t xml:space="preserve"> $330.48 </t>
  </si>
  <si>
    <t xml:space="preserve"> $2,423.52 </t>
  </si>
  <si>
    <t xml:space="preserve"> $463.20 </t>
  </si>
  <si>
    <t xml:space="preserve"> $3,010.80 </t>
  </si>
  <si>
    <t xml:space="preserve"> $1,629.60 </t>
  </si>
  <si>
    <t xml:space="preserve"> $3,026.40 </t>
  </si>
  <si>
    <t xml:space="preserve"> $43,068.75 </t>
  </si>
  <si>
    <t xml:space="preserve"> $(25,841.25)</t>
  </si>
  <si>
    <t xml:space="preserve"> $18,525.00 </t>
  </si>
  <si>
    <t xml:space="preserve"> $(11,115.00)</t>
  </si>
  <si>
    <t xml:space="preserve"> $80,955.00 </t>
  </si>
  <si>
    <t xml:space="preserve"> $127,215.00 </t>
  </si>
  <si>
    <t xml:space="preserve"> $22,550.00 </t>
  </si>
  <si>
    <t xml:space="preserve"> $(13,530.00)</t>
  </si>
  <si>
    <t xml:space="preserve"> $3,108.00 </t>
  </si>
  <si>
    <t xml:space="preserve"> $7,252.00 </t>
  </si>
  <si>
    <t xml:space="preserve"> $3,908.00 </t>
  </si>
  <si>
    <t xml:space="preserve"> $15,632.00 </t>
  </si>
  <si>
    <t xml:space="preserve"> $17,730.00 </t>
  </si>
  <si>
    <t xml:space="preserve"> $11,820.00 </t>
  </si>
  <si>
    <t xml:space="preserve"> $3,250.50 </t>
  </si>
  <si>
    <t xml:space="preserve"> $7,584.50 </t>
  </si>
  <si>
    <t xml:space="preserve"> $482.00 </t>
  </si>
  <si>
    <t xml:space="preserve"> $1,928.00 </t>
  </si>
  <si>
    <t xml:space="preserve"> $1,021.50 </t>
  </si>
  <si>
    <t xml:space="preserve"> $2,383.50 </t>
  </si>
  <si>
    <t xml:space="preserve"> $765.00 </t>
  </si>
  <si>
    <t xml:space="preserve"> $1,785.00 </t>
  </si>
  <si>
    <t xml:space="preserve"> $1,185.00 </t>
  </si>
  <si>
    <t xml:space="preserve"> $2,765.00 </t>
  </si>
  <si>
    <t xml:space="preserve"> $22,365.00 </t>
  </si>
  <si>
    <t xml:space="preserve"> $35,145.00 </t>
  </si>
  <si>
    <t xml:space="preserve"> $19,950.00 </t>
  </si>
  <si>
    <t xml:space="preserve"> $(11,970.00)</t>
  </si>
  <si>
    <t xml:space="preserve"> $68,820.00 </t>
  </si>
  <si>
    <t xml:space="preserve"> $45,880.00 </t>
  </si>
  <si>
    <t xml:space="preserve"> $1,865.50 </t>
  </si>
  <si>
    <t xml:space="preserve"> $3,464.50 </t>
  </si>
  <si>
    <t xml:space="preserve"> $23,950.00 </t>
  </si>
  <si>
    <t xml:space="preserve"> $(14,370.00)</t>
  </si>
  <si>
    <t xml:space="preserve"> $25,590.00 </t>
  </si>
  <si>
    <t xml:space="preserve"> $17,060.00 </t>
  </si>
  <si>
    <t xml:space="preserve"> $4,262.50 </t>
  </si>
  <si>
    <t xml:space="preserve"> $(2,557.50)</t>
  </si>
  <si>
    <t xml:space="preserve"> $961.50 </t>
  </si>
  <si>
    <t xml:space="preserve"> $2,243.50 </t>
  </si>
  <si>
    <t xml:space="preserve"> $98,245.00 </t>
  </si>
  <si>
    <t xml:space="preserve"> $154,385.00 </t>
  </si>
  <si>
    <t xml:space="preserve"> $12,960.00 </t>
  </si>
  <si>
    <t xml:space="preserve"> $8,640.00 </t>
  </si>
  <si>
    <t xml:space="preserve"> $31,612.50 </t>
  </si>
  <si>
    <t xml:space="preserve"> $(18,967.50)</t>
  </si>
  <si>
    <t xml:space="preserve"> $65,450.00 </t>
  </si>
  <si>
    <t xml:space="preserve"> $102,850.00 </t>
  </si>
  <si>
    <t xml:space="preserve"> $7,237.50 </t>
  </si>
  <si>
    <t xml:space="preserve"> $(4,342.50)</t>
  </si>
  <si>
    <t xml:space="preserve"> $78,400.00 </t>
  </si>
  <si>
    <t xml:space="preserve"> $123,200.00 </t>
  </si>
  <si>
    <t xml:space="preserve"> $89,790.00 </t>
  </si>
  <si>
    <t xml:space="preserve"> $59,860.00 </t>
  </si>
  <si>
    <t xml:space="preserve"> $4,224.60 </t>
  </si>
  <si>
    <t xml:space="preserve"> $27,459.90 </t>
  </si>
  <si>
    <t xml:space="preserve"> $4,078.00 </t>
  </si>
  <si>
    <t xml:space="preserve"> $16,312.00 </t>
  </si>
  <si>
    <t xml:space="preserve"> $3,088.80 </t>
  </si>
  <si>
    <t xml:space="preserve"> $20,077.20 </t>
  </si>
  <si>
    <t xml:space="preserve"> $24,745.00 </t>
  </si>
  <si>
    <t xml:space="preserve"> $38,885.00 </t>
  </si>
  <si>
    <t xml:space="preserve"> $1,581.36 </t>
  </si>
  <si>
    <t xml:space="preserve"> $9,200.64 </t>
  </si>
  <si>
    <t xml:space="preserve"> $1,949.64 </t>
  </si>
  <si>
    <t xml:space="preserve"> $3,114.36 </t>
  </si>
  <si>
    <t xml:space="preserve"> $633.60 </t>
  </si>
  <si>
    <t xml:space="preserve"> $1,286.40 </t>
  </si>
  <si>
    <t xml:space="preserve"> $623.04 </t>
  </si>
  <si>
    <t xml:space="preserve"> $3,624.96 </t>
  </si>
  <si>
    <t xml:space="preserve"> $1,215.83 </t>
  </si>
  <si>
    <t xml:space="preserve"> $1,942.17 </t>
  </si>
  <si>
    <t xml:space="preserve"> $1,326.60 </t>
  </si>
  <si>
    <t xml:space="preserve"> $7,718.40 </t>
  </si>
  <si>
    <t xml:space="preserve"> $5,279.17 </t>
  </si>
  <si>
    <t xml:space="preserve"> $10,718.32 </t>
  </si>
  <si>
    <t xml:space="preserve"> $2,556.84 </t>
  </si>
  <si>
    <t xml:space="preserve"> $14,876.16 </t>
  </si>
  <si>
    <t xml:space="preserve"> $30,492.00 </t>
  </si>
  <si>
    <t xml:space="preserve"> $40,788.00 </t>
  </si>
  <si>
    <t xml:space="preserve"> $92,763.00 </t>
  </si>
  <si>
    <t xml:space="preserve"> $47,787.00 </t>
  </si>
  <si>
    <t xml:space="preserve"> $33,563.75 </t>
  </si>
  <si>
    <t xml:space="preserve"> $(21,358.75)</t>
  </si>
  <si>
    <t xml:space="preserve"> $2,574.00 </t>
  </si>
  <si>
    <t xml:space="preserve"> $5,226.00 </t>
  </si>
  <si>
    <t xml:space="preserve"> $2,083.62 </t>
  </si>
  <si>
    <t xml:space="preserve"> $3,328.38 </t>
  </si>
  <si>
    <t xml:space="preserve"> $29,491.00 </t>
  </si>
  <si>
    <t xml:space="preserve"> $39,449.00 </t>
  </si>
  <si>
    <t xml:space="preserve"> $6,582.40 </t>
  </si>
  <si>
    <t xml:space="preserve"> $23,337.60 </t>
  </si>
  <si>
    <t xml:space="preserve"> $3,559.05 </t>
  </si>
  <si>
    <t xml:space="preserve"> $7,225.95 </t>
  </si>
  <si>
    <t xml:space="preserve"> $28,809.00 </t>
  </si>
  <si>
    <t xml:space="preserve"> $14,841.00 </t>
  </si>
  <si>
    <t xml:space="preserve"> $2,468.40 </t>
  </si>
  <si>
    <t xml:space="preserve"> $8,751.60 </t>
  </si>
  <si>
    <t xml:space="preserve"> $81,023.25 </t>
  </si>
  <si>
    <t xml:space="preserve"> $108,381.75 </t>
  </si>
  <si>
    <t xml:space="preserve"> $5,314.32 </t>
  </si>
  <si>
    <t xml:space="preserve"> $30,919.68 </t>
  </si>
  <si>
    <t xml:space="preserve"> $3,201.66 </t>
  </si>
  <si>
    <t xml:space="preserve"> $18,627.84 </t>
  </si>
  <si>
    <t xml:space="preserve"> $5,266.80 </t>
  </si>
  <si>
    <t xml:space="preserve"> $18,673.20 </t>
  </si>
  <si>
    <t xml:space="preserve"> $3,273.60 </t>
  </si>
  <si>
    <t xml:space="preserve"> $6,646.40 </t>
  </si>
  <si>
    <t xml:space="preserve"> $45,078.00 </t>
  </si>
  <si>
    <t xml:space="preserve"> $23,222.00 </t>
  </si>
  <si>
    <t xml:space="preserve"> $6,171.00 </t>
  </si>
  <si>
    <t xml:space="preserve"> $21,879.00 </t>
  </si>
  <si>
    <t xml:space="preserve"> $1,080.75 </t>
  </si>
  <si>
    <t xml:space="preserve"> $2,194.25 </t>
  </si>
  <si>
    <t xml:space="preserve"> $13,244.00 </t>
  </si>
  <si>
    <t xml:space="preserve"> $17,716.00 </t>
  </si>
  <si>
    <t xml:space="preserve"> $1,392.16 </t>
  </si>
  <si>
    <t xml:space="preserve"> $2,223.84 </t>
  </si>
  <si>
    <t xml:space="preserve"> $2,288.88 </t>
  </si>
  <si>
    <t xml:space="preserve"> $13,317.12 </t>
  </si>
  <si>
    <t xml:space="preserve"> $7,617.50 </t>
  </si>
  <si>
    <t xml:space="preserve"> $(4,847.50)</t>
  </si>
  <si>
    <t xml:space="preserve"> $6,457.00 </t>
  </si>
  <si>
    <t xml:space="preserve"> $22,893.00 </t>
  </si>
  <si>
    <t xml:space="preserve"> $43,518.75 </t>
  </si>
  <si>
    <t xml:space="preserve"> $(27,693.75)</t>
  </si>
  <si>
    <t xml:space="preserve"> $5,783.80 </t>
  </si>
  <si>
    <t xml:space="preserve"> $20,506.20 </t>
  </si>
  <si>
    <t xml:space="preserve"> $19,703.75 </t>
  </si>
  <si>
    <t xml:space="preserve"> $(12,538.75)</t>
  </si>
  <si>
    <t xml:space="preserve"> $13,021.25 </t>
  </si>
  <si>
    <t xml:space="preserve"> $(8,286.25)</t>
  </si>
  <si>
    <t xml:space="preserve"> $292.60 </t>
  </si>
  <si>
    <t xml:space="preserve"> $467.40 </t>
  </si>
  <si>
    <t xml:space="preserve"> $37,212.00 </t>
  </si>
  <si>
    <t xml:space="preserve"> $42,528.00 </t>
  </si>
  <si>
    <t xml:space="preserve"> $36,240.00 </t>
  </si>
  <si>
    <t xml:space="preserve"> $(24,160.00)</t>
  </si>
  <si>
    <t xml:space="preserve"> $32,340.00 </t>
  </si>
  <si>
    <t xml:space="preserve"> $(21,560.00)</t>
  </si>
  <si>
    <t xml:space="preserve"> $4,840.20 </t>
  </si>
  <si>
    <t xml:space="preserve"> $8,604.80 </t>
  </si>
  <si>
    <t xml:space="preserve"> $2,166.40 </t>
  </si>
  <si>
    <t xml:space="preserve"> $63,828.00 </t>
  </si>
  <si>
    <t xml:space="preserve"> $24,822.00 </t>
  </si>
  <si>
    <t xml:space="preserve"> $2,032.80 </t>
  </si>
  <si>
    <t xml:space="preserve"> $2,807.20 </t>
  </si>
  <si>
    <t xml:space="preserve"> $2,296.56 </t>
  </si>
  <si>
    <t xml:space="preserve"> $3,171.44 </t>
  </si>
  <si>
    <t xml:space="preserve"> $4,116.00 </t>
  </si>
  <si>
    <t xml:space="preserve"> $13,034.00 </t>
  </si>
  <si>
    <t xml:space="preserve"> $42,696.00 </t>
  </si>
  <si>
    <t xml:space="preserve"> $16,604.00 </t>
  </si>
  <si>
    <t xml:space="preserve"> $125,820.00 </t>
  </si>
  <si>
    <t xml:space="preserve"> $48,930.00 </t>
  </si>
  <si>
    <t xml:space="preserve"> $2,172.00 </t>
  </si>
  <si>
    <t xml:space="preserve"> $6,878.00 </t>
  </si>
  <si>
    <t xml:space="preserve"> $66,948.00 </t>
  </si>
  <si>
    <t xml:space="preserve"> $76,512.00 </t>
  </si>
  <si>
    <t xml:space="preserve"> $48,924.00 </t>
  </si>
  <si>
    <t xml:space="preserve"> $19,026.00 </t>
  </si>
  <si>
    <t xml:space="preserve"> $77,400.00 </t>
  </si>
  <si>
    <t xml:space="preserve"> $30,100.00 </t>
  </si>
  <si>
    <t xml:space="preserve"> $50,274.00 </t>
  </si>
  <si>
    <t xml:space="preserve"> $57,456.00 </t>
  </si>
  <si>
    <t xml:space="preserve"> $684.00 </t>
  </si>
  <si>
    <t xml:space="preserve"> $1,216.00 </t>
  </si>
  <si>
    <t xml:space="preserve"> $2,959.20 </t>
  </si>
  <si>
    <t xml:space="preserve"> $9,370.80 </t>
  </si>
  <si>
    <t xml:space="preserve"> $58,590.00 </t>
  </si>
  <si>
    <t xml:space="preserve"> $66,960.00 </t>
  </si>
  <si>
    <t xml:space="preserve"> $41,412.00 </t>
  </si>
  <si>
    <t xml:space="preserve"> $47,328.00 </t>
  </si>
  <si>
    <t xml:space="preserve"> $3,036.96 </t>
  </si>
  <si>
    <t xml:space="preserve"> $15,944.04 </t>
  </si>
  <si>
    <t xml:space="preserve"> $6,974.10 </t>
  </si>
  <si>
    <t xml:space="preserve"> $12,398.40 </t>
  </si>
  <si>
    <t xml:space="preserve"> $26,166.00 </t>
  </si>
  <si>
    <t xml:space="preserve"> $29,904.00 </t>
  </si>
  <si>
    <t xml:space="preserve"> $35,805.00 </t>
  </si>
  <si>
    <t xml:space="preserve"> $(23,870.00)</t>
  </si>
  <si>
    <t xml:space="preserve"> $11,340.00 </t>
  </si>
  <si>
    <t xml:space="preserve"> $2,874.06 </t>
  </si>
  <si>
    <t xml:space="preserve"> $3,968.94 </t>
  </si>
  <si>
    <t xml:space="preserve"> $4,586.40 </t>
  </si>
  <si>
    <t xml:space="preserve"> $8,153.60 </t>
  </si>
  <si>
    <t xml:space="preserve"> $6,051.60 </t>
  </si>
  <si>
    <t xml:space="preserve"> $19,163.40 </t>
  </si>
  <si>
    <t xml:space="preserve"> $3,831.84 </t>
  </si>
  <si>
    <t xml:space="preserve"> $20,117.16 </t>
  </si>
  <si>
    <t xml:space="preserve"> $3,674.40 </t>
  </si>
  <si>
    <t xml:space="preserve"> $11,635.60 </t>
  </si>
  <si>
    <t xml:space="preserve"> $1,252.44 </t>
  </si>
  <si>
    <t xml:space="preserve"> $1,729.56 </t>
  </si>
  <si>
    <t xml:space="preserve"> $3,975.84 </t>
  </si>
  <si>
    <t xml:space="preserve"> $20,873.16 </t>
  </si>
  <si>
    <t xml:space="preserve"> $5,005.65 </t>
  </si>
  <si>
    <t xml:space="preserve"> $7,829.35 </t>
  </si>
  <si>
    <t xml:space="preserve"> $41,996.50 </t>
  </si>
  <si>
    <t xml:space="preserve"> $41,073.50 </t>
  </si>
  <si>
    <t xml:space="preserve"> $81,445.00 </t>
  </si>
  <si>
    <t xml:space="preserve"> $79,655.00 </t>
  </si>
  <si>
    <t xml:space="preserve"> $1,149.20 </t>
  </si>
  <si>
    <t xml:space="preserve"> $3,270.80 </t>
  </si>
  <si>
    <t xml:space="preserve"> $44,703.75 </t>
  </si>
  <si>
    <t xml:space="preserve"> $43,721.25 </t>
  </si>
  <si>
    <t xml:space="preserve"> $1,181.18 </t>
  </si>
  <si>
    <t xml:space="preserve"> $1,414.82 </t>
  </si>
  <si>
    <t xml:space="preserve"> $942.24 </t>
  </si>
  <si>
    <t xml:space="preserve"> $4,493.76 </t>
  </si>
  <si>
    <t xml:space="preserve"> $5,863.00 </t>
  </si>
  <si>
    <t xml:space="preserve"> $16,687.00 </t>
  </si>
  <si>
    <t xml:space="preserve"> $3,247.40 </t>
  </si>
  <si>
    <t xml:space="preserve"> $9,242.60 </t>
  </si>
  <si>
    <t xml:space="preserve"> $1,309.04 </t>
  </si>
  <si>
    <t xml:space="preserve"> $1,567.96 </t>
  </si>
  <si>
    <t xml:space="preserve"> $31,473.00 </t>
  </si>
  <si>
    <t xml:space="preserve"> $8,877.00 </t>
  </si>
  <si>
    <t xml:space="preserve"> $6,866.60 </t>
  </si>
  <si>
    <t xml:space="preserve"> $19,543.40 </t>
  </si>
  <si>
    <t xml:space="preserve"> $7,040.80 </t>
  </si>
  <si>
    <t xml:space="preserve"> $20,039.20 </t>
  </si>
  <si>
    <t xml:space="preserve"> $119,756.00 </t>
  </si>
  <si>
    <t xml:space="preserve"> $117,124.00 </t>
  </si>
  <si>
    <t xml:space="preserve"> $25,723.75 </t>
  </si>
  <si>
    <t xml:space="preserve"> $(17,808.75)</t>
  </si>
  <si>
    <t xml:space="preserve"> $890.76 </t>
  </si>
  <si>
    <t xml:space="preserve"> $4,248.24 </t>
  </si>
  <si>
    <t xml:space="preserve"> $2,453.36 </t>
  </si>
  <si>
    <t xml:space="preserve"> $2,938.64 </t>
  </si>
  <si>
    <t xml:space="preserve"> $3,051.75 </t>
  </si>
  <si>
    <t xml:space="preserve"> $4,773.25 </t>
  </si>
  <si>
    <t xml:space="preserve"> $16,243.50 </t>
  </si>
  <si>
    <t xml:space="preserve"> $15,886.50 </t>
  </si>
  <si>
    <t xml:space="preserve"> $1,580.28 </t>
  </si>
  <si>
    <t xml:space="preserve"> $7,536.72 </t>
  </si>
  <si>
    <t xml:space="preserve"> $7,795.13 </t>
  </si>
  <si>
    <t xml:space="preserve"> $12,192.38 </t>
  </si>
  <si>
    <t xml:space="preserve"> $1,082.90 </t>
  </si>
  <si>
    <t xml:space="preserve"> $1,297.10 </t>
  </si>
  <si>
    <t xml:space="preserve"> $1,287.00 </t>
  </si>
  <si>
    <t xml:space="preserve"> $2,013.00 </t>
  </si>
  <si>
    <t xml:space="preserve"> $639.60 </t>
  </si>
  <si>
    <t xml:space="preserve"> $3,050.40 </t>
  </si>
  <si>
    <t xml:space="preserve"> $101,595.00 </t>
  </si>
  <si>
    <t xml:space="preserve"> $28,655.00 </t>
  </si>
  <si>
    <t xml:space="preserve"> $26,958.75 </t>
  </si>
  <si>
    <t xml:space="preserve"> $(18,663.75)</t>
  </si>
  <si>
    <t xml:space="preserve"> $2,761.20 </t>
  </si>
  <si>
    <t xml:space="preserve"> $13,168.80 </t>
  </si>
  <si>
    <t xml:space="preserve"> $7,221.20 </t>
  </si>
  <si>
    <t xml:space="preserve"> $18,568.80 </t>
  </si>
  <si>
    <t xml:space="preserve"> $4,880.40 </t>
  </si>
  <si>
    <t xml:space="preserve"> $12,549.60 </t>
  </si>
  <si>
    <t xml:space="preserve"> $2,936.08 </t>
  </si>
  <si>
    <t xml:space="preserve"> $3,055.92 </t>
  </si>
  <si>
    <t xml:space="preserve"> $274.40 </t>
  </si>
  <si>
    <t xml:space="preserve"> $285.60 </t>
  </si>
  <si>
    <t xml:space="preserve"> $287.14 </t>
  </si>
  <si>
    <t xml:space="preserve"> $298.86 </t>
  </si>
  <si>
    <t xml:space="preserve"> $583.80 </t>
  </si>
  <si>
    <t xml:space="preserve"> $806.20 </t>
  </si>
  <si>
    <t xml:space="preserve"> $6,798.40 </t>
  </si>
  <si>
    <t xml:space="preserve"> $17,481.60 </t>
  </si>
  <si>
    <t xml:space="preserve"> $3,710.70 </t>
  </si>
  <si>
    <t xml:space="preserve"> $5,124.30 </t>
  </si>
  <si>
    <t xml:space="preserve"> $2,340.24 </t>
  </si>
  <si>
    <t xml:space="preserve"> $10,196.76 </t>
  </si>
  <si>
    <t xml:space="preserve"> $3,385.20 </t>
  </si>
  <si>
    <t xml:space="preserve"> $14,749.80 </t>
  </si>
  <si>
    <t xml:space="preserve"> $33,642.00 </t>
  </si>
  <si>
    <t xml:space="preserve"> $6,408.00 </t>
  </si>
  <si>
    <t xml:space="preserve"> $17,902.50 </t>
  </si>
  <si>
    <t xml:space="preserve"> $(12,787.50)</t>
  </si>
  <si>
    <t xml:space="preserve"> $62,832.00 </t>
  </si>
  <si>
    <t xml:space="preserve"> $11,968.00 </t>
  </si>
  <si>
    <t xml:space="preserve"> $42,420.00 </t>
  </si>
  <si>
    <t xml:space="preserve"> $8,080.00 </t>
  </si>
  <si>
    <t xml:space="preserve"> $3,177.30 </t>
  </si>
  <si>
    <t xml:space="preserve"> $4,387.70 </t>
  </si>
  <si>
    <t xml:space="preserve"> $4,830.00 </t>
  </si>
  <si>
    <t xml:space="preserve"> $6,670.00 </t>
  </si>
  <si>
    <t xml:space="preserve"> $49,367.50 </t>
  </si>
  <si>
    <t xml:space="preserve"> $(35,262.50)</t>
  </si>
  <si>
    <t xml:space="preserve"> $109,147.50 </t>
  </si>
  <si>
    <t xml:space="preserve"> $91,327.50 </t>
  </si>
  <si>
    <t xml:space="preserve"> $58,751.00 </t>
  </si>
  <si>
    <t xml:space="preserve"> $49,159.00 </t>
  </si>
  <si>
    <t xml:space="preserve"> $9,800.00 </t>
  </si>
  <si>
    <t xml:space="preserve"> $8,200.00 </t>
  </si>
  <si>
    <t xml:space="preserve"> $380.24 </t>
  </si>
  <si>
    <t xml:space="preserve"> $395.76 </t>
  </si>
  <si>
    <t xml:space="preserve"> $1,692.46 </t>
  </si>
  <si>
    <t xml:space="preserve"> $1,761.54 </t>
  </si>
  <si>
    <t xml:space="preserve"> $728.00 </t>
  </si>
  <si>
    <t xml:space="preserve"> $1,872.00 </t>
  </si>
  <si>
    <t xml:space="preserve"> $5,187.00 </t>
  </si>
  <si>
    <t xml:space="preserve"> $7,163.00 </t>
  </si>
  <si>
    <t xml:space="preserve"> $3,660.30 </t>
  </si>
  <si>
    <t xml:space="preserve"> $5,054.70 </t>
  </si>
  <si>
    <t xml:space="preserve"> $4,895.52 </t>
  </si>
  <si>
    <t xml:space="preserve"> $21,330.48 </t>
  </si>
  <si>
    <t xml:space="preserve"> $1,696.38 </t>
  </si>
  <si>
    <t xml:space="preserve"> $1,765.62 </t>
  </si>
  <si>
    <t xml:space="preserve"> $34,300.00 </t>
  </si>
  <si>
    <t xml:space="preserve"> $28,700.00 </t>
  </si>
  <si>
    <t xml:space="preserve"> $3,732.96 </t>
  </si>
  <si>
    <t xml:space="preserve"> $16,265.04 </t>
  </si>
  <si>
    <t xml:space="preserve"> $57,673.00 </t>
  </si>
  <si>
    <t xml:space="preserve"> $48,257.00 </t>
  </si>
  <si>
    <t xml:space="preserve"> $94,178.00 </t>
  </si>
  <si>
    <t xml:space="preserve"> $78,802.00 </t>
  </si>
  <si>
    <t xml:space="preserve"> $27,562.50 </t>
  </si>
  <si>
    <t xml:space="preserve"> $(19,687.50)</t>
  </si>
  <si>
    <t xml:space="preserve"> $1,696.80 </t>
  </si>
  <si>
    <t xml:space="preserve"> $4,363.20 </t>
  </si>
  <si>
    <t xml:space="preserve"> $103,320.00 </t>
  </si>
  <si>
    <t xml:space="preserve"> $19,680.00 </t>
  </si>
  <si>
    <t xml:space="preserve"> $11,298.00 </t>
  </si>
  <si>
    <t xml:space="preserve"> $2,152.00 </t>
  </si>
  <si>
    <t xml:space="preserve"> $106,512.00 </t>
  </si>
  <si>
    <t xml:space="preserve"> $20,288.00 </t>
  </si>
  <si>
    <t xml:space="preserve"> $2,844.94 </t>
  </si>
  <si>
    <t xml:space="preserve"> $2,961.06 </t>
  </si>
  <si>
    <t xml:space="preserve"> $106,722.00 </t>
  </si>
  <si>
    <t xml:space="preserve"> $20,328.00 </t>
  </si>
  <si>
    <t xml:space="preserve"> $62,769.00 </t>
  </si>
  <si>
    <t xml:space="preserve"> $52,521.00 </t>
  </si>
  <si>
    <t xml:space="preserve"> $37,296.00 </t>
  </si>
  <si>
    <t xml:space="preserve"> $7,104.00 </t>
  </si>
  <si>
    <t xml:space="preserve"> $49,770.00 </t>
  </si>
  <si>
    <t xml:space="preserve"> $(35,550.00)</t>
  </si>
  <si>
    <t xml:space="preserve"> $4,158.00 </t>
  </si>
  <si>
    <t xml:space="preserve"> $18,117.00 </t>
  </si>
  <si>
    <t xml:space="preserve"> $3,927.00 </t>
  </si>
  <si>
    <t xml:space="preserve"> $5,423.00 </t>
  </si>
  <si>
    <t xml:space="preserve"> $22,012.50 </t>
  </si>
  <si>
    <t xml:space="preserve"> $(16,142.50)</t>
  </si>
  <si>
    <t xml:space="preserve"> $51,881.25 </t>
  </si>
  <si>
    <t xml:space="preserve"> $(38,046.25)</t>
  </si>
  <si>
    <t xml:space="preserve"> $20,343.75 </t>
  </si>
  <si>
    <t xml:space="preserve"> $(14,918.75)</t>
  </si>
  <si>
    <t xml:space="preserve"> $24,570.00 </t>
  </si>
  <si>
    <t xml:space="preserve"> $2,730.00 </t>
  </si>
  <si>
    <t xml:space="preserve"> $3,474.00 </t>
  </si>
  <si>
    <t xml:space="preserve"> $8,106.00 </t>
  </si>
  <si>
    <t xml:space="preserve"> $3,631.50 </t>
  </si>
  <si>
    <t xml:space="preserve"> $4,438.50 </t>
  </si>
  <si>
    <t xml:space="preserve"> $2,661.75 </t>
  </si>
  <si>
    <t xml:space="preserve"> $2,408.25 </t>
  </si>
  <si>
    <t xml:space="preserve"> $149,677.50 </t>
  </si>
  <si>
    <t xml:space="preserve"> $106,912.50 </t>
  </si>
  <si>
    <t xml:space="preserve"> $5,757.75 </t>
  </si>
  <si>
    <t xml:space="preserve"> $7,037.25 </t>
  </si>
  <si>
    <t xml:space="preserve"> $801.00 </t>
  </si>
  <si>
    <t xml:space="preserve"> $1,869.00 </t>
  </si>
  <si>
    <t xml:space="preserve"> $2,643.75 </t>
  </si>
  <si>
    <t xml:space="preserve"> $3,231.25 </t>
  </si>
  <si>
    <t xml:space="preserve"> $105,367.50 </t>
  </si>
  <si>
    <t xml:space="preserve"> $75,262.50 </t>
  </si>
  <si>
    <t xml:space="preserve"> $112,927.50 </t>
  </si>
  <si>
    <t xml:space="preserve"> $80,662.50 </t>
  </si>
  <si>
    <t xml:space="preserve"> $1,645.20 </t>
  </si>
  <si>
    <t xml:space="preserve"> $6,580.80 </t>
  </si>
  <si>
    <t xml:space="preserve"> $879.00 </t>
  </si>
  <si>
    <t xml:space="preserve"> $2,051.00 </t>
  </si>
  <si>
    <t xml:space="preserve"> $900.00 </t>
  </si>
  <si>
    <t xml:space="preserve"> $3,600.00 </t>
  </si>
  <si>
    <t xml:space="preserve"> $6,358.50 </t>
  </si>
  <si>
    <t xml:space="preserve"> $7,771.50 </t>
  </si>
  <si>
    <t xml:space="preserve"> $12,431.25 </t>
  </si>
  <si>
    <t xml:space="preserve"> $(9,116.25)</t>
  </si>
  <si>
    <t xml:space="preserve"> $115,830.00 </t>
  </si>
  <si>
    <t xml:space="preserve"> $12,870.00 </t>
  </si>
  <si>
    <t xml:space="preserve"> $45,712.50 </t>
  </si>
  <si>
    <t xml:space="preserve"> $(33,522.50)</t>
  </si>
  <si>
    <t xml:space="preserve"> $2,596.50 </t>
  </si>
  <si>
    <t xml:space="preserve"> $6,058.50 </t>
  </si>
  <si>
    <t xml:space="preserve"> $1,107.00 </t>
  </si>
  <si>
    <t xml:space="preserve"> $1,353.00 </t>
  </si>
  <si>
    <t xml:space="preserve"> $55,387.50 </t>
  </si>
  <si>
    <t xml:space="preserve"> $(40,617.50)</t>
  </si>
  <si>
    <t xml:space="preserve"> $10,350.00 </t>
  </si>
  <si>
    <t xml:space="preserve"> $(7,590.00)</t>
  </si>
  <si>
    <t xml:space="preserve"> $111,375.00 </t>
  </si>
  <si>
    <t xml:space="preserve"> $12,375.00 </t>
  </si>
  <si>
    <t xml:space="preserve"> $1,436.40 </t>
  </si>
  <si>
    <t xml:space="preserve"> $1,299.60 </t>
  </si>
  <si>
    <t xml:space="preserve"> $759.15 </t>
  </si>
  <si>
    <t xml:space="preserve"> $686.85 </t>
  </si>
  <si>
    <t xml:space="preserve"> $3,250.80 </t>
  </si>
  <si>
    <t xml:space="preserve"> $13,003.20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</si>
</sst>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Red]0"/>
    <numFmt numFmtId="165" formatCode="dd/mm/yyyy;@"/>
    <numFmt numFmtId="166" formatCode="0.00;[Red]0.00"/>
    <numFmt numFmtId="167" formatCode="[$-809]dd\ mmmm\ yyyy;@"/>
    <numFmt numFmtId="168" formatCode="[$$-409]#,##0.00"/>
    <numFmt numFmtId="169" formatCode="[$$-409]#,##0.00;[Red][$$-409]#,##0.00"/>
    <numFmt numFmtId="170" formatCode="#,##0;[Red]#,##0"/>
    <numFmt numFmtId="171" formatCode="0.00,,&quot;M&quot;"/>
  </numFmts>
  <fonts count="10" x14ac:knownFonts="1">
    <font>
      <sz val="12"/>
      <color theme="1"/>
      <name val="Calibri"/>
      <family val="2"/>
      <scheme val="minor"/>
    </font>
    <font>
      <sz val="8"/>
      <name val="Calibri"/>
      <family val="2"/>
      <scheme val="minor"/>
    </font>
    <font>
      <b/>
      <sz val="12"/>
      <color theme="1"/>
      <name val="Calibri"/>
      <family val="2"/>
      <scheme val="minor"/>
    </font>
    <font>
      <sz val="18"/>
      <color theme="1"/>
      <name val="Calibri"/>
      <family val="2"/>
      <scheme val="minor"/>
    </font>
    <font>
      <b/>
      <sz val="18"/>
      <color theme="1"/>
      <name val="Calibri"/>
      <family val="2"/>
      <scheme val="minor"/>
    </font>
    <font>
      <sz val="16"/>
      <color theme="1"/>
      <name val="Calibri"/>
      <family val="2"/>
      <scheme val="minor"/>
    </font>
    <font>
      <b/>
      <sz val="18"/>
      <color theme="0"/>
      <name val="Calibri"/>
      <family val="2"/>
      <scheme val="minor"/>
    </font>
    <font>
      <sz val="14"/>
      <color theme="1"/>
      <name val="Calibri"/>
      <family val="2"/>
      <scheme val="minor"/>
    </font>
    <font>
      <sz val="14"/>
      <color rgb="FF34A853"/>
      <name val="Calibri"/>
      <family val="2"/>
      <scheme val="minor"/>
    </font>
    <font>
      <sz val="20"/>
      <color theme="1"/>
      <name val="Calibri"/>
      <family val="2"/>
      <scheme val="minor"/>
    </font>
  </fonts>
  <fills count="4">
    <fill>
      <patternFill patternType="none"/>
    </fill>
    <fill>
      <patternFill patternType="gray125"/>
    </fill>
    <fill>
      <patternFill patternType="solid">
        <fgColor rgb="FF004DD6"/>
        <bgColor theme="8" tint="-0.249977111117893"/>
      </patternFill>
    </fill>
    <fill>
      <patternFill patternType="solid">
        <fgColor theme="0"/>
        <bgColor indexed="64"/>
      </patternFill>
    </fill>
  </fills>
  <borders count="8">
    <border>
      <left/>
      <right/>
      <top/>
      <bottom/>
      <diagonal/>
    </border>
    <border>
      <left/>
      <right/>
      <top/>
      <bottom style="thin">
        <color theme="8" tint="0.79998168889431442"/>
      </bottom>
      <diagonal/>
    </border>
    <border>
      <left/>
      <right/>
      <top/>
      <bottom style="thin">
        <color theme="8" tint="0.59999389629810485"/>
      </bottom>
      <diagonal/>
    </border>
    <border>
      <left/>
      <right/>
      <top style="thin">
        <color theme="8" tint="-0.249977111117893"/>
      </top>
      <bottom style="thin">
        <color theme="8" tint="-0.249977111117893"/>
      </bottom>
      <diagonal/>
    </border>
    <border>
      <left/>
      <right/>
      <top style="thin">
        <color theme="8" tint="0.79998168889431442"/>
      </top>
      <bottom style="thin">
        <color theme="8" tint="0.79998168889431442"/>
      </bottom>
      <diagonal/>
    </border>
    <border>
      <left/>
      <right/>
      <top style="thin">
        <color theme="8" tint="0.79998168889431442"/>
      </top>
      <bottom/>
      <diagonal/>
    </border>
    <border>
      <left/>
      <right/>
      <top/>
      <bottom style="thin">
        <color theme="8" tint="-0.249977111117893"/>
      </bottom>
      <diagonal/>
    </border>
    <border>
      <left/>
      <right/>
      <top style="thin">
        <color theme="8" tint="-0.249977111117893"/>
      </top>
      <bottom style="thin">
        <color rgb="FF004DD6"/>
      </bottom>
      <diagonal/>
    </border>
  </borders>
  <cellStyleXfs count="1">
    <xf numFmtId="0" fontId="0" fillId="0" borderId="0"/>
  </cellStyleXfs>
  <cellXfs count="4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vertical="center"/>
    </xf>
    <xf numFmtId="166" fontId="0" fillId="0" borderId="0" xfId="0" applyNumberFormat="1"/>
    <xf numFmtId="10" fontId="0" fillId="0" borderId="0" xfId="0" applyNumberFormat="1"/>
    <xf numFmtId="0" fontId="2" fillId="0" borderId="0" xfId="0" applyFont="1"/>
    <xf numFmtId="167" fontId="0" fillId="0" borderId="0" xfId="0" applyNumberFormat="1" applyAlignment="1">
      <alignment horizontal="center" vertical="center"/>
    </xf>
    <xf numFmtId="0" fontId="3" fillId="0" borderId="0" xfId="0" applyFont="1" applyAlignment="1">
      <alignment horizontal="center" vertical="center"/>
    </xf>
    <xf numFmtId="168" fontId="3" fillId="0" borderId="0" xfId="0" applyNumberFormat="1" applyFont="1" applyAlignment="1">
      <alignment horizontal="center" vertical="center"/>
    </xf>
    <xf numFmtId="0" fontId="4" fillId="0" borderId="0" xfId="0" pivotButton="1" applyFont="1" applyAlignment="1">
      <alignment horizontal="center" vertical="center"/>
    </xf>
    <xf numFmtId="0" fontId="5" fillId="0" borderId="0" xfId="0" applyFont="1" applyAlignment="1">
      <alignment horizontal="center" vertical="center"/>
    </xf>
    <xf numFmtId="169" fontId="5" fillId="0" borderId="0" xfId="0" applyNumberFormat="1" applyFont="1" applyAlignment="1">
      <alignment horizontal="center" vertical="center"/>
    </xf>
    <xf numFmtId="0" fontId="6" fillId="2" borderId="1" xfId="0" applyFont="1" applyFill="1" applyBorder="1" applyAlignment="1">
      <alignment horizontal="left" vertical="top"/>
    </xf>
    <xf numFmtId="0" fontId="6" fillId="2" borderId="2" xfId="0" applyFont="1" applyFill="1" applyBorder="1" applyAlignment="1">
      <alignment horizontal="center" vertical="center"/>
    </xf>
    <xf numFmtId="168" fontId="6" fillId="2" borderId="2" xfId="0" applyNumberFormat="1" applyFont="1" applyFill="1" applyBorder="1" applyAlignment="1">
      <alignment horizontal="center" vertical="center"/>
    </xf>
    <xf numFmtId="169" fontId="6" fillId="2" borderId="2" xfId="0" applyNumberFormat="1" applyFont="1" applyFill="1" applyBorder="1" applyAlignment="1">
      <alignment horizontal="center" vertical="center"/>
    </xf>
    <xf numFmtId="0" fontId="7" fillId="3" borderId="3" xfId="0" applyFont="1" applyFill="1" applyBorder="1" applyAlignment="1">
      <alignment horizontal="left" vertical="top"/>
    </xf>
    <xf numFmtId="169" fontId="7" fillId="3" borderId="0" xfId="0" applyNumberFormat="1" applyFont="1" applyFill="1" applyAlignment="1">
      <alignment horizontal="center" vertical="center"/>
    </xf>
    <xf numFmtId="169" fontId="8" fillId="3" borderId="0" xfId="0" applyNumberFormat="1" applyFont="1" applyFill="1" applyAlignment="1">
      <alignment horizontal="center" vertical="center"/>
    </xf>
    <xf numFmtId="10" fontId="7" fillId="3" borderId="0" xfId="0" applyNumberFormat="1" applyFont="1" applyFill="1" applyAlignment="1">
      <alignment horizontal="center" vertical="center"/>
    </xf>
    <xf numFmtId="0" fontId="7" fillId="3" borderId="7" xfId="0" applyFont="1" applyFill="1" applyBorder="1" applyAlignment="1">
      <alignment horizontal="left" vertical="top"/>
    </xf>
    <xf numFmtId="0" fontId="7" fillId="3" borderId="6" xfId="0" applyFont="1" applyFill="1" applyBorder="1" applyAlignment="1">
      <alignment horizontal="left" vertical="top"/>
    </xf>
    <xf numFmtId="0" fontId="7" fillId="3" borderId="4" xfId="0" applyFont="1" applyFill="1" applyBorder="1" applyAlignment="1">
      <alignment horizontal="left" vertical="top"/>
    </xf>
    <xf numFmtId="0" fontId="7" fillId="3" borderId="5" xfId="0" applyFont="1" applyFill="1" applyBorder="1" applyAlignment="1">
      <alignment horizontal="left" vertical="top"/>
    </xf>
    <xf numFmtId="10" fontId="0" fillId="0" borderId="0" xfId="0" applyNumberFormat="1" applyAlignment="1">
      <alignment horizontal="center" vertical="center"/>
    </xf>
    <xf numFmtId="2" fontId="0" fillId="0" borderId="0" xfId="0" applyNumberFormat="1"/>
    <xf numFmtId="165" fontId="0" fillId="0" borderId="0" xfId="0" applyNumberFormat="1"/>
    <xf numFmtId="49" fontId="0" fillId="0" borderId="0" xfId="0" applyNumberFormat="1"/>
    <xf numFmtId="0" fontId="0" fillId="0" borderId="0" xfId="0" applyAlignment="1">
      <alignment horizontal="left" indent="1"/>
    </xf>
    <xf numFmtId="10" fontId="5" fillId="0" borderId="0" xfId="0" applyNumberFormat="1" applyFont="1" applyAlignment="1">
      <alignment horizontal="center" vertical="center"/>
    </xf>
    <xf numFmtId="169" fontId="0" fillId="0" borderId="0" xfId="0" applyNumberFormat="1" applyAlignment="1">
      <alignment horizontal="center"/>
    </xf>
    <xf numFmtId="170" fontId="7" fillId="3" borderId="0" xfId="0" applyNumberFormat="1" applyFont="1" applyFill="1" applyAlignment="1">
      <alignment horizontal="center" vertical="center"/>
    </xf>
    <xf numFmtId="0" fontId="0" fillId="0" borderId="0" xfId="0" applyAlignment="1">
      <alignment shrinkToFit="1"/>
    </xf>
    <xf numFmtId="0" fontId="0" fillId="0" borderId="0" xfId="0" pivotButton="1" applyAlignment="1">
      <alignment shrinkToFit="1"/>
    </xf>
    <xf numFmtId="0" fontId="0" fillId="0" borderId="0" xfId="0" applyAlignment="1">
      <alignment horizontal="left" shrinkToFit="1"/>
    </xf>
    <xf numFmtId="0" fontId="9" fillId="0" borderId="0" xfId="0" applyFont="1" applyAlignment="1">
      <alignment horizontal="center" vertical="center" shrinkToFit="1"/>
    </xf>
    <xf numFmtId="166" fontId="5" fillId="0" borderId="0" xfId="0" applyNumberFormat="1" applyFont="1" applyAlignment="1">
      <alignment horizontal="center" vertical="center"/>
    </xf>
    <xf numFmtId="10" fontId="7" fillId="0" borderId="0" xfId="0" applyNumberFormat="1" applyFont="1" applyAlignment="1">
      <alignment horizontal="center" vertical="center"/>
    </xf>
    <xf numFmtId="171" fontId="0" fillId="0" borderId="0" xfId="0" applyNumberFormat="1"/>
    <xf numFmtId="0" fontId="5" fillId="0" borderId="0" xfId="0" applyFont="1" applyAlignment="1">
      <alignment horizontal="center" vertical="center" shrinkToFit="1"/>
    </xf>
    <xf numFmtId="0" fontId="0" fillId="0" borderId="0" xfId="0" applyAlignment="1">
      <alignment horizontal="center"/>
    </xf>
    <xf numFmtId="0" fontId="0" fillId="0" borderId="0" xfId="0" applyNumberFormat="1"/>
    <xf numFmtId="14" fontId="0" fillId="0" borderId="0" xfId="0" applyNumberFormat="1"/>
  </cellXfs>
  <cellStyles count="1">
    <cellStyle name="Normal" xfId="0" builtinId="0"/>
  </cellStyles>
  <dxfs count="88">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64" formatCode="0;[Red]0"/>
    </dxf>
    <dxf>
      <numFmt numFmtId="30" formatCode="@"/>
    </dxf>
    <dxf>
      <numFmt numFmtId="164" formatCode="0;[Red]0"/>
    </dxf>
    <dxf>
      <numFmt numFmtId="165" formatCode="dd/mm/yyyy;@"/>
    </dxf>
    <dxf>
      <numFmt numFmtId="166" formatCode="0.00;[Red]0.00"/>
    </dxf>
    <dxf>
      <numFmt numFmtId="2" formatCode="0.00"/>
    </dxf>
    <dxf>
      <numFmt numFmtId="2" formatCode="0.00"/>
    </dxf>
    <dxf>
      <numFmt numFmtId="166" formatCode="0.00;[Red]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ont>
        <sz val="16"/>
      </font>
    </dxf>
    <dxf>
      <font>
        <sz val="16"/>
      </font>
    </dxf>
    <dxf>
      <font>
        <sz val="20"/>
      </font>
    </dxf>
    <dxf>
      <font>
        <sz val="20"/>
      </font>
    </dxf>
    <dxf>
      <alignment wrapText="0"/>
    </dxf>
    <dxf>
      <alignment wrapText="0"/>
    </dxf>
    <dxf>
      <alignment shrinkToFit="1"/>
    </dxf>
    <dxf>
      <alignment shrinkToFit="1"/>
    </dxf>
    <dxf>
      <numFmt numFmtId="169" formatCode="[$$-409]#,##0.00;[Red][$$-409]#,##0.00"/>
    </dxf>
    <dxf>
      <font>
        <b/>
      </font>
    </dxf>
    <dxf>
      <numFmt numFmtId="168" formatCode="[$$-409]#,##0.00"/>
    </dxf>
    <dxf>
      <font>
        <sz val="18"/>
      </font>
    </dxf>
    <dxf>
      <font>
        <sz val="18"/>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wrapText="0"/>
    </dxf>
    <dxf>
      <alignment wrapText="0"/>
    </dxf>
    <dxf>
      <alignment shrinkToFit="1"/>
    </dxf>
    <dxf>
      <alignment shrinkToFit="1"/>
    </dxf>
    <dxf>
      <alignment shrinkToFit="1"/>
    </dxf>
    <dxf>
      <font>
        <b val="0"/>
        <i val="0"/>
        <strike val="0"/>
        <condense val="0"/>
        <extend val="0"/>
        <outline val="0"/>
        <shadow val="0"/>
        <u val="none"/>
        <vertAlign val="baseline"/>
        <sz val="14"/>
        <color theme="1"/>
        <name val="Calibri"/>
        <family val="2"/>
        <scheme val="minor"/>
      </font>
      <numFmt numFmtId="170" formatCode="#,##0;[Red]#,##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4"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rgb="FF34A853"/>
        <name val="Calibri"/>
        <family val="2"/>
        <scheme val="minor"/>
      </font>
      <numFmt numFmtId="169" formatCode="[$$-409]#,##0.00;[Red][$$-409]#,##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9" formatCode="[$$-409]#,##0.00;[Red][$$-409]#,##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9" formatCode="[$$-409]#,##0.00;[Red][$$-409]#,##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9" formatCode="[$$-409]#,##0.00;[Red][$$-409]#,##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9" formatCode="[$$-409]#,##0.00;[Red][$$-409]#,##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top style="thin">
          <color theme="8" tint="0.79998168889431442"/>
        </top>
        <bottom style="thin">
          <color theme="8" tint="0.79998168889431442"/>
        </bottom>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8"/>
        <color theme="0"/>
        <name val="Calibri"/>
        <family val="2"/>
        <scheme val="minor"/>
      </font>
      <fill>
        <patternFill patternType="solid">
          <fgColor theme="8" tint="-0.249977111117893"/>
          <bgColor rgb="FF004DD6"/>
        </patternFill>
      </fill>
      <alignment horizontal="center" vertical="center" textRotation="0" wrapText="0" indent="0" justifyLastLine="0" shrinkToFit="0" readingOrder="0"/>
    </dxf>
    <dxf>
      <font>
        <b/>
        <color theme="1"/>
      </font>
      <border>
        <bottom style="thin">
          <color rgb="FF4F81BD"/>
        </bottom>
        <vertical/>
        <horizontal/>
      </border>
    </dxf>
    <dxf>
      <font>
        <b/>
        <i val="0"/>
        <color theme="0"/>
      </font>
      <fill>
        <patternFill>
          <bgColor theme="0"/>
        </patternFill>
      </fill>
      <border>
        <left style="thin">
          <color rgb="FF4F81BD"/>
        </left>
        <right style="thin">
          <color rgb="FF4F81BD"/>
        </right>
        <top style="thin">
          <color rgb="FF4F81BD"/>
        </top>
        <bottom style="thin">
          <color rgb="FF4F81BD"/>
        </bottom>
        <vertical/>
        <horizontal/>
      </border>
    </dxf>
    <dxf>
      <font>
        <b/>
        <color theme="1"/>
      </font>
      <border>
        <bottom style="thin">
          <color theme="4"/>
        </bottom>
        <vertical/>
        <horizontal/>
      </border>
    </dxf>
    <dxf>
      <font>
        <color theme="1"/>
      </font>
      <fill>
        <patternFill>
          <fgColor theme="4" tint="0.79998168889431442"/>
          <bgColor theme="4" tint="0.7999816888943144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color theme="0"/>
      </font>
      <fill>
        <patternFill>
          <fgColor rgb="FF004DD6"/>
          <bgColor rgb="FF004DD6"/>
        </patternFill>
      </fill>
    </dxf>
    <dxf>
      <font>
        <color theme="0"/>
      </font>
      <fill>
        <patternFill patternType="solid">
          <fgColor rgb="FF004DD6"/>
          <bgColor rgb="FF004DD6"/>
        </patternFill>
      </fill>
    </dxf>
    <dxf>
      <font>
        <color theme="0"/>
      </font>
      <fill>
        <patternFill>
          <fgColor rgb="FF004DD6"/>
          <bgColor rgb="FF004DD6"/>
        </patternFill>
      </fill>
    </dxf>
    <dxf>
      <font>
        <color theme="0"/>
      </font>
      <fill>
        <patternFill>
          <fgColor rgb="FF004DD6"/>
          <bgColor rgb="FF004DD6"/>
        </patternFill>
      </fill>
    </dxf>
    <dxf>
      <fill>
        <patternFill>
          <fgColor rgb="FF004DD6"/>
          <bgColor rgb="FF004DD6"/>
        </patternFill>
      </fill>
    </dxf>
    <dxf>
      <fill>
        <patternFill patternType="solid">
          <fgColor theme="0"/>
          <bgColor theme="0"/>
        </patternFill>
      </fill>
    </dxf>
    <dxf>
      <fill>
        <patternFill>
          <fgColor rgb="FF004DD6"/>
          <bgColor rgb="FF004DD6"/>
        </patternFill>
      </fill>
    </dxf>
    <dxf>
      <fill>
        <patternFill>
          <fgColor theme="0"/>
          <bgColor theme="0"/>
        </patternFill>
      </fill>
    </dxf>
    <dxf>
      <fill>
        <patternFill>
          <fgColor rgb="FF004DD6"/>
          <bgColor rgb="FF004DD6"/>
        </patternFill>
      </fill>
    </dxf>
    <dxf>
      <fill>
        <patternFill>
          <fgColor rgb="FF004DD6"/>
          <bgColor rgb="FF004DD6"/>
        </patternFill>
      </fill>
    </dxf>
    <dxf>
      <font>
        <color theme="0"/>
      </font>
      <fill>
        <patternFill patternType="solid">
          <fgColor theme="0"/>
          <bgColor theme="0"/>
        </patternFill>
      </fill>
    </dxf>
    <dxf>
      <font>
        <color theme="0"/>
      </font>
      <fill>
        <patternFill patternType="solid">
          <fgColor rgb="FF004DD6"/>
          <bgColor rgb="FF004DD6"/>
        </patternFill>
      </fill>
      <border>
        <bottom style="thin">
          <color theme="4"/>
        </bottom>
        <vertical/>
        <horizontal/>
      </border>
    </dxf>
    <dxf>
      <font>
        <b/>
        <i val="0"/>
        <u val="none"/>
        <color theme="0"/>
      </font>
      <fill>
        <patternFill patternType="solid">
          <fgColor theme="0"/>
          <bgColor theme="0"/>
        </patternFill>
      </fill>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SlicerStyleDark1 2" pivot="0" table="0" count="21" xr9:uid="{48140F4B-BA95-5248-A15B-B6297DBE996D}">
      <tableStyleElement type="wholeTable" dxfId="87"/>
      <tableStyleElement type="headerRow" dxfId="86"/>
      <tableStyleElement type="totalRow" dxfId="85"/>
      <tableStyleElement type="firstColumn" dxfId="84"/>
      <tableStyleElement type="lastColumn" dxfId="83"/>
      <tableStyleElement type="firstRowStripe" dxfId="82"/>
      <tableStyleElement type="secondRowStripe" dxfId="81"/>
      <tableStyleElement type="firstColumnStripe" dxfId="80"/>
      <tableStyleElement type="secondColumnStripe" dxfId="79"/>
      <tableStyleElement type="firstHeaderCell" dxfId="78"/>
      <tableStyleElement type="lastHeaderCell" dxfId="77"/>
      <tableStyleElement type="firstTotalCell" dxfId="76"/>
      <tableStyleElement type="lastTotalCell" dxfId="75"/>
    </tableStyle>
    <tableStyle name="SlicerStyleDark1 3" pivot="0" table="0" count="10" xr9:uid="{59E8B8D8-9922-D840-842E-F2645705B59E}">
      <tableStyleElement type="wholeTable" dxfId="74"/>
      <tableStyleElement type="headerRow" dxfId="73"/>
    </tableStyle>
    <tableStyle name="SlicerStyleDark1 4" pivot="0" table="0" count="10" xr9:uid="{09FC725E-68D2-314D-ABA3-BE6A88C8EA1A}">
      <tableStyleElement type="wholeTable" dxfId="72"/>
      <tableStyleElement type="headerRow" dxfId="71"/>
    </tableStyle>
    <tableStyle name="SlicerStyleLight1 2" pivot="0" table="0" count="10" xr9:uid="{6BD98899-7B3D-844B-B485-B150A921AB5E}">
      <tableStyleElement type="wholeTable" dxfId="70"/>
      <tableStyleElement type="headerRow" dxfId="69"/>
    </tableStyle>
    <tableStyle name="SlicerStyleOther2 2" pivot="0" table="0" count="10" xr9:uid="{C38162AE-8357-E94F-9019-DAC145884A75}">
      <tableStyleElement type="wholeTable" dxfId="68"/>
      <tableStyleElement type="headerRow" dxfId="67"/>
    </tableStyle>
  </tableStyles>
  <colors>
    <mruColors>
      <color rgb="FF004DD6"/>
      <color rgb="FF34A853"/>
      <color rgb="FF7C3AED"/>
      <color rgb="FFF59E0B"/>
      <color rgb="FF2EAF4A"/>
      <color rgb="FF0891B2"/>
      <color rgb="FF2563EB"/>
      <color rgb="FF0080FF"/>
      <color rgb="FFD9D9D9"/>
      <color rgb="FFED7DEB"/>
    </mruColors>
  </colors>
  <extLst>
    <ext xmlns:x14="http://schemas.microsoft.com/office/spreadsheetml/2009/9/main" uri="{46F421CA-312F-682f-3DD2-61675219B42D}">
      <x14:dxfs count="40">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[new_finance.xlsx]Pivot!sales by year</c:name>
    <c:fmtId val="2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Monthly Sales Trend</a:t>
            </a:r>
          </a:p>
        </c:rich>
      </c:tx>
      <c:layout>
        <c:manualLayout>
          <c:xMode val="edge"/>
          <c:yMode val="edge"/>
          <c:x val="0.41166442953020133"/>
          <c:y val="1.984126984126984E-2"/>
        </c:manualLayout>
      </c:layout>
      <c:overlay val="0"/>
      <c:spPr>
        <a:solidFill>
          <a:srgbClr val="004DD6"/>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50800" cap="rnd">
            <a:solidFill>
              <a:srgbClr val="004DD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50800" cap="rnd">
            <a:solidFill>
              <a:srgbClr val="004DD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50800" cap="rnd">
            <a:solidFill>
              <a:srgbClr val="004DD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Pivot!$B$7</c:f>
              <c:strCache>
                <c:ptCount val="1"/>
                <c:pt idx="0">
                  <c:v>Total</c:v>
                </c:pt>
              </c:strCache>
            </c:strRef>
          </c:tx>
          <c:spPr>
            <a:ln w="50800" cap="rnd">
              <a:solidFill>
                <a:srgbClr val="004DD6"/>
              </a:solidFill>
              <a:round/>
            </a:ln>
            <a:effectLst/>
          </c:spPr>
          <c:marker>
            <c:symbol val="circle"/>
            <c:size val="5"/>
            <c:spPr>
              <a:solidFill>
                <a:schemeClr val="accent1"/>
              </a:solidFill>
              <a:ln w="9525">
                <a:solidFill>
                  <a:schemeClr val="accent1"/>
                </a:solidFill>
              </a:ln>
              <a:effectLst/>
            </c:spPr>
          </c:marker>
          <c:cat>
            <c:multiLvlStrRef>
              <c:f>Pivot!$A$8:$A$26</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Pivot!$B$8:$B$26</c:f>
              <c:numCache>
                <c:formatCode>General</c:formatCode>
                <c:ptCount val="16"/>
                <c:pt idx="0">
                  <c:v>4484000.03</c:v>
                </c:pt>
                <c:pt idx="1">
                  <c:v>9295611.0999999959</c:v>
                </c:pt>
                <c:pt idx="2">
                  <c:v>7267203.2999999998</c:v>
                </c:pt>
                <c:pt idx="3">
                  <c:v>5368441.08</c:v>
                </c:pt>
                <c:pt idx="4">
                  <c:v>6607761.6900000004</c:v>
                </c:pt>
                <c:pt idx="5">
                  <c:v>7297531.3900000006</c:v>
                </c:pt>
                <c:pt idx="6">
                  <c:v>5586859.8699999992</c:v>
                </c:pt>
                <c:pt idx="7">
                  <c:v>6964775.0700000012</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448C-2343-B4FC-28FB0B4EE7BE}"/>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940377584"/>
        <c:axId val="250537679"/>
      </c:lineChart>
      <c:catAx>
        <c:axId val="194037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0537679"/>
        <c:crosses val="autoZero"/>
        <c:auto val="1"/>
        <c:lblAlgn val="ctr"/>
        <c:lblOffset val="100"/>
        <c:noMultiLvlLbl val="0"/>
      </c:catAx>
      <c:valAx>
        <c:axId val="25053767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GB" b="1">
                    <a:solidFill>
                      <a:schemeClr val="tx1"/>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03775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[new_finance.xlsx]Pivot!month vise profy vs sales</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a:solidFill>
                  <a:schemeClr val="bg1"/>
                </a:solidFill>
              </a:rPr>
              <a:t>Sales Vs Profit</a:t>
            </a:r>
          </a:p>
        </c:rich>
      </c:tx>
      <c:overlay val="0"/>
      <c:spPr>
        <a:solidFill>
          <a:srgbClr val="004DD6"/>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4762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4DD6"/>
          </a:solidFill>
          <a:ln w="12700" cmpd="sng">
            <a:solidFill>
              <a:schemeClr val="bg1">
                <a:lumMod val="95000"/>
              </a:schemeClr>
            </a:solidFill>
          </a:ln>
          <a:effectLst/>
          <a:scene3d>
            <a:camera prst="orthographicFront"/>
            <a:lightRig rig="balanced" dir="t"/>
          </a:scene3d>
          <a:sp3d prstMaterial="meta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4DD6"/>
          </a:solidFill>
          <a:ln w="12700" cmpd="sng">
            <a:solidFill>
              <a:schemeClr val="bg1">
                <a:lumMod val="95000"/>
              </a:schemeClr>
            </a:solidFill>
          </a:ln>
          <a:effectLst/>
          <a:scene3d>
            <a:camera prst="orthographicFront"/>
            <a:lightRig rig="balanced" dir="t"/>
          </a:scene3d>
          <a:sp3d prstMaterial="meta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4762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cmpd="sng">
            <a:solidFill>
              <a:srgbClr val="34A8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4762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4D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Pivot!$P$3</c:f>
              <c:strCache>
                <c:ptCount val="1"/>
                <c:pt idx="0">
                  <c:v>Sum of  Profit </c:v>
                </c:pt>
              </c:strCache>
            </c:strRef>
          </c:tx>
          <c:spPr>
            <a:solidFill>
              <a:srgbClr val="004DD6"/>
            </a:solidFill>
            <a:ln>
              <a:noFill/>
            </a:ln>
            <a:effectLst/>
          </c:spPr>
          <c:invertIfNegative val="0"/>
          <c:cat>
            <c:multiLvlStrRef>
              <c:f>Pivot!$O$4:$O$22</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Pivot!$P$4:$P$22</c:f>
              <c:numCache>
                <c:formatCode>0.00;[Red]0.00</c:formatCode>
                <c:ptCount val="16"/>
                <c:pt idx="0">
                  <c:v>763603.03000000014</c:v>
                </c:pt>
                <c:pt idx="1">
                  <c:v>1657795.0999999999</c:v>
                </c:pt>
                <c:pt idx="2">
                  <c:v>765502.3</c:v>
                </c:pt>
                <c:pt idx="3">
                  <c:v>691564.08000000007</c:v>
                </c:pt>
                <c:pt idx="4">
                  <c:v>814028.67999999993</c:v>
                </c:pt>
                <c:pt idx="5">
                  <c:v>1148547.3899999999</c:v>
                </c:pt>
                <c:pt idx="6">
                  <c:v>669866.87</c:v>
                </c:pt>
                <c:pt idx="7">
                  <c:v>929984.56999999983</c:v>
                </c:pt>
                <c:pt idx="8">
                  <c:v>828640.06</c:v>
                </c:pt>
                <c:pt idx="9">
                  <c:v>1473753.8200000003</c:v>
                </c:pt>
                <c:pt idx="10">
                  <c:v>923865.66999999981</c:v>
                </c:pt>
                <c:pt idx="11">
                  <c:v>791066.41999999993</c:v>
                </c:pt>
                <c:pt idx="12">
                  <c:v>1023132.24</c:v>
                </c:pt>
                <c:pt idx="13">
                  <c:v>1781985.9200000004</c:v>
                </c:pt>
                <c:pt idx="14">
                  <c:v>604600.19999999995</c:v>
                </c:pt>
                <c:pt idx="15">
                  <c:v>2025765.9000000008</c:v>
                </c:pt>
              </c:numCache>
            </c:numRef>
          </c:val>
          <c:extLst>
            <c:ext xmlns:c16="http://schemas.microsoft.com/office/drawing/2014/chart" uri="{C3380CC4-5D6E-409C-BE32-E72D297353CC}">
              <c16:uniqueId val="{00000000-E28C-D245-A83F-D9B0B64E6954}"/>
            </c:ext>
          </c:extLst>
        </c:ser>
        <c:dLbls>
          <c:showLegendKey val="0"/>
          <c:showVal val="0"/>
          <c:showCatName val="0"/>
          <c:showSerName val="0"/>
          <c:showPercent val="0"/>
          <c:showBubbleSize val="0"/>
        </c:dLbls>
        <c:gapWidth val="120"/>
        <c:axId val="1035653759"/>
        <c:axId val="1936083344"/>
      </c:barChart>
      <c:lineChart>
        <c:grouping val="standard"/>
        <c:varyColors val="0"/>
        <c:ser>
          <c:idx val="1"/>
          <c:order val="1"/>
          <c:tx>
            <c:strRef>
              <c:f>Pivot!$Q$3</c:f>
              <c:strCache>
                <c:ptCount val="1"/>
                <c:pt idx="0">
                  <c:v>Sum of   Sales </c:v>
                </c:pt>
              </c:strCache>
            </c:strRef>
          </c:tx>
          <c:spPr>
            <a:ln w="38100" cap="rnd" cmpd="sng">
              <a:solidFill>
                <a:srgbClr val="34A853"/>
              </a:solidFill>
              <a:round/>
            </a:ln>
            <a:effectLst/>
          </c:spPr>
          <c:marker>
            <c:symbol val="none"/>
          </c:marker>
          <c:cat>
            <c:multiLvlStrRef>
              <c:f>Pivot!$O$4:$O$22</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Pivot!$Q$4:$Q$22</c:f>
              <c:numCache>
                <c:formatCode>General</c:formatCode>
                <c:ptCount val="16"/>
                <c:pt idx="0">
                  <c:v>4484000.03</c:v>
                </c:pt>
                <c:pt idx="1">
                  <c:v>9295611.0999999959</c:v>
                </c:pt>
                <c:pt idx="2">
                  <c:v>7267203.2999999998</c:v>
                </c:pt>
                <c:pt idx="3">
                  <c:v>5368441.08</c:v>
                </c:pt>
                <c:pt idx="4">
                  <c:v>6607761.6900000004</c:v>
                </c:pt>
                <c:pt idx="5">
                  <c:v>7297531.3900000006</c:v>
                </c:pt>
                <c:pt idx="6">
                  <c:v>5586859.8699999992</c:v>
                </c:pt>
                <c:pt idx="7">
                  <c:v>6964775.0700000012</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5C04-E94F-8B65-A29BF9DABBEB}"/>
            </c:ext>
          </c:extLst>
        </c:ser>
        <c:dLbls>
          <c:showLegendKey val="0"/>
          <c:showVal val="0"/>
          <c:showCatName val="0"/>
          <c:showSerName val="0"/>
          <c:showPercent val="0"/>
          <c:showBubbleSize val="0"/>
        </c:dLbls>
        <c:marker val="1"/>
        <c:smooth val="0"/>
        <c:axId val="1052923456"/>
        <c:axId val="1052920320"/>
      </c:lineChart>
      <c:catAx>
        <c:axId val="103565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36083344"/>
        <c:crosses val="autoZero"/>
        <c:auto val="1"/>
        <c:lblAlgn val="ctr"/>
        <c:lblOffset val="100"/>
        <c:noMultiLvlLbl val="0"/>
      </c:catAx>
      <c:valAx>
        <c:axId val="1936083344"/>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5653759"/>
        <c:crosses val="autoZero"/>
        <c:crossBetween val="between"/>
      </c:valAx>
      <c:valAx>
        <c:axId val="1052920320"/>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2923456"/>
        <c:crosses val="max"/>
        <c:crossBetween val="between"/>
      </c:valAx>
      <c:catAx>
        <c:axId val="1052923456"/>
        <c:scaling>
          <c:orientation val="minMax"/>
        </c:scaling>
        <c:delete val="1"/>
        <c:axPos val="b"/>
        <c:numFmt formatCode="General" sourceLinked="1"/>
        <c:majorTickMark val="out"/>
        <c:minorTickMark val="none"/>
        <c:tickLblPos val="nextTo"/>
        <c:crossAx val="10529203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[new_finance.xlsx]Pivot!profit by country</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bg1"/>
                </a:solidFill>
              </a:rPr>
              <a:t>Profit By Country</a:t>
            </a:r>
          </a:p>
        </c:rich>
      </c:tx>
      <c:overlay val="0"/>
      <c:spPr>
        <a:solidFill>
          <a:srgbClr val="004DD6"/>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4DD6"/>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4D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4D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4D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18433602662414"/>
          <c:y val="0.14718253968253969"/>
          <c:w val="0.6377328753023519"/>
          <c:h val="0.76154761904761903"/>
        </c:manualLayout>
      </c:layout>
      <c:barChart>
        <c:barDir val="bar"/>
        <c:grouping val="clustered"/>
        <c:varyColors val="0"/>
        <c:ser>
          <c:idx val="0"/>
          <c:order val="0"/>
          <c:tx>
            <c:strRef>
              <c:f>Pivot!$F$7</c:f>
              <c:strCache>
                <c:ptCount val="1"/>
                <c:pt idx="0">
                  <c:v>Total</c:v>
                </c:pt>
              </c:strCache>
            </c:strRef>
          </c:tx>
          <c:spPr>
            <a:solidFill>
              <a:srgbClr val="004D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Pivot!$E$8:$E$13</c:f>
              <c:strCache>
                <c:ptCount val="5"/>
                <c:pt idx="0">
                  <c:v>Canada</c:v>
                </c:pt>
                <c:pt idx="1">
                  <c:v>France</c:v>
                </c:pt>
                <c:pt idx="2">
                  <c:v>Germany</c:v>
                </c:pt>
                <c:pt idx="3">
                  <c:v>Mexico</c:v>
                </c:pt>
                <c:pt idx="4">
                  <c:v>United States of America</c:v>
                </c:pt>
              </c:strCache>
            </c:strRef>
          </c:cat>
          <c:val>
            <c:numRef>
              <c:f>Pivot!$F$8:$F$13</c:f>
              <c:numCache>
                <c:formatCode>0.00;[Red]0.00</c:formatCode>
                <c:ptCount val="5"/>
                <c:pt idx="0">
                  <c:v>3529228.88</c:v>
                </c:pt>
                <c:pt idx="1">
                  <c:v>3781020.7900000005</c:v>
                </c:pt>
                <c:pt idx="2">
                  <c:v>3680388.8200000008</c:v>
                </c:pt>
                <c:pt idx="3">
                  <c:v>2907523.1100000003</c:v>
                </c:pt>
                <c:pt idx="4">
                  <c:v>2995540.649999999</c:v>
                </c:pt>
              </c:numCache>
            </c:numRef>
          </c:val>
          <c:extLst>
            <c:ext xmlns:c16="http://schemas.microsoft.com/office/drawing/2014/chart" uri="{C3380CC4-5D6E-409C-BE32-E72D297353CC}">
              <c16:uniqueId val="{00000001-0D3A-B049-9395-C125818FB32B}"/>
            </c:ext>
          </c:extLst>
        </c:ser>
        <c:dLbls>
          <c:dLblPos val="outEnd"/>
          <c:showLegendKey val="0"/>
          <c:showVal val="1"/>
          <c:showCatName val="0"/>
          <c:showSerName val="0"/>
          <c:showPercent val="0"/>
          <c:showBubbleSize val="0"/>
        </c:dLbls>
        <c:gapWidth val="182"/>
        <c:axId val="503688367"/>
        <c:axId val="1945988000"/>
      </c:barChart>
      <c:catAx>
        <c:axId val="50368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5988000"/>
        <c:crosses val="autoZero"/>
        <c:auto val="1"/>
        <c:lblAlgn val="ctr"/>
        <c:lblOffset val="100"/>
        <c:noMultiLvlLbl val="0"/>
      </c:catAx>
      <c:valAx>
        <c:axId val="1945988000"/>
        <c:scaling>
          <c:orientation val="minMax"/>
        </c:scaling>
        <c:delete val="0"/>
        <c:axPos val="b"/>
        <c:majorGridlines>
          <c:spPr>
            <a:ln w="9525" cap="flat" cmpd="sng" algn="ctr">
              <a:solidFill>
                <a:schemeClr val="bg1">
                  <a:lumMod val="95000"/>
                </a:schemeClr>
              </a:solidFill>
              <a:round/>
            </a:ln>
            <a:effectLst/>
          </c:spPr>
        </c:majorGridlines>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368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[new_finance.xlsx]Pivot!profit by product</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bg1"/>
                </a:solidFill>
              </a:rPr>
              <a:t>Profit by Product</a:t>
            </a:r>
          </a:p>
        </c:rich>
      </c:tx>
      <c:layout>
        <c:manualLayout>
          <c:xMode val="edge"/>
          <c:yMode val="edge"/>
          <c:x val="0.35279855643044616"/>
          <c:y val="3.5714285714285712E-2"/>
        </c:manualLayout>
      </c:layout>
      <c:overlay val="0"/>
      <c:spPr>
        <a:solidFill>
          <a:srgbClr val="004DD6"/>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4D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Pivot!$N$7</c:f>
              <c:strCache>
                <c:ptCount val="1"/>
                <c:pt idx="0">
                  <c:v>Total</c:v>
                </c:pt>
              </c:strCache>
            </c:strRef>
          </c:tx>
          <c:spPr>
            <a:solidFill>
              <a:srgbClr val="004DD6"/>
            </a:solidFill>
            <a:ln>
              <a:noFill/>
            </a:ln>
            <a:effectLst/>
          </c:spPr>
          <c:invertIfNegative val="0"/>
          <c:cat>
            <c:strRef>
              <c:f>Pivot!$M$8:$M$14</c:f>
              <c:strCache>
                <c:ptCount val="6"/>
                <c:pt idx="0">
                  <c:v> Amarilla </c:v>
                </c:pt>
                <c:pt idx="1">
                  <c:v> Carretera </c:v>
                </c:pt>
                <c:pt idx="2">
                  <c:v> Montana </c:v>
                </c:pt>
                <c:pt idx="3">
                  <c:v> Paseo </c:v>
                </c:pt>
                <c:pt idx="4">
                  <c:v> Velo </c:v>
                </c:pt>
                <c:pt idx="5">
                  <c:v> VTT </c:v>
                </c:pt>
              </c:strCache>
            </c:strRef>
          </c:cat>
          <c:val>
            <c:numRef>
              <c:f>Pivot!$N$8:$N$14</c:f>
              <c:numCache>
                <c:formatCode>General</c:formatCode>
                <c:ptCount val="6"/>
                <c:pt idx="0">
                  <c:v>17747116.059999999</c:v>
                </c:pt>
                <c:pt idx="1">
                  <c:v>13815307.890000004</c:v>
                </c:pt>
                <c:pt idx="2">
                  <c:v>15390801.879999995</c:v>
                </c:pt>
                <c:pt idx="3">
                  <c:v>33011143.950000007</c:v>
                </c:pt>
                <c:pt idx="4">
                  <c:v>18250059.470000003</c:v>
                </c:pt>
                <c:pt idx="5">
                  <c:v>20511921.02</c:v>
                </c:pt>
              </c:numCache>
            </c:numRef>
          </c:val>
          <c:extLst>
            <c:ext xmlns:c16="http://schemas.microsoft.com/office/drawing/2014/chart" uri="{C3380CC4-5D6E-409C-BE32-E72D297353CC}">
              <c16:uniqueId val="{00000000-B34D-7B42-ABBA-0104D27D5517}"/>
            </c:ext>
          </c:extLst>
        </c:ser>
        <c:dLbls>
          <c:showLegendKey val="0"/>
          <c:showVal val="0"/>
          <c:showCatName val="0"/>
          <c:showSerName val="0"/>
          <c:showPercent val="0"/>
          <c:showBubbleSize val="0"/>
        </c:dLbls>
        <c:gapWidth val="182"/>
        <c:axId val="1940485520"/>
        <c:axId val="1938195280"/>
      </c:barChart>
      <c:catAx>
        <c:axId val="194048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38195280"/>
        <c:crosses val="autoZero"/>
        <c:auto val="1"/>
        <c:lblAlgn val="ctr"/>
        <c:lblOffset val="100"/>
        <c:noMultiLvlLbl val="0"/>
      </c:catAx>
      <c:valAx>
        <c:axId val="1938195280"/>
        <c:scaling>
          <c:orientation val="minMax"/>
        </c:scaling>
        <c:delete val="0"/>
        <c:axPos val="b"/>
        <c:majorGridlines>
          <c:spPr>
            <a:ln w="9525" cap="flat" cmpd="sng" algn="ctr">
              <a:solidFill>
                <a:schemeClr val="bg1">
                  <a:lumMod val="9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048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Sales By</a:t>
            </a:r>
            <a:r>
              <a:rPr lang="en-US" b="1" baseline="0">
                <a:solidFill>
                  <a:schemeClr val="bg1"/>
                </a:solidFill>
              </a:rPr>
              <a:t> Segment</a:t>
            </a:r>
            <a:endParaRPr lang="en-US" b="1">
              <a:solidFill>
                <a:schemeClr val="bg1"/>
              </a:solidFill>
            </a:endParaRPr>
          </a:p>
        </c:rich>
      </c:tx>
      <c:overlay val="0"/>
      <c:spPr>
        <a:solidFill>
          <a:srgbClr val="004DD6"/>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4306906489629973"/>
          <c:y val="0.2716397950256218"/>
          <c:w val="0.4817859777331755"/>
          <c:h val="0.70203099612548436"/>
        </c:manualLayout>
      </c:layout>
      <c:doughnutChart>
        <c:varyColors val="1"/>
        <c:ser>
          <c:idx val="0"/>
          <c:order val="0"/>
          <c:tx>
            <c:strRef>
              <c:f>Helper!$J$3</c:f>
              <c:strCache>
                <c:ptCount val="1"/>
                <c:pt idx="0">
                  <c:v>Sales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D805-D54A-9D11-25DCF74FB733}"/>
              </c:ext>
            </c:extLst>
          </c:dPt>
          <c:dPt>
            <c:idx val="1"/>
            <c:bubble3D val="0"/>
            <c:spPr>
              <a:solidFill>
                <a:srgbClr val="7C3AED"/>
              </a:solidFill>
              <a:ln w="19050">
                <a:solidFill>
                  <a:schemeClr val="lt1"/>
                </a:solidFill>
              </a:ln>
              <a:effectLst/>
            </c:spPr>
            <c:extLst>
              <c:ext xmlns:c16="http://schemas.microsoft.com/office/drawing/2014/chart" uri="{C3380CC4-5D6E-409C-BE32-E72D297353CC}">
                <c16:uniqueId val="{00000003-D805-D54A-9D11-25DCF74FB733}"/>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D805-D54A-9D11-25DCF74FB733}"/>
              </c:ext>
            </c:extLst>
          </c:dPt>
          <c:dPt>
            <c:idx val="3"/>
            <c:bubble3D val="0"/>
            <c:spPr>
              <a:solidFill>
                <a:srgbClr val="F59E0B"/>
              </a:solidFill>
              <a:ln w="19050">
                <a:solidFill>
                  <a:schemeClr val="lt1"/>
                </a:solidFill>
              </a:ln>
              <a:effectLst/>
            </c:spPr>
            <c:extLst>
              <c:ext xmlns:c16="http://schemas.microsoft.com/office/drawing/2014/chart" uri="{C3380CC4-5D6E-409C-BE32-E72D297353CC}">
                <c16:uniqueId val="{00000007-D805-D54A-9D11-25DCF74FB733}"/>
              </c:ext>
            </c:extLst>
          </c:dPt>
          <c:dPt>
            <c:idx val="4"/>
            <c:bubble3D val="0"/>
            <c:spPr>
              <a:solidFill>
                <a:srgbClr val="004DD6"/>
              </a:solidFill>
              <a:ln w="19050">
                <a:solidFill>
                  <a:schemeClr val="lt1"/>
                </a:solidFill>
              </a:ln>
              <a:effectLst/>
            </c:spPr>
            <c:extLst>
              <c:ext xmlns:c16="http://schemas.microsoft.com/office/drawing/2014/chart" uri="{C3380CC4-5D6E-409C-BE32-E72D297353CC}">
                <c16:uniqueId val="{00000009-D805-D54A-9D11-25DCF74FB733}"/>
              </c:ext>
            </c:extLst>
          </c:dPt>
          <c:dLbls>
            <c:dLbl>
              <c:idx val="0"/>
              <c:layout>
                <c:manualLayout>
                  <c:x val="-0.24373959995196678"/>
                  <c:y val="-0.15906511686039249"/>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8486"/>
                        <a:gd name="adj2" fmla="val 119317"/>
                      </a:avLst>
                    </a:prstGeom>
                    <a:noFill/>
                    <a:ln>
                      <a:noFill/>
                    </a:ln>
                  </c15:spPr>
                </c:ext>
                <c:ext xmlns:c16="http://schemas.microsoft.com/office/drawing/2014/chart" uri="{C3380CC4-5D6E-409C-BE32-E72D297353CC}">
                  <c16:uniqueId val="{00000001-D805-D54A-9D11-25DCF74FB733}"/>
                </c:ext>
              </c:extLst>
            </c:dLbl>
            <c:dLbl>
              <c:idx val="1"/>
              <c:layout>
                <c:manualLayout>
                  <c:x val="0.15609056833582077"/>
                  <c:y val="-0.16292150981127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805-D54A-9D11-25DCF74FB733}"/>
                </c:ext>
              </c:extLst>
            </c:dLbl>
            <c:dLbl>
              <c:idx val="2"/>
              <c:layout>
                <c:manualLayout>
                  <c:x val="0.16884531590413943"/>
                  <c:y val="-5.9523809523809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805-D54A-9D11-25DCF74FB733}"/>
                </c:ext>
              </c:extLst>
            </c:dLbl>
            <c:dLbl>
              <c:idx val="3"/>
              <c:layout>
                <c:manualLayout>
                  <c:x val="0.20424836601307189"/>
                  <c:y val="5.15873015873014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805-D54A-9D11-25DCF74FB733}"/>
                </c:ext>
              </c:extLst>
            </c:dLbl>
            <c:dLbl>
              <c:idx val="4"/>
              <c:layout>
                <c:manualLayout>
                  <c:x val="-0.19063180827886711"/>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805-D54A-9D11-25DCF74FB73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Helper!$I$4:$I$8</c:f>
              <c:strCache>
                <c:ptCount val="5"/>
                <c:pt idx="0">
                  <c:v>Government</c:v>
                </c:pt>
                <c:pt idx="1">
                  <c:v>Midmarket</c:v>
                </c:pt>
                <c:pt idx="2">
                  <c:v>Enterprise</c:v>
                </c:pt>
                <c:pt idx="3">
                  <c:v>Small Business</c:v>
                </c:pt>
                <c:pt idx="4">
                  <c:v>Channel Partners</c:v>
                </c:pt>
              </c:strCache>
            </c:strRef>
          </c:cat>
          <c:val>
            <c:numRef>
              <c:f>Helper!$J$4:$J$8</c:f>
              <c:numCache>
                <c:formatCode>General</c:formatCode>
                <c:ptCount val="5"/>
                <c:pt idx="0">
                  <c:v>1800593.6399999994</c:v>
                </c:pt>
                <c:pt idx="1">
                  <c:v>2381883.08</c:v>
                </c:pt>
                <c:pt idx="2">
                  <c:v>19611694.379999999</c:v>
                </c:pt>
                <c:pt idx="3">
                  <c:v>42427918.5</c:v>
                </c:pt>
                <c:pt idx="4">
                  <c:v>52504260.670000032</c:v>
                </c:pt>
              </c:numCache>
            </c:numRef>
          </c:val>
          <c:extLst>
            <c:ext xmlns:c16="http://schemas.microsoft.com/office/drawing/2014/chart" uri="{C3380CC4-5D6E-409C-BE32-E72D297353CC}">
              <c16:uniqueId val="{0000000A-D805-D54A-9D11-25DCF74FB733}"/>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contrasting" dir="t"/>
    </a:scene3d>
    <a:sp3d prstMaterial="metal"/>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49D7-4949-AB3C-4B92D3493539}">
          <cx:dataPt idx="0"/>
          <cx:dataPt idx="1"/>
          <cx:dataLabels pos="inEnd">
            <cx:visibility seriesName="0" categoryName="1" value="0"/>
          </cx:dataLabels>
          <cx:dataId val="0"/>
          <cx:layoutPr>
            <cx:parentLabelLayout val="banner"/>
          </cx:layoutPr>
        </cx:series>
      </cx:plotAreaRegion>
    </cx:plotArea>
    <cx:legend pos="b" align="ctr" overlay="0"/>
  </cx:chart>
  <cx:spPr>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BFA0-C942-A0DC-53EE2EA9F9D9}">
          <cx:dataPt idx="0">
            <cx:spPr>
              <a:solidFill>
                <a:srgbClr val="004DD6"/>
              </a:solidFill>
            </cx:spPr>
          </cx:dataPt>
          <cx:dataPt idx="1">
            <cx:spPr>
              <a:solidFill>
                <a:srgbClr val="2EAF4A"/>
              </a:solidFill>
            </cx:spPr>
          </cx:dataPt>
          <cx:dataPt idx="2">
            <cx:spPr>
              <a:solidFill>
                <a:srgbClr val="F59E0B"/>
              </a:solidFill>
            </cx:spPr>
          </cx:dataPt>
          <cx:dataPt idx="3">
            <cx:spPr>
              <a:solidFill>
                <a:srgbClr val="FF0000"/>
              </a:solidFill>
            </cx:spPr>
          </cx:dataPt>
          <cx:dataLabels pos="inEnd">
            <cx:txPr>
              <a:bodyPr spcFirstLastPara="1" vertOverflow="ellipsis" horzOverflow="overflow" wrap="square" lIns="0" tIns="0" rIns="0" bIns="0" anchor="ctr" anchorCtr="1"/>
              <a:lstStyle/>
              <a:p>
                <a:pPr algn="ctr" rtl="0">
                  <a:defRPr sz="1800" b="1">
                    <a:solidFill>
                      <a:schemeClr val="bg1"/>
                    </a:solidFill>
                    <a:latin typeface="Arial" panose="020B0604020202020204" pitchFamily="34" charset="0"/>
                    <a:ea typeface="Arial" panose="020B0604020202020204" pitchFamily="34" charset="0"/>
                    <a:cs typeface="Arial" panose="020B0604020202020204" pitchFamily="34" charset="0"/>
                  </a:defRPr>
                </a:pPr>
                <a:endParaRPr lang="en-GB" sz="1800" b="1" i="0" u="none" strike="noStrike" baseline="0">
                  <a:solidFill>
                    <a:schemeClr val="bg1"/>
                  </a:solidFill>
                  <a:latin typeface="Arial" panose="020B0604020202020204" pitchFamily="34" charset="0"/>
                  <a:cs typeface="Arial" panose="020B0604020202020204" pitchFamily="34" charset="0"/>
                </a:endParaRPr>
              </a:p>
            </cx:txPr>
            <cx:visibility seriesName="0" categoryName="1" value="0"/>
          </cx:dataLabels>
          <cx:dataId val="0"/>
          <cx:layoutPr>
            <cx:parentLabelLayout val="none"/>
          </cx:layoutPr>
        </cx:series>
      </cx:plotAreaRegion>
    </cx:plotArea>
  </cx:chart>
  <cx:spPr>
    <a:noFill/>
    <a:ln cap="rnd">
      <a:no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microsoft.com/office/2014/relationships/chartEx" Target="../charts/chartEx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image" Target="../media/image9.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7</xdr:col>
      <xdr:colOff>11430</xdr:colOff>
      <xdr:row>20</xdr:row>
      <xdr:rowOff>25400</xdr:rowOff>
    </xdr:from>
    <xdr:to>
      <xdr:col>10</xdr:col>
      <xdr:colOff>496570</xdr:colOff>
      <xdr:row>33</xdr:row>
      <xdr:rowOff>127000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BF6EA70-B514-C18F-0AC0-6B5E8940C5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05930" y="4089400"/>
              <a:ext cx="457454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2095500</xdr:colOff>
      <xdr:row>31</xdr:row>
      <xdr:rowOff>63500</xdr:rowOff>
    </xdr:from>
    <xdr:to>
      <xdr:col>6</xdr:col>
      <xdr:colOff>1787652</xdr:colOff>
      <xdr:row>47</xdr:row>
      <xdr:rowOff>12700</xdr:rowOff>
    </xdr:to>
    <xdr:sp macro="" textlink="" fLocksText="0">
      <xdr:nvSpPr>
        <xdr:cNvPr id="2" name="Rounded Rectangle 4121">
          <a:extLst>
            <a:ext uri="{FF2B5EF4-FFF2-40B4-BE49-F238E27FC236}">
              <a16:creationId xmlns:a16="http://schemas.microsoft.com/office/drawing/2014/main" id="{6F3B5D61-1CDD-0F4B-BCAE-86CFDD7DA504}"/>
            </a:ext>
          </a:extLst>
        </xdr:cNvPr>
        <xdr:cNvSpPr/>
      </xdr:nvSpPr>
      <xdr:spPr>
        <a:xfrm>
          <a:off x="10426700" y="6362700"/>
          <a:ext cx="4645152" cy="3200400"/>
        </a:xfrm>
        <a:custGeom>
          <a:avLst/>
          <a:gdLst>
            <a:gd name="csX0" fmla="*/ 0 w 4663440"/>
            <a:gd name="csY0" fmla="*/ 533411 h 3200400"/>
            <a:gd name="csX1" fmla="*/ 533411 w 4663440"/>
            <a:gd name="csY1" fmla="*/ 0 h 3200400"/>
            <a:gd name="csX2" fmla="*/ 4130029 w 4663440"/>
            <a:gd name="csY2" fmla="*/ 0 h 3200400"/>
            <a:gd name="csX3" fmla="*/ 4663440 w 4663440"/>
            <a:gd name="csY3" fmla="*/ 533411 h 3200400"/>
            <a:gd name="csX4" fmla="*/ 4663440 w 4663440"/>
            <a:gd name="csY4" fmla="*/ 2666989 h 3200400"/>
            <a:gd name="csX5" fmla="*/ 4130029 w 4663440"/>
            <a:gd name="csY5" fmla="*/ 3200400 h 3200400"/>
            <a:gd name="csX6" fmla="*/ 533411 w 4663440"/>
            <a:gd name="csY6" fmla="*/ 3200400 h 3200400"/>
            <a:gd name="csX7" fmla="*/ 0 w 4663440"/>
            <a:gd name="csY7" fmla="*/ 2666989 h 3200400"/>
            <a:gd name="csX8" fmla="*/ 0 w 4663440"/>
            <a:gd name="csY8" fmla="*/ 533411 h 3200400"/>
            <a:gd name="csX0" fmla="*/ 132 w 4663572"/>
            <a:gd name="csY0" fmla="*/ 533411 h 3200400"/>
            <a:gd name="csX1" fmla="*/ 279532 w 4663572"/>
            <a:gd name="csY1" fmla="*/ 63500 h 3200400"/>
            <a:gd name="csX2" fmla="*/ 4130161 w 4663572"/>
            <a:gd name="csY2" fmla="*/ 0 h 3200400"/>
            <a:gd name="csX3" fmla="*/ 4663572 w 4663572"/>
            <a:gd name="csY3" fmla="*/ 533411 h 3200400"/>
            <a:gd name="csX4" fmla="*/ 4663572 w 4663572"/>
            <a:gd name="csY4" fmla="*/ 2666989 h 3200400"/>
            <a:gd name="csX5" fmla="*/ 4130161 w 4663572"/>
            <a:gd name="csY5" fmla="*/ 3200400 h 3200400"/>
            <a:gd name="csX6" fmla="*/ 533543 w 4663572"/>
            <a:gd name="csY6" fmla="*/ 3200400 h 3200400"/>
            <a:gd name="csX7" fmla="*/ 132 w 4663572"/>
            <a:gd name="csY7" fmla="*/ 2666989 h 3200400"/>
            <a:gd name="csX8" fmla="*/ 132 w 4663572"/>
            <a:gd name="csY8" fmla="*/ 533411 h 3200400"/>
            <a:gd name="csX0" fmla="*/ 132 w 4665176"/>
            <a:gd name="csY0" fmla="*/ 469911 h 3136900"/>
            <a:gd name="csX1" fmla="*/ 279532 w 4665176"/>
            <a:gd name="csY1" fmla="*/ 0 h 3136900"/>
            <a:gd name="csX2" fmla="*/ 4407032 w 4665176"/>
            <a:gd name="csY2" fmla="*/ 0 h 3136900"/>
            <a:gd name="csX3" fmla="*/ 4663572 w 4665176"/>
            <a:gd name="csY3" fmla="*/ 469911 h 3136900"/>
            <a:gd name="csX4" fmla="*/ 4663572 w 4665176"/>
            <a:gd name="csY4" fmla="*/ 2603489 h 3136900"/>
            <a:gd name="csX5" fmla="*/ 4130161 w 4665176"/>
            <a:gd name="csY5" fmla="*/ 3136900 h 3136900"/>
            <a:gd name="csX6" fmla="*/ 533543 w 4665176"/>
            <a:gd name="csY6" fmla="*/ 3136900 h 3136900"/>
            <a:gd name="csX7" fmla="*/ 132 w 4665176"/>
            <a:gd name="csY7" fmla="*/ 2603489 h 3136900"/>
            <a:gd name="csX8" fmla="*/ 132 w 4665176"/>
            <a:gd name="csY8" fmla="*/ 469911 h 3136900"/>
            <a:gd name="csX0" fmla="*/ 132 w 4665176"/>
            <a:gd name="csY0" fmla="*/ 469911 h 3136900"/>
            <a:gd name="csX1" fmla="*/ 279532 w 4665176"/>
            <a:gd name="csY1" fmla="*/ 0 h 3136900"/>
            <a:gd name="csX2" fmla="*/ 4407032 w 4665176"/>
            <a:gd name="csY2" fmla="*/ 0 h 3136900"/>
            <a:gd name="csX3" fmla="*/ 4663572 w 4665176"/>
            <a:gd name="csY3" fmla="*/ 469911 h 3136900"/>
            <a:gd name="csX4" fmla="*/ 4663572 w 4665176"/>
            <a:gd name="csY4" fmla="*/ 2603489 h 3136900"/>
            <a:gd name="csX5" fmla="*/ 4130161 w 4665176"/>
            <a:gd name="csY5" fmla="*/ 3136900 h 3136900"/>
            <a:gd name="csX6" fmla="*/ 454508 w 4665176"/>
            <a:gd name="csY6" fmla="*/ 3136900 h 3136900"/>
            <a:gd name="csX7" fmla="*/ 132 w 4665176"/>
            <a:gd name="csY7" fmla="*/ 2603489 h 3136900"/>
            <a:gd name="csX8" fmla="*/ 132 w 4665176"/>
            <a:gd name="csY8" fmla="*/ 469911 h 3136900"/>
            <a:gd name="csX0" fmla="*/ 132 w 4665176"/>
            <a:gd name="csY0" fmla="*/ 469911 h 3136900"/>
            <a:gd name="csX1" fmla="*/ 279532 w 4665176"/>
            <a:gd name="csY1" fmla="*/ 0 h 3136900"/>
            <a:gd name="csX2" fmla="*/ 4407032 w 4665176"/>
            <a:gd name="csY2" fmla="*/ 0 h 3136900"/>
            <a:gd name="csX3" fmla="*/ 4663572 w 4665176"/>
            <a:gd name="csY3" fmla="*/ 469911 h 3136900"/>
            <a:gd name="csX4" fmla="*/ 4663572 w 4665176"/>
            <a:gd name="csY4" fmla="*/ 2603489 h 3136900"/>
            <a:gd name="csX5" fmla="*/ 4130161 w 4665176"/>
            <a:gd name="csY5" fmla="*/ 3136900 h 3136900"/>
            <a:gd name="csX6" fmla="*/ 454508 w 4665176"/>
            <a:gd name="csY6" fmla="*/ 3136900 h 3136900"/>
            <a:gd name="csX7" fmla="*/ 132 w 4665176"/>
            <a:gd name="csY7" fmla="*/ 2603489 h 3136900"/>
            <a:gd name="csX8" fmla="*/ 132 w 4665176"/>
            <a:gd name="csY8" fmla="*/ 469911 h 3136900"/>
            <a:gd name="csX0" fmla="*/ 132 w 4665176"/>
            <a:gd name="csY0" fmla="*/ 469911 h 3136900"/>
            <a:gd name="csX1" fmla="*/ 279532 w 4665176"/>
            <a:gd name="csY1" fmla="*/ 0 h 3136900"/>
            <a:gd name="csX2" fmla="*/ 4407032 w 4665176"/>
            <a:gd name="csY2" fmla="*/ 0 h 3136900"/>
            <a:gd name="csX3" fmla="*/ 4663572 w 4665176"/>
            <a:gd name="csY3" fmla="*/ 469911 h 3136900"/>
            <a:gd name="csX4" fmla="*/ 4663572 w 4665176"/>
            <a:gd name="csY4" fmla="*/ 2603489 h 3136900"/>
            <a:gd name="csX5" fmla="*/ 4206781 w 4665176"/>
            <a:gd name="csY5" fmla="*/ 3136900 h 3136900"/>
            <a:gd name="csX6" fmla="*/ 454508 w 4665176"/>
            <a:gd name="csY6" fmla="*/ 3136900 h 3136900"/>
            <a:gd name="csX7" fmla="*/ 132 w 4665176"/>
            <a:gd name="csY7" fmla="*/ 2603489 h 3136900"/>
            <a:gd name="csX8" fmla="*/ 132 w 4665176"/>
            <a:gd name="csY8" fmla="*/ 469911 h 3136900"/>
            <a:gd name="csX0" fmla="*/ 132 w 4665176"/>
            <a:gd name="csY0" fmla="*/ 469911 h 3136900"/>
            <a:gd name="csX1" fmla="*/ 279532 w 4665176"/>
            <a:gd name="csY1" fmla="*/ 0 h 3136900"/>
            <a:gd name="csX2" fmla="*/ 4407032 w 4665176"/>
            <a:gd name="csY2" fmla="*/ 0 h 3136900"/>
            <a:gd name="csX3" fmla="*/ 4663572 w 4665176"/>
            <a:gd name="csY3" fmla="*/ 469911 h 3136900"/>
            <a:gd name="csX4" fmla="*/ 4663572 w 4665176"/>
            <a:gd name="csY4" fmla="*/ 2603489 h 3136900"/>
            <a:gd name="csX5" fmla="*/ 4206781 w 4665176"/>
            <a:gd name="csY5" fmla="*/ 3136900 h 3136900"/>
            <a:gd name="csX6" fmla="*/ 454508 w 4665176"/>
            <a:gd name="csY6" fmla="*/ 3136900 h 3136900"/>
            <a:gd name="csX7" fmla="*/ 132 w 4665176"/>
            <a:gd name="csY7" fmla="*/ 2603489 h 3136900"/>
            <a:gd name="csX8" fmla="*/ 132 w 4665176"/>
            <a:gd name="csY8" fmla="*/ 469911 h 3136900"/>
            <a:gd name="csX0" fmla="*/ 378410 w 5043454"/>
            <a:gd name="csY0" fmla="*/ 469911 h 3136900"/>
            <a:gd name="csX1" fmla="*/ 657810 w 5043454"/>
            <a:gd name="csY1" fmla="*/ 0 h 3136900"/>
            <a:gd name="csX2" fmla="*/ 4785310 w 5043454"/>
            <a:gd name="csY2" fmla="*/ 0 h 3136900"/>
            <a:gd name="csX3" fmla="*/ 5041850 w 5043454"/>
            <a:gd name="csY3" fmla="*/ 469911 h 3136900"/>
            <a:gd name="csX4" fmla="*/ 5041850 w 5043454"/>
            <a:gd name="csY4" fmla="*/ 2603489 h 3136900"/>
            <a:gd name="csX5" fmla="*/ 4585059 w 5043454"/>
            <a:gd name="csY5" fmla="*/ 3136900 h 3136900"/>
            <a:gd name="csX6" fmla="*/ 82332 w 5043454"/>
            <a:gd name="csY6" fmla="*/ 3136900 h 3136900"/>
            <a:gd name="csX7" fmla="*/ 378410 w 5043454"/>
            <a:gd name="csY7" fmla="*/ 2603489 h 3136900"/>
            <a:gd name="csX8" fmla="*/ 378410 w 5043454"/>
            <a:gd name="csY8" fmla="*/ 469911 h 3136900"/>
            <a:gd name="csX0" fmla="*/ 296078 w 4961122"/>
            <a:gd name="csY0" fmla="*/ 469911 h 3136900"/>
            <a:gd name="csX1" fmla="*/ 575478 w 4961122"/>
            <a:gd name="csY1" fmla="*/ 0 h 3136900"/>
            <a:gd name="csX2" fmla="*/ 4702978 w 4961122"/>
            <a:gd name="csY2" fmla="*/ 0 h 3136900"/>
            <a:gd name="csX3" fmla="*/ 4959518 w 4961122"/>
            <a:gd name="csY3" fmla="*/ 469911 h 3136900"/>
            <a:gd name="csX4" fmla="*/ 4959518 w 4961122"/>
            <a:gd name="csY4" fmla="*/ 2603489 h 3136900"/>
            <a:gd name="csX5" fmla="*/ 4502727 w 4961122"/>
            <a:gd name="csY5" fmla="*/ 3136900 h 3136900"/>
            <a:gd name="csX6" fmla="*/ 0 w 4961122"/>
            <a:gd name="csY6" fmla="*/ 3136900 h 3136900"/>
            <a:gd name="csX7" fmla="*/ 296078 w 4961122"/>
            <a:gd name="csY7" fmla="*/ 2603489 h 3136900"/>
            <a:gd name="csX8" fmla="*/ 296078 w 4961122"/>
            <a:gd name="csY8" fmla="*/ 469911 h 3136900"/>
            <a:gd name="csX0" fmla="*/ 133 w 4665177"/>
            <a:gd name="csY0" fmla="*/ 469911 h 3136900"/>
            <a:gd name="csX1" fmla="*/ 279533 w 4665177"/>
            <a:gd name="csY1" fmla="*/ 0 h 3136900"/>
            <a:gd name="csX2" fmla="*/ 4407033 w 4665177"/>
            <a:gd name="csY2" fmla="*/ 0 h 3136900"/>
            <a:gd name="csX3" fmla="*/ 4663573 w 4665177"/>
            <a:gd name="csY3" fmla="*/ 469911 h 3136900"/>
            <a:gd name="csX4" fmla="*/ 4663573 w 4665177"/>
            <a:gd name="csY4" fmla="*/ 2603489 h 3136900"/>
            <a:gd name="csX5" fmla="*/ 4206782 w 4665177"/>
            <a:gd name="csY5" fmla="*/ 3136900 h 3136900"/>
            <a:gd name="csX6" fmla="*/ 285615 w 4665177"/>
            <a:gd name="csY6" fmla="*/ 3136900 h 3136900"/>
            <a:gd name="csX7" fmla="*/ 133 w 4665177"/>
            <a:gd name="csY7" fmla="*/ 2603489 h 3136900"/>
            <a:gd name="csX8" fmla="*/ 133 w 4665177"/>
            <a:gd name="csY8" fmla="*/ 469911 h 3136900"/>
            <a:gd name="csX0" fmla="*/ 133 w 4665177"/>
            <a:gd name="csY0" fmla="*/ 469911 h 3136900"/>
            <a:gd name="csX1" fmla="*/ 279533 w 4665177"/>
            <a:gd name="csY1" fmla="*/ 0 h 3136900"/>
            <a:gd name="csX2" fmla="*/ 4407033 w 4665177"/>
            <a:gd name="csY2" fmla="*/ 0 h 3136900"/>
            <a:gd name="csX3" fmla="*/ 4663573 w 4665177"/>
            <a:gd name="csY3" fmla="*/ 469911 h 3136900"/>
            <a:gd name="csX4" fmla="*/ 4663573 w 4665177"/>
            <a:gd name="csY4" fmla="*/ 2603489 h 3136900"/>
            <a:gd name="csX5" fmla="*/ 4206782 w 4665177"/>
            <a:gd name="csY5" fmla="*/ 3136900 h 3136900"/>
            <a:gd name="csX6" fmla="*/ 285614 w 4665177"/>
            <a:gd name="csY6" fmla="*/ 3136900 h 3136900"/>
            <a:gd name="csX7" fmla="*/ 133 w 4665177"/>
            <a:gd name="csY7" fmla="*/ 2603489 h 3136900"/>
            <a:gd name="csX8" fmla="*/ 133 w 4665177"/>
            <a:gd name="csY8" fmla="*/ 469911 h 3136900"/>
            <a:gd name="csX0" fmla="*/ 133 w 4665177"/>
            <a:gd name="csY0" fmla="*/ 469911 h 3136900"/>
            <a:gd name="csX1" fmla="*/ 279533 w 4665177"/>
            <a:gd name="csY1" fmla="*/ 0 h 3136900"/>
            <a:gd name="csX2" fmla="*/ 4407033 w 4665177"/>
            <a:gd name="csY2" fmla="*/ 0 h 3136900"/>
            <a:gd name="csX3" fmla="*/ 4663573 w 4665177"/>
            <a:gd name="csY3" fmla="*/ 469911 h 3136900"/>
            <a:gd name="csX4" fmla="*/ 4663573 w 4665177"/>
            <a:gd name="csY4" fmla="*/ 2603489 h 3136900"/>
            <a:gd name="csX5" fmla="*/ 4206782 w 4665177"/>
            <a:gd name="csY5" fmla="*/ 3136900 h 3136900"/>
            <a:gd name="csX6" fmla="*/ 285614 w 4665177"/>
            <a:gd name="csY6" fmla="*/ 3136900 h 3136900"/>
            <a:gd name="csX7" fmla="*/ 133 w 4665177"/>
            <a:gd name="csY7" fmla="*/ 2603489 h 3136900"/>
            <a:gd name="csX8" fmla="*/ 133 w 4665177"/>
            <a:gd name="csY8" fmla="*/ 469911 h 3136900"/>
            <a:gd name="csX0" fmla="*/ 133 w 4665918"/>
            <a:gd name="csY0" fmla="*/ 469911 h 3136900"/>
            <a:gd name="csX1" fmla="*/ 279533 w 4665918"/>
            <a:gd name="csY1" fmla="*/ 0 h 3136900"/>
            <a:gd name="csX2" fmla="*/ 4407033 w 4665918"/>
            <a:gd name="csY2" fmla="*/ 0 h 3136900"/>
            <a:gd name="csX3" fmla="*/ 4663573 w 4665918"/>
            <a:gd name="csY3" fmla="*/ 469911 h 3136900"/>
            <a:gd name="csX4" fmla="*/ 4663573 w 4665918"/>
            <a:gd name="csY4" fmla="*/ 2603489 h 3136900"/>
            <a:gd name="csX5" fmla="*/ 4413113 w 4665918"/>
            <a:gd name="csY5" fmla="*/ 3136900 h 3136900"/>
            <a:gd name="csX6" fmla="*/ 285614 w 4665918"/>
            <a:gd name="csY6" fmla="*/ 3136900 h 3136900"/>
            <a:gd name="csX7" fmla="*/ 133 w 4665918"/>
            <a:gd name="csY7" fmla="*/ 2603489 h 3136900"/>
            <a:gd name="csX8" fmla="*/ 133 w 4665918"/>
            <a:gd name="csY8" fmla="*/ 469911 h 3136900"/>
            <a:gd name="csX0" fmla="*/ 133 w 4665918"/>
            <a:gd name="csY0" fmla="*/ 469911 h 3136900"/>
            <a:gd name="csX1" fmla="*/ 279533 w 4665918"/>
            <a:gd name="csY1" fmla="*/ 0 h 3136900"/>
            <a:gd name="csX2" fmla="*/ 4407033 w 4665918"/>
            <a:gd name="csY2" fmla="*/ 0 h 3136900"/>
            <a:gd name="csX3" fmla="*/ 4663573 w 4665918"/>
            <a:gd name="csY3" fmla="*/ 469911 h 3136900"/>
            <a:gd name="csX4" fmla="*/ 4663573 w 4665918"/>
            <a:gd name="csY4" fmla="*/ 2603489 h 3136900"/>
            <a:gd name="csX5" fmla="*/ 4413113 w 4665918"/>
            <a:gd name="csY5" fmla="*/ 3136900 h 3136900"/>
            <a:gd name="csX6" fmla="*/ 285614 w 4665918"/>
            <a:gd name="csY6" fmla="*/ 3136900 h 3136900"/>
            <a:gd name="csX7" fmla="*/ 133 w 4665918"/>
            <a:gd name="csY7" fmla="*/ 2603489 h 3136900"/>
            <a:gd name="csX8" fmla="*/ 133 w 4665918"/>
            <a:gd name="csY8" fmla="*/ 469911 h 3136900"/>
            <a:gd name="csX0" fmla="*/ 133 w 4665918"/>
            <a:gd name="csY0" fmla="*/ 469911 h 3136900"/>
            <a:gd name="csX1" fmla="*/ 279533 w 4665918"/>
            <a:gd name="csY1" fmla="*/ 0 h 3136900"/>
            <a:gd name="csX2" fmla="*/ 4407033 w 4665918"/>
            <a:gd name="csY2" fmla="*/ 0 h 3136900"/>
            <a:gd name="csX3" fmla="*/ 4663573 w 4665918"/>
            <a:gd name="csY3" fmla="*/ 469911 h 3136900"/>
            <a:gd name="csX4" fmla="*/ 4663573 w 4665918"/>
            <a:gd name="csY4" fmla="*/ 2603489 h 3136900"/>
            <a:gd name="csX5" fmla="*/ 4413113 w 4665918"/>
            <a:gd name="csY5" fmla="*/ 3136900 h 3136900"/>
            <a:gd name="csX6" fmla="*/ 285614 w 4665918"/>
            <a:gd name="csY6" fmla="*/ 3136900 h 3136900"/>
            <a:gd name="csX7" fmla="*/ 133 w 4665918"/>
            <a:gd name="csY7" fmla="*/ 2603489 h 3136900"/>
            <a:gd name="csX8" fmla="*/ 133 w 4665918"/>
            <a:gd name="csY8" fmla="*/ 469911 h 3136900"/>
            <a:gd name="csX0" fmla="*/ 133 w 4665918"/>
            <a:gd name="csY0" fmla="*/ 469911 h 3136900"/>
            <a:gd name="csX1" fmla="*/ 279533 w 4665918"/>
            <a:gd name="csY1" fmla="*/ 0 h 3136900"/>
            <a:gd name="csX2" fmla="*/ 4407033 w 4665918"/>
            <a:gd name="csY2" fmla="*/ 0 h 3136900"/>
            <a:gd name="csX3" fmla="*/ 4663573 w 4665918"/>
            <a:gd name="csY3" fmla="*/ 469911 h 3136900"/>
            <a:gd name="csX4" fmla="*/ 4663573 w 4665918"/>
            <a:gd name="csY4" fmla="*/ 2603489 h 3136900"/>
            <a:gd name="csX5" fmla="*/ 4413113 w 4665918"/>
            <a:gd name="csY5" fmla="*/ 3136900 h 3136900"/>
            <a:gd name="csX6" fmla="*/ 285614 w 4665918"/>
            <a:gd name="csY6" fmla="*/ 3136900 h 3136900"/>
            <a:gd name="csX7" fmla="*/ 133 w 4665918"/>
            <a:gd name="csY7" fmla="*/ 2603489 h 3136900"/>
            <a:gd name="csX8" fmla="*/ 133 w 4665918"/>
            <a:gd name="csY8" fmla="*/ 469911 h 3136900"/>
            <a:gd name="csX0" fmla="*/ 133 w 4665918"/>
            <a:gd name="csY0" fmla="*/ 469911 h 3151727"/>
            <a:gd name="csX1" fmla="*/ 279533 w 4665918"/>
            <a:gd name="csY1" fmla="*/ 0 h 3151727"/>
            <a:gd name="csX2" fmla="*/ 4407033 w 4665918"/>
            <a:gd name="csY2" fmla="*/ 0 h 3151727"/>
            <a:gd name="csX3" fmla="*/ 4663573 w 4665918"/>
            <a:gd name="csY3" fmla="*/ 469911 h 3151727"/>
            <a:gd name="csX4" fmla="*/ 4663573 w 4665918"/>
            <a:gd name="csY4" fmla="*/ 2603489 h 3151727"/>
            <a:gd name="csX5" fmla="*/ 4413113 w 4665918"/>
            <a:gd name="csY5" fmla="*/ 3136900 h 3151727"/>
            <a:gd name="csX6" fmla="*/ 285614 w 4665918"/>
            <a:gd name="csY6" fmla="*/ 3136900 h 3151727"/>
            <a:gd name="csX7" fmla="*/ 133 w 4665918"/>
            <a:gd name="csY7" fmla="*/ 2603489 h 3151727"/>
            <a:gd name="csX8" fmla="*/ 133 w 4665918"/>
            <a:gd name="csY8" fmla="*/ 469911 h 3151727"/>
            <a:gd name="csX0" fmla="*/ 133 w 4665918"/>
            <a:gd name="csY0" fmla="*/ 469911 h 3151727"/>
            <a:gd name="csX1" fmla="*/ 279533 w 4665918"/>
            <a:gd name="csY1" fmla="*/ 0 h 3151727"/>
            <a:gd name="csX2" fmla="*/ 4407033 w 4665918"/>
            <a:gd name="csY2" fmla="*/ 0 h 3151727"/>
            <a:gd name="csX3" fmla="*/ 4663573 w 4665918"/>
            <a:gd name="csY3" fmla="*/ 469911 h 3151727"/>
            <a:gd name="csX4" fmla="*/ 4663573 w 4665918"/>
            <a:gd name="csY4" fmla="*/ 2603489 h 3151727"/>
            <a:gd name="csX5" fmla="*/ 4413113 w 4665918"/>
            <a:gd name="csY5" fmla="*/ 3136900 h 3151727"/>
            <a:gd name="csX6" fmla="*/ 285614 w 4665918"/>
            <a:gd name="csY6" fmla="*/ 3136900 h 3151727"/>
            <a:gd name="csX7" fmla="*/ 133 w 4665918"/>
            <a:gd name="csY7" fmla="*/ 2603489 h 3151727"/>
            <a:gd name="csX8" fmla="*/ 133 w 4665918"/>
            <a:gd name="csY8" fmla="*/ 469911 h 3151727"/>
            <a:gd name="csX0" fmla="*/ 133 w 4665918"/>
            <a:gd name="csY0" fmla="*/ 469911 h 3151727"/>
            <a:gd name="csX1" fmla="*/ 279533 w 4665918"/>
            <a:gd name="csY1" fmla="*/ 0 h 3151727"/>
            <a:gd name="csX2" fmla="*/ 4407033 w 4665918"/>
            <a:gd name="csY2" fmla="*/ 0 h 3151727"/>
            <a:gd name="csX3" fmla="*/ 4663573 w 4665918"/>
            <a:gd name="csY3" fmla="*/ 469911 h 3151727"/>
            <a:gd name="csX4" fmla="*/ 4663573 w 4665918"/>
            <a:gd name="csY4" fmla="*/ 2603489 h 3151727"/>
            <a:gd name="csX5" fmla="*/ 4413113 w 4665918"/>
            <a:gd name="csY5" fmla="*/ 3136900 h 3151727"/>
            <a:gd name="csX6" fmla="*/ 285614 w 4665918"/>
            <a:gd name="csY6" fmla="*/ 3136900 h 3151727"/>
            <a:gd name="csX7" fmla="*/ 133 w 4665918"/>
            <a:gd name="csY7" fmla="*/ 2603489 h 3151727"/>
            <a:gd name="csX8" fmla="*/ 133 w 4665918"/>
            <a:gd name="csY8" fmla="*/ 469911 h 3151727"/>
            <a:gd name="csX0" fmla="*/ 133 w 4671337"/>
            <a:gd name="csY0" fmla="*/ 469911 h 3151727"/>
            <a:gd name="csX1" fmla="*/ 279533 w 4671337"/>
            <a:gd name="csY1" fmla="*/ 0 h 3151727"/>
            <a:gd name="csX2" fmla="*/ 4407033 w 4671337"/>
            <a:gd name="csY2" fmla="*/ 0 h 3151727"/>
            <a:gd name="csX3" fmla="*/ 4663573 w 4671337"/>
            <a:gd name="csY3" fmla="*/ 469911 h 3151727"/>
            <a:gd name="csX4" fmla="*/ 4663573 w 4671337"/>
            <a:gd name="csY4" fmla="*/ 2603489 h 3151727"/>
            <a:gd name="csX5" fmla="*/ 4413113 w 4671337"/>
            <a:gd name="csY5" fmla="*/ 3136900 h 3151727"/>
            <a:gd name="csX6" fmla="*/ 285614 w 4671337"/>
            <a:gd name="csY6" fmla="*/ 3136900 h 3151727"/>
            <a:gd name="csX7" fmla="*/ 133 w 4671337"/>
            <a:gd name="csY7" fmla="*/ 2603489 h 3151727"/>
            <a:gd name="csX8" fmla="*/ 133 w 4671337"/>
            <a:gd name="csY8" fmla="*/ 469911 h 3151727"/>
            <a:gd name="csX0" fmla="*/ 133 w 4671337"/>
            <a:gd name="csY0" fmla="*/ 469911 h 3136900"/>
            <a:gd name="csX1" fmla="*/ 279533 w 4671337"/>
            <a:gd name="csY1" fmla="*/ 0 h 3136900"/>
            <a:gd name="csX2" fmla="*/ 4407033 w 4671337"/>
            <a:gd name="csY2" fmla="*/ 0 h 3136900"/>
            <a:gd name="csX3" fmla="*/ 4663573 w 4671337"/>
            <a:gd name="csY3" fmla="*/ 469911 h 3136900"/>
            <a:gd name="csX4" fmla="*/ 4663573 w 4671337"/>
            <a:gd name="csY4" fmla="*/ 2603489 h 3136900"/>
            <a:gd name="csX5" fmla="*/ 4413113 w 4671337"/>
            <a:gd name="csY5" fmla="*/ 3136900 h 3136900"/>
            <a:gd name="csX6" fmla="*/ 285614 w 4671337"/>
            <a:gd name="csY6" fmla="*/ 3136900 h 3136900"/>
            <a:gd name="csX7" fmla="*/ 133 w 4671337"/>
            <a:gd name="csY7" fmla="*/ 2603489 h 3136900"/>
            <a:gd name="csX8" fmla="*/ 133 w 4671337"/>
            <a:gd name="csY8" fmla="*/ 469911 h 3136900"/>
            <a:gd name="csX0" fmla="*/ 1277 w 4672481"/>
            <a:gd name="csY0" fmla="*/ 469911 h 3136900"/>
            <a:gd name="csX1" fmla="*/ 280677 w 4672481"/>
            <a:gd name="csY1" fmla="*/ 0 h 3136900"/>
            <a:gd name="csX2" fmla="*/ 4408177 w 4672481"/>
            <a:gd name="csY2" fmla="*/ 0 h 3136900"/>
            <a:gd name="csX3" fmla="*/ 4664717 w 4672481"/>
            <a:gd name="csY3" fmla="*/ 469911 h 3136900"/>
            <a:gd name="csX4" fmla="*/ 4664717 w 4672481"/>
            <a:gd name="csY4" fmla="*/ 2603489 h 3136900"/>
            <a:gd name="csX5" fmla="*/ 4414257 w 4672481"/>
            <a:gd name="csY5" fmla="*/ 3136900 h 3136900"/>
            <a:gd name="csX6" fmla="*/ 286758 w 4672481"/>
            <a:gd name="csY6" fmla="*/ 3136900 h 3136900"/>
            <a:gd name="csX7" fmla="*/ 1277 w 4672481"/>
            <a:gd name="csY7" fmla="*/ 2603489 h 3136900"/>
            <a:gd name="csX8" fmla="*/ 1277 w 4672481"/>
            <a:gd name="csY8" fmla="*/ 469911 h 3136900"/>
            <a:gd name="csX0" fmla="*/ 1277 w 4676930"/>
            <a:gd name="csY0" fmla="*/ 469911 h 3136900"/>
            <a:gd name="csX1" fmla="*/ 280677 w 4676930"/>
            <a:gd name="csY1" fmla="*/ 0 h 3136900"/>
            <a:gd name="csX2" fmla="*/ 4408177 w 4676930"/>
            <a:gd name="csY2" fmla="*/ 0 h 3136900"/>
            <a:gd name="csX3" fmla="*/ 4664717 w 4676930"/>
            <a:gd name="csY3" fmla="*/ 469911 h 3136900"/>
            <a:gd name="csX4" fmla="*/ 4664717 w 4676930"/>
            <a:gd name="csY4" fmla="*/ 2603489 h 3136900"/>
            <a:gd name="csX5" fmla="*/ 4414257 w 4676930"/>
            <a:gd name="csY5" fmla="*/ 3136900 h 3136900"/>
            <a:gd name="csX6" fmla="*/ 286758 w 4676930"/>
            <a:gd name="csY6" fmla="*/ 3136900 h 3136900"/>
            <a:gd name="csX7" fmla="*/ 1277 w 4676930"/>
            <a:gd name="csY7" fmla="*/ 2603489 h 3136900"/>
            <a:gd name="csX8" fmla="*/ 1277 w 4676930"/>
            <a:gd name="csY8" fmla="*/ 469911 h 3136900"/>
            <a:gd name="csX0" fmla="*/ 2614 w 4678267"/>
            <a:gd name="csY0" fmla="*/ 469911 h 3136923"/>
            <a:gd name="csX1" fmla="*/ 282014 w 4678267"/>
            <a:gd name="csY1" fmla="*/ 0 h 3136923"/>
            <a:gd name="csX2" fmla="*/ 4409514 w 4678267"/>
            <a:gd name="csY2" fmla="*/ 0 h 3136923"/>
            <a:gd name="csX3" fmla="*/ 4666054 w 4678267"/>
            <a:gd name="csY3" fmla="*/ 469911 h 3136923"/>
            <a:gd name="csX4" fmla="*/ 4666054 w 4678267"/>
            <a:gd name="csY4" fmla="*/ 2603489 h 3136923"/>
            <a:gd name="csX5" fmla="*/ 4415594 w 4678267"/>
            <a:gd name="csY5" fmla="*/ 3136900 h 3136923"/>
            <a:gd name="csX6" fmla="*/ 288095 w 4678267"/>
            <a:gd name="csY6" fmla="*/ 3136900 h 3136923"/>
            <a:gd name="csX7" fmla="*/ 2614 w 4678267"/>
            <a:gd name="csY7" fmla="*/ 2603489 h 3136923"/>
            <a:gd name="csX8" fmla="*/ 2614 w 4678267"/>
            <a:gd name="csY8" fmla="*/ 469911 h 313692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678267" h="3136923">
              <a:moveTo>
                <a:pt x="2614" y="469911"/>
              </a:moveTo>
              <a:cubicBezTo>
                <a:pt x="2614" y="89193"/>
                <a:pt x="-12581" y="0"/>
                <a:pt x="282014" y="0"/>
              </a:cubicBezTo>
              <a:lnTo>
                <a:pt x="4409514" y="0"/>
              </a:lnTo>
              <a:cubicBezTo>
                <a:pt x="4704109" y="0"/>
                <a:pt x="4666054" y="89193"/>
                <a:pt x="4666054" y="469911"/>
              </a:cubicBezTo>
              <a:lnTo>
                <a:pt x="4666054" y="2603489"/>
              </a:lnTo>
              <a:cubicBezTo>
                <a:pt x="4679015" y="3021118"/>
                <a:pt x="4736111" y="3124597"/>
                <a:pt x="4415594" y="3136900"/>
              </a:cubicBezTo>
              <a:lnTo>
                <a:pt x="288095" y="3136900"/>
              </a:lnTo>
              <a:cubicBezTo>
                <a:pt x="-47209" y="3139676"/>
                <a:pt x="2614" y="2898084"/>
                <a:pt x="2614" y="2603489"/>
              </a:cubicBezTo>
              <a:lnTo>
                <a:pt x="2614" y="469911"/>
              </a:lnTo>
              <a:close/>
            </a:path>
          </a:pathLst>
        </a:custGeom>
        <a:solidFill>
          <a:sysClr val="window" lastClr="FFFFFF"/>
        </a:solidFill>
        <a:ln w="12700" cap="rnd" cmpd="sng" algn="ctr">
          <a:solidFill>
            <a:sysClr val="window" lastClr="FFFFFF">
              <a:lumMod val="85000"/>
            </a:sysClr>
          </a:solidFill>
          <a:prstDash val="solid"/>
          <a:roun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fLocksWithSheet="0"/>
  </xdr:twoCellAnchor>
  <xdr:twoCellAnchor editAs="oneCell">
    <xdr:from>
      <xdr:col>3</xdr:col>
      <xdr:colOff>203200</xdr:colOff>
      <xdr:row>1</xdr:row>
      <xdr:rowOff>60960</xdr:rowOff>
    </xdr:from>
    <xdr:to>
      <xdr:col>3</xdr:col>
      <xdr:colOff>2032000</xdr:colOff>
      <xdr:row>5</xdr:row>
      <xdr:rowOff>162560</xdr:rowOff>
    </xdr:to>
    <mc:AlternateContent xmlns:mc="http://schemas.openxmlformats.org/markup-compatibility/2006" xmlns:a14="http://schemas.microsoft.com/office/drawing/2010/main">
      <mc:Choice Requires="a14">
        <xdr:graphicFrame macro="">
          <xdr:nvGraphicFramePr>
            <xdr:cNvPr id="3" name="Year 3">
              <a:extLst>
                <a:ext uri="{FF2B5EF4-FFF2-40B4-BE49-F238E27FC236}">
                  <a16:creationId xmlns:a16="http://schemas.microsoft.com/office/drawing/2014/main" id="{EEEB2E3F-3BA7-6D45-A72F-6B195603CDE7}"/>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6032500" y="264160"/>
              <a:ext cx="1828800" cy="91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2184400</xdr:colOff>
      <xdr:row>1</xdr:row>
      <xdr:rowOff>60960</xdr:rowOff>
    </xdr:from>
    <xdr:to>
      <xdr:col>5</xdr:col>
      <xdr:colOff>876300</xdr:colOff>
      <xdr:row>5</xdr:row>
      <xdr:rowOff>162560</xdr:rowOff>
    </xdr:to>
    <mc:AlternateContent xmlns:mc="http://schemas.openxmlformats.org/markup-compatibility/2006" xmlns:a14="http://schemas.microsoft.com/office/drawing/2010/main">
      <mc:Choice Requires="a14">
        <xdr:graphicFrame macro="">
          <xdr:nvGraphicFramePr>
            <xdr:cNvPr id="4" name="Country 2">
              <a:extLst>
                <a:ext uri="{FF2B5EF4-FFF2-40B4-BE49-F238E27FC236}">
                  <a16:creationId xmlns:a16="http://schemas.microsoft.com/office/drawing/2014/main" id="{9D29E96D-03C9-7A4B-9994-10B5843DD86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8013700" y="264160"/>
              <a:ext cx="3657600" cy="91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1054100</xdr:colOff>
      <xdr:row>1</xdr:row>
      <xdr:rowOff>58420</xdr:rowOff>
    </xdr:from>
    <xdr:to>
      <xdr:col>6</xdr:col>
      <xdr:colOff>1125220</xdr:colOff>
      <xdr:row>5</xdr:row>
      <xdr:rowOff>160020</xdr:rowOff>
    </xdr:to>
    <mc:AlternateContent xmlns:mc="http://schemas.openxmlformats.org/markup-compatibility/2006" xmlns:a14="http://schemas.microsoft.com/office/drawing/2010/main">
      <mc:Choice Requires="a14">
        <xdr:graphicFrame macro="">
          <xdr:nvGraphicFramePr>
            <xdr:cNvPr id="5" name=" Product  2">
              <a:extLst>
                <a:ext uri="{FF2B5EF4-FFF2-40B4-BE49-F238E27FC236}">
                  <a16:creationId xmlns:a16="http://schemas.microsoft.com/office/drawing/2014/main" id="{FF2A36BB-FE7A-524E-8C68-A3BB3669380C}"/>
                </a:ext>
              </a:extLst>
            </xdr:cNvPr>
            <xdr:cNvGraphicFramePr/>
          </xdr:nvGraphicFramePr>
          <xdr:xfrm>
            <a:off x="0" y="0"/>
            <a:ext cx="0" cy="0"/>
          </xdr:xfrm>
          <a:graphic>
            <a:graphicData uri="http://schemas.microsoft.com/office/drawing/2010/slicer">
              <sle:slicer xmlns:sle="http://schemas.microsoft.com/office/drawing/2010/slicer" name=" Product  2"/>
            </a:graphicData>
          </a:graphic>
        </xdr:graphicFrame>
      </mc:Choice>
      <mc:Fallback xmlns="">
        <xdr:sp macro="" textlink="">
          <xdr:nvSpPr>
            <xdr:cNvPr id="0" name=""/>
            <xdr:cNvSpPr>
              <a:spLocks noTextEdit="1"/>
            </xdr:cNvSpPr>
          </xdr:nvSpPr>
          <xdr:spPr>
            <a:xfrm>
              <a:off x="11849100" y="261620"/>
              <a:ext cx="2560320" cy="91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1275080</xdr:colOff>
      <xdr:row>1</xdr:row>
      <xdr:rowOff>50800</xdr:rowOff>
    </xdr:from>
    <xdr:to>
      <xdr:col>7</xdr:col>
      <xdr:colOff>1828800</xdr:colOff>
      <xdr:row>5</xdr:row>
      <xdr:rowOff>152400</xdr:rowOff>
    </xdr:to>
    <mc:AlternateContent xmlns:mc="http://schemas.openxmlformats.org/markup-compatibility/2006" xmlns:a14="http://schemas.microsoft.com/office/drawing/2010/main">
      <mc:Choice Requires="a14">
        <xdr:graphicFrame macro="">
          <xdr:nvGraphicFramePr>
            <xdr:cNvPr id="6" name="Segment 2">
              <a:extLst>
                <a:ext uri="{FF2B5EF4-FFF2-40B4-BE49-F238E27FC236}">
                  <a16:creationId xmlns:a16="http://schemas.microsoft.com/office/drawing/2014/main" id="{81194D7B-8A0B-5C45-8DB5-8BB641CEF87E}"/>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4559280" y="254000"/>
              <a:ext cx="3017520" cy="91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1963420</xdr:colOff>
      <xdr:row>1</xdr:row>
      <xdr:rowOff>63500</xdr:rowOff>
    </xdr:from>
    <xdr:to>
      <xdr:col>8</xdr:col>
      <xdr:colOff>1625600</xdr:colOff>
      <xdr:row>5</xdr:row>
      <xdr:rowOff>165100</xdr:rowOff>
    </xdr:to>
    <mc:AlternateContent xmlns:mc="http://schemas.openxmlformats.org/markup-compatibility/2006" xmlns:a14="http://schemas.microsoft.com/office/drawing/2010/main">
      <mc:Choice Requires="a14">
        <xdr:graphicFrame macro="">
          <xdr:nvGraphicFramePr>
            <xdr:cNvPr id="7" name=" Discount Band  2">
              <a:extLst>
                <a:ext uri="{FF2B5EF4-FFF2-40B4-BE49-F238E27FC236}">
                  <a16:creationId xmlns:a16="http://schemas.microsoft.com/office/drawing/2014/main" id="{6E80FE36-42F1-C446-8E31-28EFA648A811}"/>
                </a:ext>
              </a:extLst>
            </xdr:cNvPr>
            <xdr:cNvGraphicFramePr/>
          </xdr:nvGraphicFramePr>
          <xdr:xfrm>
            <a:off x="0" y="0"/>
            <a:ext cx="0" cy="0"/>
          </xdr:xfrm>
          <a:graphic>
            <a:graphicData uri="http://schemas.microsoft.com/office/drawing/2010/slicer">
              <sle:slicer xmlns:sle="http://schemas.microsoft.com/office/drawing/2010/slicer" name=" Discount Band  2"/>
            </a:graphicData>
          </a:graphic>
        </xdr:graphicFrame>
      </mc:Choice>
      <mc:Fallback xmlns="">
        <xdr:sp macro="" textlink="">
          <xdr:nvSpPr>
            <xdr:cNvPr id="0" name=""/>
            <xdr:cNvSpPr>
              <a:spLocks noTextEdit="1"/>
            </xdr:cNvSpPr>
          </xdr:nvSpPr>
          <xdr:spPr>
            <a:xfrm>
              <a:off x="17711420" y="266700"/>
              <a:ext cx="2100580" cy="91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1346200</xdr:colOff>
      <xdr:row>6</xdr:row>
      <xdr:rowOff>165100</xdr:rowOff>
    </xdr:from>
    <xdr:to>
      <xdr:col>4</xdr:col>
      <xdr:colOff>1880108</xdr:colOff>
      <xdr:row>13</xdr:row>
      <xdr:rowOff>114300</xdr:rowOff>
    </xdr:to>
    <xdr:grpSp>
      <xdr:nvGrpSpPr>
        <xdr:cNvPr id="8" name="Group 7">
          <a:extLst>
            <a:ext uri="{FF2B5EF4-FFF2-40B4-BE49-F238E27FC236}">
              <a16:creationId xmlns:a16="http://schemas.microsoft.com/office/drawing/2014/main" id="{A713BD27-41DE-EB44-8DED-E8F067B99EE7}"/>
            </a:ext>
          </a:extLst>
        </xdr:cNvPr>
        <xdr:cNvGrpSpPr/>
      </xdr:nvGrpSpPr>
      <xdr:grpSpPr>
        <a:xfrm>
          <a:off x="7185102" y="1373149"/>
          <a:ext cx="3042933" cy="1358590"/>
          <a:chOff x="9791700" y="1485900"/>
          <a:chExt cx="3017520" cy="1371600"/>
        </a:xfrm>
      </xdr:grpSpPr>
      <xdr:sp macro="" textlink="">
        <xdr:nvSpPr>
          <xdr:cNvPr id="9" name="Rounded Rectangle 8">
            <a:extLst>
              <a:ext uri="{FF2B5EF4-FFF2-40B4-BE49-F238E27FC236}">
                <a16:creationId xmlns:a16="http://schemas.microsoft.com/office/drawing/2014/main" id="{BC50A6A8-EC6B-0565-BDC1-409DB7FBF28C}"/>
              </a:ext>
            </a:extLst>
          </xdr:cNvPr>
          <xdr:cNvSpPr/>
        </xdr:nvSpPr>
        <xdr:spPr>
          <a:xfrm>
            <a:off x="9791700" y="1485900"/>
            <a:ext cx="3017520" cy="1371600"/>
          </a:xfrm>
          <a:prstGeom prst="roundRect">
            <a:avLst/>
          </a:prstGeom>
          <a:solidFill>
            <a:sysClr val="window" lastClr="FFFFFF"/>
          </a:solidFill>
          <a:ln w="12700" cap="flat" cmpd="sng" algn="ctr">
            <a:solidFill>
              <a:sysClr val="window" lastClr="FFFFFF">
                <a:lumMod val="75000"/>
              </a:sys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10" name="Oval 9">
            <a:extLst>
              <a:ext uri="{FF2B5EF4-FFF2-40B4-BE49-F238E27FC236}">
                <a16:creationId xmlns:a16="http://schemas.microsoft.com/office/drawing/2014/main" id="{7EB5FB95-28DE-7D02-AB11-CD9E03941D71}"/>
              </a:ext>
            </a:extLst>
          </xdr:cNvPr>
          <xdr:cNvSpPr/>
        </xdr:nvSpPr>
        <xdr:spPr>
          <a:xfrm>
            <a:off x="9969500" y="1903307"/>
            <a:ext cx="621792" cy="621792"/>
          </a:xfrm>
          <a:prstGeom prst="ellipse">
            <a:avLst/>
          </a:prstGeom>
          <a:solidFill>
            <a:srgbClr val="2EAF4A"/>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11" name="TextBox 10">
            <a:extLst>
              <a:ext uri="{FF2B5EF4-FFF2-40B4-BE49-F238E27FC236}">
                <a16:creationId xmlns:a16="http://schemas.microsoft.com/office/drawing/2014/main" id="{5C4A8803-23BE-AFB1-7766-28DD41645D68}"/>
              </a:ext>
            </a:extLst>
          </xdr:cNvPr>
          <xdr:cNvSpPr txBox="1"/>
        </xdr:nvSpPr>
        <xdr:spPr>
          <a:xfrm>
            <a:off x="10706100" y="1802553"/>
            <a:ext cx="1714500" cy="431800"/>
          </a:xfrm>
          <a:prstGeom prst="rect">
            <a:avLst/>
          </a:prstGeom>
          <a:noFill/>
          <a:ln w="9525" cmpd="sng">
            <a:noFill/>
          </a:ln>
          <a:effectLst/>
        </xdr:spPr>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srgbClr val="004DD6"/>
                </a:solidFill>
                <a:effectLst/>
                <a:uLnTx/>
                <a:uFillTx/>
                <a:latin typeface="Calibri" panose="020F0502020204030204"/>
                <a:ea typeface="+mn-ea"/>
                <a:cs typeface="+mn-cs"/>
              </a:rPr>
              <a:t>TOTAL PROFIT	</a:t>
            </a:r>
            <a:endParaRPr kumimoji="0" lang="en-GB" sz="1400" b="1" i="0" u="none" strike="noStrike" kern="0" cap="none" spc="0" normalizeH="0" baseline="0" noProof="0">
              <a:ln>
                <a:noFill/>
              </a:ln>
              <a:solidFill>
                <a:srgbClr val="004DD6"/>
              </a:solidFill>
              <a:effectLst/>
              <a:uLnTx/>
              <a:uFillTx/>
              <a:latin typeface="Calibri" panose="020F0502020204030204"/>
              <a:ea typeface="+mn-ea"/>
              <a:cs typeface="+mn-cs"/>
            </a:endParaRPr>
          </a:p>
        </xdr:txBody>
      </xdr:sp>
      <xdr:sp macro="" textlink="Pivot!$C$4">
        <xdr:nvSpPr>
          <xdr:cNvPr id="12" name="TextBox 11">
            <a:extLst>
              <a:ext uri="{FF2B5EF4-FFF2-40B4-BE49-F238E27FC236}">
                <a16:creationId xmlns:a16="http://schemas.microsoft.com/office/drawing/2014/main" id="{814EF66B-7C49-28C8-C98C-7E026C31FF3C}"/>
              </a:ext>
            </a:extLst>
          </xdr:cNvPr>
          <xdr:cNvSpPr txBox="1"/>
        </xdr:nvSpPr>
        <xdr:spPr>
          <a:xfrm>
            <a:off x="10693400" y="2248747"/>
            <a:ext cx="1727200" cy="503767"/>
          </a:xfrm>
          <a:prstGeom prst="rect">
            <a:avLst/>
          </a:prstGeom>
          <a:noFill/>
          <a:ln w="9525" cmpd="sng">
            <a:noFill/>
          </a:ln>
          <a:effectLst/>
        </xdr:spPr>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18082E38-1A6A-6E47-A5FB-42A4F8943D97}" type="TxLink">
              <a:rPr kumimoji="0" lang="en-US" sz="2000" b="1" i="0" u="none" strike="noStrike" kern="0" cap="none" spc="0" normalizeH="0" baseline="0" noProof="0" smtClean="0">
                <a:ln>
                  <a:noFill/>
                </a:ln>
                <a:solidFill>
                  <a:srgbClr val="000000"/>
                </a:solidFill>
                <a:effectLst/>
                <a:uLnTx/>
                <a:uFillTx/>
                <a:latin typeface="Calibri"/>
                <a:ea typeface="+mn-ea"/>
                <a:cs typeface="Calibri"/>
              </a:rPr>
              <a:pPr marL="0" marR="0" lvl="0" indent="0" algn="l" defTabSz="914400" eaLnBrk="1" fontAlgn="auto" latinLnBrk="0" hangingPunct="1">
                <a:lnSpc>
                  <a:spcPct val="100000"/>
                </a:lnSpc>
                <a:spcBef>
                  <a:spcPts val="0"/>
                </a:spcBef>
                <a:spcAft>
                  <a:spcPts val="0"/>
                </a:spcAft>
                <a:buClrTx/>
                <a:buSzTx/>
                <a:buFontTx/>
                <a:buNone/>
                <a:tabLst/>
                <a:defRPr/>
              </a:pPr>
              <a:t>16.89M</a:t>
            </a:fld>
            <a:endParaRPr kumimoji="0" lang="en-GB" sz="20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pic>
        <xdr:nvPicPr>
          <xdr:cNvPr id="13" name="Graphic 12" descr="Upward trend with solid fill">
            <a:extLst>
              <a:ext uri="{FF2B5EF4-FFF2-40B4-BE49-F238E27FC236}">
                <a16:creationId xmlns:a16="http://schemas.microsoft.com/office/drawing/2014/main" id="{CCA534C6-AF35-01BE-01C6-C651C56C102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058400" y="1968500"/>
            <a:ext cx="431800" cy="431800"/>
          </a:xfrm>
          <a:prstGeom prst="rect">
            <a:avLst/>
          </a:prstGeom>
        </xdr:spPr>
      </xdr:pic>
    </xdr:grpSp>
    <xdr:clientData/>
  </xdr:twoCellAnchor>
  <xdr:twoCellAnchor>
    <xdr:from>
      <xdr:col>1</xdr:col>
      <xdr:colOff>240133</xdr:colOff>
      <xdr:row>8</xdr:row>
      <xdr:rowOff>176107</xdr:rowOff>
    </xdr:from>
    <xdr:to>
      <xdr:col>1</xdr:col>
      <xdr:colOff>857843</xdr:colOff>
      <xdr:row>11</xdr:row>
      <xdr:rowOff>188299</xdr:rowOff>
    </xdr:to>
    <xdr:sp macro="" textlink="">
      <xdr:nvSpPr>
        <xdr:cNvPr id="14" name="Oval 13">
          <a:extLst>
            <a:ext uri="{FF2B5EF4-FFF2-40B4-BE49-F238E27FC236}">
              <a16:creationId xmlns:a16="http://schemas.microsoft.com/office/drawing/2014/main" id="{82694400-FEB4-3E47-82DD-E07281FD259B}"/>
            </a:ext>
          </a:extLst>
        </xdr:cNvPr>
        <xdr:cNvSpPr/>
      </xdr:nvSpPr>
      <xdr:spPr>
        <a:xfrm>
          <a:off x="1065633" y="1801707"/>
          <a:ext cx="617710" cy="621792"/>
        </a:xfrm>
        <a:prstGeom prst="ellipse">
          <a:avLst/>
        </a:prstGeom>
        <a:solidFill>
          <a:srgbClr val="004DD6"/>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rgbClr val="2563EB"/>
            </a:solidFill>
            <a:effectLst/>
            <a:uLnTx/>
            <a:uFillTx/>
            <a:latin typeface="Calibri" panose="020F0502020204030204"/>
            <a:ea typeface="+mn-ea"/>
            <a:cs typeface="+mn-cs"/>
          </a:endParaRPr>
        </a:p>
      </xdr:txBody>
    </xdr:sp>
    <xdr:clientData/>
  </xdr:twoCellAnchor>
  <xdr:twoCellAnchor>
    <xdr:from>
      <xdr:col>2</xdr:col>
      <xdr:colOff>673100</xdr:colOff>
      <xdr:row>6</xdr:row>
      <xdr:rowOff>157480</xdr:rowOff>
    </xdr:from>
    <xdr:to>
      <xdr:col>3</xdr:col>
      <xdr:colOff>1207008</xdr:colOff>
      <xdr:row>13</xdr:row>
      <xdr:rowOff>106680</xdr:rowOff>
    </xdr:to>
    <xdr:grpSp>
      <xdr:nvGrpSpPr>
        <xdr:cNvPr id="15" name="Group 14">
          <a:extLst>
            <a:ext uri="{FF2B5EF4-FFF2-40B4-BE49-F238E27FC236}">
              <a16:creationId xmlns:a16="http://schemas.microsoft.com/office/drawing/2014/main" id="{CFEEA3B7-250B-8742-B735-C4FCD8B57509}"/>
            </a:ext>
          </a:extLst>
        </xdr:cNvPr>
        <xdr:cNvGrpSpPr/>
      </xdr:nvGrpSpPr>
      <xdr:grpSpPr>
        <a:xfrm>
          <a:off x="4002978" y="1365529"/>
          <a:ext cx="3042932" cy="1358590"/>
          <a:chOff x="6527800" y="1485900"/>
          <a:chExt cx="3017520" cy="1371600"/>
        </a:xfrm>
      </xdr:grpSpPr>
      <xdr:sp macro="" textlink="">
        <xdr:nvSpPr>
          <xdr:cNvPr id="16" name="Rounded Rectangle 15">
            <a:extLst>
              <a:ext uri="{FF2B5EF4-FFF2-40B4-BE49-F238E27FC236}">
                <a16:creationId xmlns:a16="http://schemas.microsoft.com/office/drawing/2014/main" id="{B7D04524-5DB4-9FB7-606B-CC0B2FA303AA}"/>
              </a:ext>
            </a:extLst>
          </xdr:cNvPr>
          <xdr:cNvSpPr/>
        </xdr:nvSpPr>
        <xdr:spPr>
          <a:xfrm>
            <a:off x="6527800" y="1485900"/>
            <a:ext cx="3017520" cy="1371600"/>
          </a:xfrm>
          <a:prstGeom prst="roundRect">
            <a:avLst/>
          </a:prstGeom>
          <a:solidFill>
            <a:sysClr val="window" lastClr="FFFFFF"/>
          </a:solidFill>
          <a:ln w="12700" cap="flat" cmpd="sng" algn="ctr">
            <a:solidFill>
              <a:sysClr val="window" lastClr="FFFFFF">
                <a:lumMod val="75000"/>
              </a:sysClr>
            </a:solidFill>
            <a:prstDash val="solid"/>
            <a:miter lim="800000"/>
          </a:ln>
          <a:effectLst/>
        </xdr:spPr>
        <xdr:txBody>
          <a:bodyPr vertOverflow="clip" horzOverflow="clip" tIns="0"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17" name="Oval 16">
            <a:extLst>
              <a:ext uri="{FF2B5EF4-FFF2-40B4-BE49-F238E27FC236}">
                <a16:creationId xmlns:a16="http://schemas.microsoft.com/office/drawing/2014/main" id="{36B982E7-315D-BEE6-7D0F-0F385CAA8636}"/>
              </a:ext>
            </a:extLst>
          </xdr:cNvPr>
          <xdr:cNvSpPr/>
        </xdr:nvSpPr>
        <xdr:spPr>
          <a:xfrm>
            <a:off x="6705600" y="1903307"/>
            <a:ext cx="621792" cy="621792"/>
          </a:xfrm>
          <a:prstGeom prst="ellipse">
            <a:avLst/>
          </a:prstGeom>
          <a:solidFill>
            <a:srgbClr val="34A853"/>
          </a:solidFill>
          <a:ln w="12700" cap="flat" cmpd="sng" algn="ctr">
            <a:noFill/>
            <a:prstDash val="solid"/>
            <a:miter lim="800000"/>
          </a:ln>
          <a:effectLst/>
        </xdr:spPr>
        <xdr:txBody>
          <a:bodyPr vertOverflow="clip" horzOverflow="clip" tIns="0"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18" name="TextBox 17">
            <a:extLst>
              <a:ext uri="{FF2B5EF4-FFF2-40B4-BE49-F238E27FC236}">
                <a16:creationId xmlns:a16="http://schemas.microsoft.com/office/drawing/2014/main" id="{E821D643-BFF3-7CC1-46D9-79F630841120}"/>
              </a:ext>
            </a:extLst>
          </xdr:cNvPr>
          <xdr:cNvSpPr txBox="1"/>
        </xdr:nvSpPr>
        <xdr:spPr>
          <a:xfrm>
            <a:off x="7442200" y="1802553"/>
            <a:ext cx="1714500" cy="431800"/>
          </a:xfrm>
          <a:prstGeom prst="rect">
            <a:avLst/>
          </a:prstGeom>
          <a:noFill/>
          <a:ln w="9525" cmpd="sng">
            <a:noFill/>
          </a:ln>
          <a:effectLst/>
        </xdr:spPr>
        <xdr:txBody>
          <a:bodyPr vertOverflow="clip" horzOverflow="clip" wrap="square" tIns="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srgbClr val="34A853"/>
                </a:solidFill>
                <a:effectLst/>
                <a:uLnTx/>
                <a:uFillTx/>
                <a:latin typeface="Calibri" panose="020F0502020204030204"/>
                <a:ea typeface="+mn-ea"/>
                <a:cs typeface="+mn-cs"/>
              </a:rPr>
              <a:t>GROSS SALES</a:t>
            </a:r>
            <a:r>
              <a:rPr kumimoji="0" lang="en-GB" sz="1600" b="1" i="0" u="none" strike="noStrike" kern="0" cap="none" spc="0" normalizeH="0" baseline="0" noProof="0">
                <a:ln>
                  <a:noFill/>
                </a:ln>
                <a:solidFill>
                  <a:srgbClr val="34A853"/>
                </a:solidFill>
                <a:effectLst/>
                <a:uLnTx/>
                <a:uFillTx/>
                <a:latin typeface="Calibri" panose="020F0502020204030204"/>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400" b="1" i="0" u="none" strike="noStrike" kern="0" cap="none" spc="0" normalizeH="0" baseline="0" noProof="0">
              <a:ln>
                <a:noFill/>
              </a:ln>
              <a:solidFill>
                <a:srgbClr val="004DD6"/>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400" b="1" i="0" u="none" strike="noStrike" kern="0" cap="none" spc="0" normalizeH="0" baseline="0" noProof="0">
              <a:ln>
                <a:noFill/>
              </a:ln>
              <a:solidFill>
                <a:srgbClr val="004DD6"/>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400" b="1" i="0" u="none" strike="noStrike" kern="0" cap="none" spc="0" normalizeH="0" baseline="0" noProof="0">
              <a:ln>
                <a:noFill/>
              </a:ln>
              <a:solidFill>
                <a:srgbClr val="004DD6"/>
              </a:solidFill>
              <a:effectLst/>
              <a:uLnTx/>
              <a:uFillTx/>
              <a:latin typeface="Calibri" panose="020F0502020204030204"/>
              <a:ea typeface="+mn-ea"/>
              <a:cs typeface="+mn-cs"/>
            </a:endParaRPr>
          </a:p>
        </xdr:txBody>
      </xdr:sp>
      <xdr:sp macro="" textlink="Pivot!$E$4">
        <xdr:nvSpPr>
          <xdr:cNvPr id="19" name="TextBox 18">
            <a:extLst>
              <a:ext uri="{FF2B5EF4-FFF2-40B4-BE49-F238E27FC236}">
                <a16:creationId xmlns:a16="http://schemas.microsoft.com/office/drawing/2014/main" id="{0827C1E3-7AEB-A650-57CD-C77069507DF5}"/>
              </a:ext>
            </a:extLst>
          </xdr:cNvPr>
          <xdr:cNvSpPr txBox="1"/>
        </xdr:nvSpPr>
        <xdr:spPr>
          <a:xfrm>
            <a:off x="7429500" y="2248747"/>
            <a:ext cx="1727200" cy="503767"/>
          </a:xfrm>
          <a:prstGeom prst="rect">
            <a:avLst/>
          </a:prstGeom>
          <a:noFill/>
          <a:ln w="9525" cmpd="sng">
            <a:noFill/>
          </a:ln>
          <a:effectLst/>
        </xdr:spPr>
        <xdr:txBody>
          <a:bodyPr vertOverflow="clip" horzOverflow="clip" wrap="square" tIns="0"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D4627A60-42F5-454B-90CE-E9328EB946E3}" type="TxLink">
              <a:rPr kumimoji="0" lang="en-US" sz="2000" b="1" i="0" u="none" strike="noStrike" kern="0" cap="none" spc="0" normalizeH="0" baseline="0" noProof="0" smtClean="0">
                <a:ln>
                  <a:noFill/>
                </a:ln>
                <a:solidFill>
                  <a:srgbClr val="000000"/>
                </a:solidFill>
                <a:effectLst/>
                <a:uLnTx/>
                <a:uFillTx/>
                <a:latin typeface="Calibri"/>
                <a:ea typeface="+mn-ea"/>
                <a:cs typeface="Calibri"/>
              </a:rPr>
              <a:pPr marL="0" marR="0" lvl="0" indent="0" algn="l" defTabSz="914400" eaLnBrk="1" fontAlgn="auto" latinLnBrk="0" hangingPunct="1">
                <a:lnSpc>
                  <a:spcPct val="100000"/>
                </a:lnSpc>
                <a:spcBef>
                  <a:spcPts val="0"/>
                </a:spcBef>
                <a:spcAft>
                  <a:spcPts val="0"/>
                </a:spcAft>
                <a:buClrTx/>
                <a:buSzTx/>
                <a:buFontTx/>
                <a:buNone/>
                <a:tabLst/>
                <a:defRPr/>
              </a:pPr>
              <a:t>127.93M</a:t>
            </a:fld>
            <a:endParaRPr kumimoji="0" lang="en-GB" sz="20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pic>
        <xdr:nvPicPr>
          <xdr:cNvPr id="20" name="Picture 19">
            <a:extLst>
              <a:ext uri="{FF2B5EF4-FFF2-40B4-BE49-F238E27FC236}">
                <a16:creationId xmlns:a16="http://schemas.microsoft.com/office/drawing/2014/main" id="{D7AE965F-F3CA-57A0-D6C0-CC13F654767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7200" y="2032000"/>
            <a:ext cx="393700" cy="393700"/>
          </a:xfrm>
          <a:prstGeom prst="rect">
            <a:avLst/>
          </a:prstGeom>
        </xdr:spPr>
      </xdr:pic>
    </xdr:grpSp>
    <xdr:clientData/>
  </xdr:twoCellAnchor>
  <xdr:twoCellAnchor>
    <xdr:from>
      <xdr:col>6</xdr:col>
      <xdr:colOff>266700</xdr:colOff>
      <xdr:row>6</xdr:row>
      <xdr:rowOff>165100</xdr:rowOff>
    </xdr:from>
    <xdr:to>
      <xdr:col>7</xdr:col>
      <xdr:colOff>838708</xdr:colOff>
      <xdr:row>13</xdr:row>
      <xdr:rowOff>114300</xdr:rowOff>
    </xdr:to>
    <xdr:grpSp>
      <xdr:nvGrpSpPr>
        <xdr:cNvPr id="21" name="Group 20">
          <a:extLst>
            <a:ext uri="{FF2B5EF4-FFF2-40B4-BE49-F238E27FC236}">
              <a16:creationId xmlns:a16="http://schemas.microsoft.com/office/drawing/2014/main" id="{ED8F7D46-A51D-FC42-B82D-E29E89AD3F2E}"/>
            </a:ext>
          </a:extLst>
        </xdr:cNvPr>
        <xdr:cNvGrpSpPr/>
      </xdr:nvGrpSpPr>
      <xdr:grpSpPr>
        <a:xfrm>
          <a:off x="13570724" y="1373149"/>
          <a:ext cx="3034569" cy="1358590"/>
          <a:chOff x="15976600" y="1295400"/>
          <a:chExt cx="3017520" cy="1371600"/>
        </a:xfrm>
      </xdr:grpSpPr>
      <xdr:sp macro="" textlink="">
        <xdr:nvSpPr>
          <xdr:cNvPr id="22" name="Rounded Rectangle 21">
            <a:extLst>
              <a:ext uri="{FF2B5EF4-FFF2-40B4-BE49-F238E27FC236}">
                <a16:creationId xmlns:a16="http://schemas.microsoft.com/office/drawing/2014/main" id="{78538174-43DA-B65C-9DF3-5E36042153E4}"/>
              </a:ext>
            </a:extLst>
          </xdr:cNvPr>
          <xdr:cNvSpPr/>
        </xdr:nvSpPr>
        <xdr:spPr>
          <a:xfrm>
            <a:off x="15976600" y="1295400"/>
            <a:ext cx="3017520" cy="1371600"/>
          </a:xfrm>
          <a:prstGeom prst="roundRect">
            <a:avLst/>
          </a:prstGeom>
          <a:solidFill>
            <a:sysClr val="window" lastClr="FFFFFF"/>
          </a:solidFill>
          <a:ln w="12700" cap="flat" cmpd="sng" algn="ctr">
            <a:solidFill>
              <a:sysClr val="window" lastClr="FFFFFF">
                <a:lumMod val="75000"/>
              </a:sys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3" name="Oval 22">
            <a:extLst>
              <a:ext uri="{FF2B5EF4-FFF2-40B4-BE49-F238E27FC236}">
                <a16:creationId xmlns:a16="http://schemas.microsoft.com/office/drawing/2014/main" id="{FE4E7CA3-33F3-779C-8C76-7BC9A40CFBCD}"/>
              </a:ext>
            </a:extLst>
          </xdr:cNvPr>
          <xdr:cNvSpPr/>
        </xdr:nvSpPr>
        <xdr:spPr>
          <a:xfrm>
            <a:off x="16154400" y="1712807"/>
            <a:ext cx="621792" cy="621792"/>
          </a:xfrm>
          <a:prstGeom prst="ellipse">
            <a:avLst/>
          </a:prstGeom>
          <a:solidFill>
            <a:srgbClr val="7C3AED"/>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4" name="TextBox 23">
            <a:extLst>
              <a:ext uri="{FF2B5EF4-FFF2-40B4-BE49-F238E27FC236}">
                <a16:creationId xmlns:a16="http://schemas.microsoft.com/office/drawing/2014/main" id="{5FE09120-16C0-38D9-9666-A56AFC7B5312}"/>
              </a:ext>
            </a:extLst>
          </xdr:cNvPr>
          <xdr:cNvSpPr txBox="1"/>
        </xdr:nvSpPr>
        <xdr:spPr>
          <a:xfrm>
            <a:off x="16891000" y="1612053"/>
            <a:ext cx="1714500" cy="431800"/>
          </a:xfrm>
          <a:prstGeom prst="rect">
            <a:avLst/>
          </a:prstGeom>
          <a:noFill/>
          <a:ln w="9525" cmpd="sng">
            <a:noFill/>
          </a:ln>
          <a:effectLst/>
        </xdr:spPr>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srgbClr val="004DD6"/>
                </a:solidFill>
                <a:effectLst/>
                <a:uLnTx/>
                <a:uFillTx/>
                <a:latin typeface="Calibri" panose="020F0502020204030204"/>
                <a:ea typeface="+mn-ea"/>
                <a:cs typeface="+mn-cs"/>
              </a:rPr>
              <a:t>PROFIT MARGIN</a:t>
            </a:r>
            <a:endParaRPr kumimoji="0" lang="en-GB" sz="1400" b="1" i="0" u="none" strike="noStrike" kern="0" cap="none" spc="0" normalizeH="0" baseline="0" noProof="0">
              <a:ln>
                <a:noFill/>
              </a:ln>
              <a:solidFill>
                <a:srgbClr val="004DD6"/>
              </a:solidFill>
              <a:effectLst/>
              <a:uLnTx/>
              <a:uFillTx/>
              <a:latin typeface="Calibri" panose="020F0502020204030204"/>
              <a:ea typeface="+mn-ea"/>
              <a:cs typeface="+mn-cs"/>
            </a:endParaRPr>
          </a:p>
        </xdr:txBody>
      </xdr:sp>
      <xdr:sp macro="" textlink="Helper!F4">
        <xdr:nvSpPr>
          <xdr:cNvPr id="25" name="TextBox 24">
            <a:extLst>
              <a:ext uri="{FF2B5EF4-FFF2-40B4-BE49-F238E27FC236}">
                <a16:creationId xmlns:a16="http://schemas.microsoft.com/office/drawing/2014/main" id="{3F3DCDE0-912D-05D0-8105-BC178DCDA68F}"/>
              </a:ext>
            </a:extLst>
          </xdr:cNvPr>
          <xdr:cNvSpPr txBox="1"/>
        </xdr:nvSpPr>
        <xdr:spPr>
          <a:xfrm>
            <a:off x="16878300" y="2058247"/>
            <a:ext cx="1727200" cy="503767"/>
          </a:xfrm>
          <a:prstGeom prst="rect">
            <a:avLst/>
          </a:prstGeom>
          <a:noFill/>
          <a:ln w="9525" cmpd="sng">
            <a:noFill/>
          </a:ln>
          <a:effectLst/>
        </xdr:spPr>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81503B3D-0D37-AF41-B50D-50D8AA79B968}" type="TxLink">
              <a:rPr kumimoji="0" lang="en-US" sz="2000" b="1" i="0" u="none" strike="noStrike" kern="0" cap="none" spc="0" normalizeH="0" baseline="0" noProof="0" smtClean="0">
                <a:ln>
                  <a:noFill/>
                </a:ln>
                <a:solidFill>
                  <a:sysClr val="windowText" lastClr="000000"/>
                </a:solidFill>
                <a:effectLst/>
                <a:uLnTx/>
                <a:uFillTx/>
                <a:latin typeface="Calibri"/>
                <a:ea typeface="+mn-ea"/>
                <a:cs typeface="Calibri"/>
              </a:rPr>
              <a:pPr marL="0" marR="0" lvl="0" indent="0" algn="l" defTabSz="914400" eaLnBrk="1" fontAlgn="auto" latinLnBrk="0" hangingPunct="1">
                <a:lnSpc>
                  <a:spcPct val="100000"/>
                </a:lnSpc>
                <a:spcBef>
                  <a:spcPts val="0"/>
                </a:spcBef>
                <a:spcAft>
                  <a:spcPts val="0"/>
                </a:spcAft>
                <a:buClrTx/>
                <a:buSzTx/>
                <a:buFontTx/>
                <a:buNone/>
                <a:tabLst/>
                <a:defRPr/>
              </a:pPr>
              <a:t>14.23%</a:t>
            </a:fld>
            <a:endParaRPr kumimoji="0" lang="en-US" sz="20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pic>
        <xdr:nvPicPr>
          <xdr:cNvPr id="26" name="Graphic 25" descr="Money with solid fill">
            <a:extLst>
              <a:ext uri="{FF2B5EF4-FFF2-40B4-BE49-F238E27FC236}">
                <a16:creationId xmlns:a16="http://schemas.microsoft.com/office/drawing/2014/main" id="{2B84762E-6CCC-BEE8-1D1A-982C1EB4BDD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230600" y="1778000"/>
            <a:ext cx="457200" cy="457200"/>
          </a:xfrm>
          <a:prstGeom prst="rect">
            <a:avLst/>
          </a:prstGeom>
        </xdr:spPr>
      </xdr:pic>
    </xdr:grpSp>
    <xdr:clientData/>
  </xdr:twoCellAnchor>
  <xdr:twoCellAnchor>
    <xdr:from>
      <xdr:col>4</xdr:col>
      <xdr:colOff>2057400</xdr:colOff>
      <xdr:row>6</xdr:row>
      <xdr:rowOff>165100</xdr:rowOff>
    </xdr:from>
    <xdr:to>
      <xdr:col>6</xdr:col>
      <xdr:colOff>121920</xdr:colOff>
      <xdr:row>13</xdr:row>
      <xdr:rowOff>114300</xdr:rowOff>
    </xdr:to>
    <xdr:grpSp>
      <xdr:nvGrpSpPr>
        <xdr:cNvPr id="27" name="Group 26">
          <a:extLst>
            <a:ext uri="{FF2B5EF4-FFF2-40B4-BE49-F238E27FC236}">
              <a16:creationId xmlns:a16="http://schemas.microsoft.com/office/drawing/2014/main" id="{A5A2E04D-18D3-8B4D-B9D6-D7294B6ECB60}"/>
            </a:ext>
          </a:extLst>
        </xdr:cNvPr>
        <xdr:cNvGrpSpPr/>
      </xdr:nvGrpSpPr>
      <xdr:grpSpPr>
        <a:xfrm>
          <a:off x="10405327" y="1373149"/>
          <a:ext cx="3020617" cy="1358590"/>
          <a:chOff x="13055600" y="1473200"/>
          <a:chExt cx="3017520" cy="1371600"/>
        </a:xfrm>
      </xdr:grpSpPr>
      <xdr:sp macro="" textlink="">
        <xdr:nvSpPr>
          <xdr:cNvPr id="28" name="Rounded Rectangle 27">
            <a:extLst>
              <a:ext uri="{FF2B5EF4-FFF2-40B4-BE49-F238E27FC236}">
                <a16:creationId xmlns:a16="http://schemas.microsoft.com/office/drawing/2014/main" id="{32F95B55-4B3C-B15C-063E-177D112DEA66}"/>
              </a:ext>
            </a:extLst>
          </xdr:cNvPr>
          <xdr:cNvSpPr/>
        </xdr:nvSpPr>
        <xdr:spPr>
          <a:xfrm>
            <a:off x="13055600" y="1473200"/>
            <a:ext cx="3017520" cy="1371600"/>
          </a:xfrm>
          <a:prstGeom prst="roundRect">
            <a:avLst/>
          </a:prstGeom>
          <a:solidFill>
            <a:sysClr val="window" lastClr="FFFFFF"/>
          </a:solidFill>
          <a:ln w="12700" cap="flat" cmpd="sng" algn="ctr">
            <a:solidFill>
              <a:sysClr val="window" lastClr="FFFFFF">
                <a:lumMod val="75000"/>
              </a:sys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9" name="Oval 28">
            <a:extLst>
              <a:ext uri="{FF2B5EF4-FFF2-40B4-BE49-F238E27FC236}">
                <a16:creationId xmlns:a16="http://schemas.microsoft.com/office/drawing/2014/main" id="{FD2F3BBF-BDCA-25F8-65B5-82F0596E65A6}"/>
              </a:ext>
            </a:extLst>
          </xdr:cNvPr>
          <xdr:cNvSpPr/>
        </xdr:nvSpPr>
        <xdr:spPr>
          <a:xfrm>
            <a:off x="13233400" y="1890607"/>
            <a:ext cx="621792" cy="621792"/>
          </a:xfrm>
          <a:prstGeom prst="ellipse">
            <a:avLst/>
          </a:prstGeom>
          <a:solidFill>
            <a:srgbClr val="F59E0B"/>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0" name="TextBox 29">
            <a:extLst>
              <a:ext uri="{FF2B5EF4-FFF2-40B4-BE49-F238E27FC236}">
                <a16:creationId xmlns:a16="http://schemas.microsoft.com/office/drawing/2014/main" id="{688042A5-5635-A3FD-54C8-F41F711F5A57}"/>
              </a:ext>
            </a:extLst>
          </xdr:cNvPr>
          <xdr:cNvSpPr txBox="1"/>
        </xdr:nvSpPr>
        <xdr:spPr>
          <a:xfrm>
            <a:off x="13970000" y="1789853"/>
            <a:ext cx="1778000" cy="431800"/>
          </a:xfrm>
          <a:prstGeom prst="rect">
            <a:avLst/>
          </a:prstGeom>
          <a:noFill/>
          <a:ln w="9525" cmpd="sng">
            <a:noFill/>
          </a:ln>
          <a:effectLst/>
        </xdr:spPr>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srgbClr val="004DD6"/>
                </a:solidFill>
                <a:effectLst/>
                <a:uLnTx/>
                <a:uFillTx/>
                <a:latin typeface="Calibri" panose="020F0502020204030204"/>
                <a:ea typeface="+mn-ea"/>
                <a:cs typeface="+mn-cs"/>
              </a:rPr>
              <a:t>TOTAL DISCOUNTS</a:t>
            </a:r>
            <a:endParaRPr kumimoji="0" lang="en-GB" sz="1600" b="1" i="0" u="none" strike="noStrike" kern="0" cap="none" spc="0" normalizeH="0" baseline="0" noProof="0">
              <a:ln>
                <a:noFill/>
              </a:ln>
              <a:solidFill>
                <a:srgbClr val="004DD6"/>
              </a:solidFill>
              <a:effectLst/>
              <a:uLnTx/>
              <a:uFillTx/>
              <a:latin typeface="Calibri" panose="020F0502020204030204"/>
              <a:ea typeface="+mn-ea"/>
              <a:cs typeface="+mn-cs"/>
            </a:endParaRPr>
          </a:p>
        </xdr:txBody>
      </xdr:sp>
      <xdr:sp macro="" textlink="Pivot!$I$4">
        <xdr:nvSpPr>
          <xdr:cNvPr id="31" name="TextBox 30">
            <a:extLst>
              <a:ext uri="{FF2B5EF4-FFF2-40B4-BE49-F238E27FC236}">
                <a16:creationId xmlns:a16="http://schemas.microsoft.com/office/drawing/2014/main" id="{A4889C1C-4417-9BF3-8F24-71F85D5BEF6A}"/>
              </a:ext>
            </a:extLst>
          </xdr:cNvPr>
          <xdr:cNvSpPr txBox="1"/>
        </xdr:nvSpPr>
        <xdr:spPr>
          <a:xfrm>
            <a:off x="13957300" y="2236047"/>
            <a:ext cx="1727200" cy="503767"/>
          </a:xfrm>
          <a:prstGeom prst="rect">
            <a:avLst/>
          </a:prstGeom>
          <a:noFill/>
          <a:ln w="9525" cmpd="sng">
            <a:noFill/>
          </a:ln>
          <a:effectLst/>
        </xdr:spPr>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C5B6697A-A742-5C4A-94DD-5D16A578406F}" type="TxLink">
              <a:rPr kumimoji="0" lang="en-US" sz="2000" b="1" i="0" u="none" strike="noStrike" kern="0" cap="none" spc="0" normalizeH="0" baseline="0" noProof="0" smtClean="0">
                <a:ln>
                  <a:noFill/>
                </a:ln>
                <a:solidFill>
                  <a:srgbClr val="000000"/>
                </a:solidFill>
                <a:effectLst/>
                <a:uLnTx/>
                <a:uFillTx/>
                <a:latin typeface="Calibri"/>
                <a:ea typeface="+mn-ea"/>
                <a:cs typeface="Calibri"/>
              </a:rPr>
              <a:pPr marL="0" marR="0" lvl="0" indent="0" algn="l" defTabSz="914400" eaLnBrk="1" fontAlgn="auto" latinLnBrk="0" hangingPunct="1">
                <a:lnSpc>
                  <a:spcPct val="100000"/>
                </a:lnSpc>
                <a:spcBef>
                  <a:spcPts val="0"/>
                </a:spcBef>
                <a:spcAft>
                  <a:spcPts val="0"/>
                </a:spcAft>
                <a:buClrTx/>
                <a:buSzTx/>
                <a:buFontTx/>
                <a:buNone/>
                <a:tabLst/>
                <a:defRPr/>
              </a:pPr>
              <a:t>9.21M</a:t>
            </a:fld>
            <a:endParaRPr kumimoji="0" lang="en-GB" sz="20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pic>
        <xdr:nvPicPr>
          <xdr:cNvPr id="32" name="Picture 31">
            <a:extLst>
              <a:ext uri="{FF2B5EF4-FFF2-40B4-BE49-F238E27FC236}">
                <a16:creationId xmlns:a16="http://schemas.microsoft.com/office/drawing/2014/main" id="{C2C49A0D-DBEE-0999-F483-0AD57EBF786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309600" y="1968500"/>
            <a:ext cx="457200" cy="457200"/>
          </a:xfrm>
          <a:prstGeom prst="rect">
            <a:avLst/>
          </a:prstGeom>
        </xdr:spPr>
      </xdr:pic>
    </xdr:grpSp>
    <xdr:clientData/>
  </xdr:twoCellAnchor>
  <xdr:twoCellAnchor>
    <xdr:from>
      <xdr:col>7</xdr:col>
      <xdr:colOff>990600</xdr:colOff>
      <xdr:row>6</xdr:row>
      <xdr:rowOff>152400</xdr:rowOff>
    </xdr:from>
    <xdr:to>
      <xdr:col>8</xdr:col>
      <xdr:colOff>1625600</xdr:colOff>
      <xdr:row>13</xdr:row>
      <xdr:rowOff>101600</xdr:rowOff>
    </xdr:to>
    <xdr:grpSp>
      <xdr:nvGrpSpPr>
        <xdr:cNvPr id="33" name="Group 32">
          <a:extLst>
            <a:ext uri="{FF2B5EF4-FFF2-40B4-BE49-F238E27FC236}">
              <a16:creationId xmlns:a16="http://schemas.microsoft.com/office/drawing/2014/main" id="{A2E56644-672E-8D48-9407-889137C85584}"/>
            </a:ext>
          </a:extLst>
        </xdr:cNvPr>
        <xdr:cNvGrpSpPr/>
      </xdr:nvGrpSpPr>
      <xdr:grpSpPr>
        <a:xfrm>
          <a:off x="16757185" y="1360449"/>
          <a:ext cx="3066586" cy="1358590"/>
          <a:chOff x="19621500" y="1498600"/>
          <a:chExt cx="3017520" cy="1371600"/>
        </a:xfrm>
      </xdr:grpSpPr>
      <xdr:sp macro="" textlink="">
        <xdr:nvSpPr>
          <xdr:cNvPr id="34" name="Rounded Rectangle 33">
            <a:extLst>
              <a:ext uri="{FF2B5EF4-FFF2-40B4-BE49-F238E27FC236}">
                <a16:creationId xmlns:a16="http://schemas.microsoft.com/office/drawing/2014/main" id="{C449207D-ED10-EA1F-8D83-686D4C2C9CEE}"/>
              </a:ext>
            </a:extLst>
          </xdr:cNvPr>
          <xdr:cNvSpPr/>
        </xdr:nvSpPr>
        <xdr:spPr>
          <a:xfrm>
            <a:off x="19621500" y="1498600"/>
            <a:ext cx="3017520" cy="1371600"/>
          </a:xfrm>
          <a:prstGeom prst="roundRect">
            <a:avLst/>
          </a:prstGeom>
          <a:solidFill>
            <a:sysClr val="window" lastClr="FFFFFF"/>
          </a:solidFill>
          <a:ln w="12700" cap="flat" cmpd="sng" algn="ctr">
            <a:solidFill>
              <a:sysClr val="window" lastClr="FFFFFF">
                <a:lumMod val="75000"/>
              </a:sys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5" name="Oval 34">
            <a:extLst>
              <a:ext uri="{FF2B5EF4-FFF2-40B4-BE49-F238E27FC236}">
                <a16:creationId xmlns:a16="http://schemas.microsoft.com/office/drawing/2014/main" id="{E6FEEA4B-FD00-B527-66CD-3D654F04C84F}"/>
              </a:ext>
            </a:extLst>
          </xdr:cNvPr>
          <xdr:cNvSpPr/>
        </xdr:nvSpPr>
        <xdr:spPr>
          <a:xfrm>
            <a:off x="19799300" y="1916007"/>
            <a:ext cx="621792" cy="621792"/>
          </a:xfrm>
          <a:prstGeom prst="ellipse">
            <a:avLst/>
          </a:prstGeom>
          <a:solidFill>
            <a:srgbClr val="0891B2"/>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6" name="TextBox 35">
            <a:extLst>
              <a:ext uri="{FF2B5EF4-FFF2-40B4-BE49-F238E27FC236}">
                <a16:creationId xmlns:a16="http://schemas.microsoft.com/office/drawing/2014/main" id="{371A2951-4D4D-BF6E-6E6F-67F099CCA3E8}"/>
              </a:ext>
            </a:extLst>
          </xdr:cNvPr>
          <xdr:cNvSpPr txBox="1"/>
        </xdr:nvSpPr>
        <xdr:spPr>
          <a:xfrm>
            <a:off x="20535900" y="1815253"/>
            <a:ext cx="1714500" cy="431800"/>
          </a:xfrm>
          <a:prstGeom prst="rect">
            <a:avLst/>
          </a:prstGeom>
          <a:noFill/>
          <a:ln w="9525" cmpd="sng">
            <a:noFill/>
          </a:ln>
          <a:effectLst/>
        </xdr:spPr>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srgbClr val="004DD6"/>
                </a:solidFill>
                <a:effectLst/>
                <a:uLnTx/>
                <a:uFillTx/>
                <a:latin typeface="Calibri" panose="020F0502020204030204"/>
                <a:ea typeface="+mn-ea"/>
                <a:cs typeface="+mn-cs"/>
              </a:rPr>
              <a:t>UNITS SOLD</a:t>
            </a:r>
            <a:endParaRPr kumimoji="0" lang="en-GB" sz="1400" b="1" i="0" u="none" strike="noStrike" kern="0" cap="none" spc="0" normalizeH="0" baseline="0" noProof="0">
              <a:ln>
                <a:noFill/>
              </a:ln>
              <a:solidFill>
                <a:srgbClr val="004DD6"/>
              </a:solidFill>
              <a:effectLst/>
              <a:uLnTx/>
              <a:uFillTx/>
              <a:latin typeface="Calibri" panose="020F0502020204030204"/>
              <a:ea typeface="+mn-ea"/>
              <a:cs typeface="+mn-cs"/>
            </a:endParaRPr>
          </a:p>
        </xdr:txBody>
      </xdr:sp>
      <xdr:sp macro="" textlink="Pivot!$G$4">
        <xdr:nvSpPr>
          <xdr:cNvPr id="37" name="TextBox 36">
            <a:extLst>
              <a:ext uri="{FF2B5EF4-FFF2-40B4-BE49-F238E27FC236}">
                <a16:creationId xmlns:a16="http://schemas.microsoft.com/office/drawing/2014/main" id="{1A43759E-63AE-CDBD-D835-D18B2775883E}"/>
              </a:ext>
            </a:extLst>
          </xdr:cNvPr>
          <xdr:cNvSpPr txBox="1"/>
        </xdr:nvSpPr>
        <xdr:spPr>
          <a:xfrm>
            <a:off x="20523200" y="2261447"/>
            <a:ext cx="1727200" cy="503767"/>
          </a:xfrm>
          <a:prstGeom prst="rect">
            <a:avLst/>
          </a:prstGeom>
          <a:noFill/>
          <a:ln w="9525" cmpd="sng">
            <a:noFill/>
          </a:ln>
          <a:effectLst/>
        </xdr:spPr>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21E6A4FE-3907-3142-85B5-9D8B3BA436E7}" type="TxLink">
              <a:rPr kumimoji="0" lang="en-US" sz="2000" b="1" i="0" u="none" strike="noStrike" kern="0" cap="none" spc="0" normalizeH="0" baseline="0" noProof="0" smtClean="0">
                <a:ln>
                  <a:noFill/>
                </a:ln>
                <a:solidFill>
                  <a:srgbClr val="000000"/>
                </a:solidFill>
                <a:effectLst/>
                <a:uLnTx/>
                <a:uFillTx/>
                <a:latin typeface="Calibri"/>
                <a:ea typeface="+mn-ea"/>
                <a:cs typeface="Calibri"/>
              </a:rPr>
              <a:pPr marL="0" marR="0" lvl="0" indent="0" algn="l" defTabSz="914400" eaLnBrk="1" fontAlgn="auto" latinLnBrk="0" hangingPunct="1">
                <a:lnSpc>
                  <a:spcPct val="100000"/>
                </a:lnSpc>
                <a:spcBef>
                  <a:spcPts val="0"/>
                </a:spcBef>
                <a:spcAft>
                  <a:spcPts val="0"/>
                </a:spcAft>
                <a:buClrTx/>
                <a:buSzTx/>
                <a:buFontTx/>
                <a:buNone/>
                <a:tabLst/>
                <a:defRPr/>
              </a:pPr>
              <a:t>1.13M</a:t>
            </a:fld>
            <a:endParaRPr kumimoji="0" lang="en-GB" sz="20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pic>
        <xdr:nvPicPr>
          <xdr:cNvPr id="38" name="Picture 37">
            <a:extLst>
              <a:ext uri="{FF2B5EF4-FFF2-40B4-BE49-F238E27FC236}">
                <a16:creationId xmlns:a16="http://schemas.microsoft.com/office/drawing/2014/main" id="{3AE7DF7D-BF89-2460-5209-8CC5238F5C0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9913600" y="2019300"/>
            <a:ext cx="431800" cy="431800"/>
          </a:xfrm>
          <a:prstGeom prst="rect">
            <a:avLst/>
          </a:prstGeom>
        </xdr:spPr>
      </xdr:pic>
    </xdr:grpSp>
    <xdr:clientData/>
  </xdr:twoCellAnchor>
  <xdr:twoCellAnchor>
    <xdr:from>
      <xdr:col>1</xdr:col>
      <xdr:colOff>0</xdr:colOff>
      <xdr:row>14</xdr:row>
      <xdr:rowOff>76200</xdr:rowOff>
    </xdr:from>
    <xdr:to>
      <xdr:col>4</xdr:col>
      <xdr:colOff>1912620</xdr:colOff>
      <xdr:row>30</xdr:row>
      <xdr:rowOff>25400</xdr:rowOff>
    </xdr:to>
    <xdr:graphicFrame macro="">
      <xdr:nvGraphicFramePr>
        <xdr:cNvPr id="39" name="Chart 38">
          <a:extLst>
            <a:ext uri="{FF2B5EF4-FFF2-40B4-BE49-F238E27FC236}">
              <a16:creationId xmlns:a16="http://schemas.microsoft.com/office/drawing/2014/main" id="{0A157F37-D888-AB4A-A143-0A6D3F6BE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2082800</xdr:colOff>
      <xdr:row>14</xdr:row>
      <xdr:rowOff>63500</xdr:rowOff>
    </xdr:from>
    <xdr:to>
      <xdr:col>8</xdr:col>
      <xdr:colOff>1691640</xdr:colOff>
      <xdr:row>30</xdr:row>
      <xdr:rowOff>12700</xdr:rowOff>
    </xdr:to>
    <xdr:graphicFrame macro="">
      <xdr:nvGraphicFramePr>
        <xdr:cNvPr id="40" name="Chart 39">
          <a:extLst>
            <a:ext uri="{FF2B5EF4-FFF2-40B4-BE49-F238E27FC236}">
              <a16:creationId xmlns:a16="http://schemas.microsoft.com/office/drawing/2014/main" id="{2466F590-F50F-8A48-8841-E04B61CA3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31</xdr:row>
      <xdr:rowOff>63500</xdr:rowOff>
    </xdr:from>
    <xdr:to>
      <xdr:col>2</xdr:col>
      <xdr:colOff>2161540</xdr:colOff>
      <xdr:row>47</xdr:row>
      <xdr:rowOff>12700</xdr:rowOff>
    </xdr:to>
    <xdr:graphicFrame macro="">
      <xdr:nvGraphicFramePr>
        <xdr:cNvPr id="41" name="Chart 40">
          <a:extLst>
            <a:ext uri="{FF2B5EF4-FFF2-40B4-BE49-F238E27FC236}">
              <a16:creationId xmlns:a16="http://schemas.microsoft.com/office/drawing/2014/main" id="{B516F383-9A36-D64E-8AC0-16F00ECF8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2336800</xdr:colOff>
      <xdr:row>31</xdr:row>
      <xdr:rowOff>50800</xdr:rowOff>
    </xdr:from>
    <xdr:to>
      <xdr:col>4</xdr:col>
      <xdr:colOff>1905000</xdr:colOff>
      <xdr:row>47</xdr:row>
      <xdr:rowOff>0</xdr:rowOff>
    </xdr:to>
    <xdr:graphicFrame macro="">
      <xdr:nvGraphicFramePr>
        <xdr:cNvPr id="42" name="Chart 41">
          <a:extLst>
            <a:ext uri="{FF2B5EF4-FFF2-40B4-BE49-F238E27FC236}">
              <a16:creationId xmlns:a16="http://schemas.microsoft.com/office/drawing/2014/main" id="{8A3155E5-1054-6740-9484-A7AB33644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1965960</xdr:colOff>
      <xdr:row>31</xdr:row>
      <xdr:rowOff>76200</xdr:rowOff>
    </xdr:from>
    <xdr:to>
      <xdr:col>9</xdr:col>
      <xdr:colOff>0</xdr:colOff>
      <xdr:row>47</xdr:row>
      <xdr:rowOff>25400</xdr:rowOff>
    </xdr:to>
    <xdr:graphicFrame macro="">
      <xdr:nvGraphicFramePr>
        <xdr:cNvPr id="43" name="Chart 42">
          <a:extLst>
            <a:ext uri="{FF2B5EF4-FFF2-40B4-BE49-F238E27FC236}">
              <a16:creationId xmlns:a16="http://schemas.microsoft.com/office/drawing/2014/main" id="{F2046648-4D0F-0241-8944-C382C17BA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xdr:col>
      <xdr:colOff>2324100</xdr:colOff>
      <xdr:row>33</xdr:row>
      <xdr:rowOff>165100</xdr:rowOff>
    </xdr:from>
    <xdr:to>
      <xdr:col>6</xdr:col>
      <xdr:colOff>1549400</xdr:colOff>
      <xdr:row>46</xdr:row>
      <xdr:rowOff>50800</xdr:rowOff>
    </xdr:to>
    <mc:AlternateContent xmlns:mc="http://schemas.openxmlformats.org/markup-compatibility/2006">
      <mc:Choice xmlns:cx1="http://schemas.microsoft.com/office/drawing/2015/9/8/chartex" Requires="cx1">
        <xdr:graphicFrame macro="">
          <xdr:nvGraphicFramePr>
            <xdr:cNvPr id="44" name="Chart 43">
              <a:extLst>
                <a:ext uri="{FF2B5EF4-FFF2-40B4-BE49-F238E27FC236}">
                  <a16:creationId xmlns:a16="http://schemas.microsoft.com/office/drawing/2014/main" id="{337E5AAC-F46B-E54A-85FD-893747767C15}"/>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655300" y="6870700"/>
              <a:ext cx="4178300" cy="25273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fLocksWithSheet="0" fPrintsWithSheet="0"/>
  </xdr:twoCellAnchor>
  <xdr:twoCellAnchor>
    <xdr:from>
      <xdr:col>1</xdr:col>
      <xdr:colOff>0</xdr:colOff>
      <xdr:row>1</xdr:row>
      <xdr:rowOff>0</xdr:rowOff>
    </xdr:from>
    <xdr:to>
      <xdr:col>3</xdr:col>
      <xdr:colOff>116840</xdr:colOff>
      <xdr:row>6</xdr:row>
      <xdr:rowOff>81280</xdr:rowOff>
    </xdr:to>
    <xdr:sp macro="" textlink="">
      <xdr:nvSpPr>
        <xdr:cNvPr id="45" name="Rectangle 44">
          <a:extLst>
            <a:ext uri="{FF2B5EF4-FFF2-40B4-BE49-F238E27FC236}">
              <a16:creationId xmlns:a16="http://schemas.microsoft.com/office/drawing/2014/main" id="{AA2A5DC0-FE01-7847-863D-670A57FD574B}"/>
            </a:ext>
          </a:extLst>
        </xdr:cNvPr>
        <xdr:cNvSpPr/>
      </xdr:nvSpPr>
      <xdr:spPr>
        <a:xfrm>
          <a:off x="825500" y="203200"/>
          <a:ext cx="5120640" cy="1097280"/>
        </a:xfrm>
        <a:prstGeom prst="rect">
          <a:avLst/>
        </a:prstGeom>
        <a:solidFill>
          <a:srgbClr val="004DD6"/>
        </a:solidFill>
        <a:ln w="12700" cap="flat" cmpd="sng" algn="ctr">
          <a:solidFill>
            <a:srgbClr val="4472C4">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2800" b="1" i="0" u="none" strike="noStrike" kern="0" cap="none" spc="0" normalizeH="0" baseline="0" noProof="0">
              <a:ln>
                <a:solidFill>
                  <a:srgbClr val="004DD6"/>
                </a:solidFill>
              </a:ln>
              <a:solidFill>
                <a:sysClr val="window" lastClr="FFFFFF"/>
              </a:solidFill>
              <a:effectLst/>
              <a:uLnTx/>
              <a:uFillTx/>
              <a:latin typeface="Calibri" panose="020F0502020204030204"/>
              <a:ea typeface="+mn-ea"/>
              <a:cs typeface="+mn-cs"/>
            </a:rPr>
            <a:t>FINANCIAL PERFORMANCE DASHBOARD</a:t>
          </a:r>
        </a:p>
      </xdr:txBody>
    </xdr:sp>
    <xdr:clientData/>
  </xdr:twoCellAnchor>
  <xdr:twoCellAnchor>
    <xdr:from>
      <xdr:col>1</xdr:col>
      <xdr:colOff>0</xdr:colOff>
      <xdr:row>6</xdr:row>
      <xdr:rowOff>170180</xdr:rowOff>
    </xdr:from>
    <xdr:to>
      <xdr:col>2</xdr:col>
      <xdr:colOff>495808</xdr:colOff>
      <xdr:row>13</xdr:row>
      <xdr:rowOff>119380</xdr:rowOff>
    </xdr:to>
    <xdr:grpSp>
      <xdr:nvGrpSpPr>
        <xdr:cNvPr id="53" name="Group 52">
          <a:extLst>
            <a:ext uri="{FF2B5EF4-FFF2-40B4-BE49-F238E27FC236}">
              <a16:creationId xmlns:a16="http://schemas.microsoft.com/office/drawing/2014/main" id="{60020B2E-9C3C-765F-94A4-FBF14887CEF5}"/>
            </a:ext>
          </a:extLst>
        </xdr:cNvPr>
        <xdr:cNvGrpSpPr/>
      </xdr:nvGrpSpPr>
      <xdr:grpSpPr>
        <a:xfrm>
          <a:off x="820854" y="1378229"/>
          <a:ext cx="3004832" cy="1358590"/>
          <a:chOff x="832556" y="1355513"/>
          <a:chExt cx="2993474" cy="1332089"/>
        </a:xfrm>
      </xdr:grpSpPr>
      <xdr:sp macro="" textlink="">
        <xdr:nvSpPr>
          <xdr:cNvPr id="47" name="Rounded Rectangle 46">
            <a:extLst>
              <a:ext uri="{FF2B5EF4-FFF2-40B4-BE49-F238E27FC236}">
                <a16:creationId xmlns:a16="http://schemas.microsoft.com/office/drawing/2014/main" id="{EDC12BE4-A855-75DA-DBAE-00069DE0E288}"/>
              </a:ext>
            </a:extLst>
          </xdr:cNvPr>
          <xdr:cNvSpPr/>
        </xdr:nvSpPr>
        <xdr:spPr>
          <a:xfrm>
            <a:off x="832556" y="1355513"/>
            <a:ext cx="2993474" cy="1332089"/>
          </a:xfrm>
          <a:prstGeom prst="roundRect">
            <a:avLst/>
          </a:prstGeom>
          <a:solidFill>
            <a:sysClr val="window" lastClr="FFFFFF"/>
          </a:solidFill>
          <a:ln w="12700" cap="flat" cmpd="sng" algn="ctr">
            <a:solidFill>
              <a:sysClr val="window" lastClr="FFFFFF">
                <a:lumMod val="75000"/>
              </a:sys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48" name="TextBox 47">
            <a:extLst>
              <a:ext uri="{FF2B5EF4-FFF2-40B4-BE49-F238E27FC236}">
                <a16:creationId xmlns:a16="http://schemas.microsoft.com/office/drawing/2014/main" id="{A4AF9570-76CA-3348-9EA2-43F34A92DE22}"/>
              </a:ext>
            </a:extLst>
          </xdr:cNvPr>
          <xdr:cNvSpPr txBox="1"/>
        </xdr:nvSpPr>
        <xdr:spPr>
          <a:xfrm>
            <a:off x="1753780" y="1635031"/>
            <a:ext cx="1700837" cy="419361"/>
          </a:xfrm>
          <a:prstGeom prst="rect">
            <a:avLst/>
          </a:prstGeom>
          <a:noFill/>
          <a:ln w="9525" cmpd="sng">
            <a:noFill/>
          </a:ln>
          <a:effectLst/>
        </xdr:spPr>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rgbClr val="004DD6"/>
                </a:solidFill>
                <a:effectLst/>
                <a:uLnTx/>
                <a:uFillTx/>
                <a:latin typeface="Calibri" panose="020F0502020204030204"/>
                <a:ea typeface="+mn-ea"/>
                <a:cs typeface="+mn-cs"/>
              </a:rPr>
              <a:t>TOTAL</a:t>
            </a:r>
            <a:r>
              <a:rPr kumimoji="0" lang="en-GB" sz="1600" b="1" i="0" u="none" strike="noStrike" kern="0" cap="none" spc="0" normalizeH="0" baseline="0" noProof="0">
                <a:ln>
                  <a:noFill/>
                </a:ln>
                <a:solidFill>
                  <a:sysClr val="windowText" lastClr="000000"/>
                </a:solidFill>
                <a:effectLst/>
                <a:uLnTx/>
                <a:uFillTx/>
                <a:latin typeface="Calibri" panose="020F0502020204030204"/>
                <a:ea typeface="+mn-ea"/>
                <a:cs typeface="+mn-cs"/>
              </a:rPr>
              <a:t> </a:t>
            </a:r>
            <a:r>
              <a:rPr kumimoji="0" lang="en-GB" sz="1600" b="1" i="0" u="none" strike="noStrike" kern="0" cap="none" spc="0" normalizeH="0" baseline="0" noProof="0">
                <a:ln>
                  <a:noFill/>
                </a:ln>
                <a:solidFill>
                  <a:srgbClr val="004DD6"/>
                </a:solidFill>
                <a:effectLst/>
                <a:uLnTx/>
                <a:uFillTx/>
                <a:latin typeface="Calibri" panose="020F0502020204030204"/>
                <a:ea typeface="+mn-ea"/>
                <a:cs typeface="+mn-cs"/>
              </a:rPr>
              <a:t>SALES</a:t>
            </a:r>
          </a:p>
        </xdr:txBody>
      </xdr:sp>
      <xdr:sp macro="" textlink="Pivot!$A$4">
        <xdr:nvSpPr>
          <xdr:cNvPr id="49" name="TextBox 48">
            <a:extLst>
              <a:ext uri="{FF2B5EF4-FFF2-40B4-BE49-F238E27FC236}">
                <a16:creationId xmlns:a16="http://schemas.microsoft.com/office/drawing/2014/main" id="{DAC1838B-DB2D-AD38-7556-DD2C71295D85}"/>
              </a:ext>
            </a:extLst>
          </xdr:cNvPr>
          <xdr:cNvSpPr txBox="1"/>
        </xdr:nvSpPr>
        <xdr:spPr>
          <a:xfrm>
            <a:off x="1741182" y="2011928"/>
            <a:ext cx="1713436" cy="489255"/>
          </a:xfrm>
          <a:prstGeom prst="rect">
            <a:avLst/>
          </a:prstGeom>
          <a:noFill/>
          <a:ln w="9525" cmpd="sng">
            <a:noFill/>
          </a:ln>
          <a:effectLst/>
        </xdr:spPr>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F79BF600-5A3A-FA4C-84D9-1E3A704D2C40}" type="TxLink">
              <a:rPr kumimoji="0" lang="en-US" sz="2000" b="1" i="0" u="none" strike="noStrike" kern="0" cap="none" spc="0" normalizeH="0" baseline="0" noProof="0" smtClean="0">
                <a:ln>
                  <a:noFill/>
                </a:ln>
                <a:solidFill>
                  <a:srgbClr val="000000"/>
                </a:solidFill>
                <a:effectLst/>
                <a:uLnTx/>
                <a:uFillTx/>
                <a:latin typeface="Calibri"/>
                <a:ea typeface="+mn-ea"/>
                <a:cs typeface="Calibri"/>
              </a:rPr>
              <a:pPr marL="0" marR="0" lvl="0" indent="0" algn="l" defTabSz="914400" eaLnBrk="1" fontAlgn="auto" latinLnBrk="0" hangingPunct="1">
                <a:lnSpc>
                  <a:spcPct val="100000"/>
                </a:lnSpc>
                <a:spcBef>
                  <a:spcPts val="0"/>
                </a:spcBef>
                <a:spcAft>
                  <a:spcPts val="0"/>
                </a:spcAft>
                <a:buClrTx/>
                <a:buSzTx/>
                <a:buFontTx/>
                <a:buNone/>
                <a:tabLst/>
                <a:defRPr/>
              </a:pPr>
              <a:t>118.73M</a:t>
            </a:fld>
            <a:endParaRPr kumimoji="0" lang="en-GB" sz="20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sp macro="" textlink="">
        <xdr:nvSpPr>
          <xdr:cNvPr id="50" name="Oval 49">
            <a:extLst>
              <a:ext uri="{FF2B5EF4-FFF2-40B4-BE49-F238E27FC236}">
                <a16:creationId xmlns:a16="http://schemas.microsoft.com/office/drawing/2014/main" id="{92A982E2-0667-2469-4399-F7C17A1EF575}"/>
              </a:ext>
            </a:extLst>
          </xdr:cNvPr>
          <xdr:cNvSpPr/>
        </xdr:nvSpPr>
        <xdr:spPr>
          <a:xfrm>
            <a:off x="1035976" y="1700869"/>
            <a:ext cx="620914" cy="603880"/>
          </a:xfrm>
          <a:prstGeom prst="ellipse">
            <a:avLst/>
          </a:prstGeom>
          <a:solidFill>
            <a:srgbClr val="004DD6"/>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51" name="Graphic 50" descr="Bar chart with solid fill">
            <a:extLst>
              <a:ext uri="{FF2B5EF4-FFF2-40B4-BE49-F238E27FC236}">
                <a16:creationId xmlns:a16="http://schemas.microsoft.com/office/drawing/2014/main" id="{878B0347-7532-F249-DFC1-5C650A373CF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27157" y="1774874"/>
            <a:ext cx="440958" cy="415866"/>
          </a:xfrm>
          <a:prstGeom prst="rect">
            <a:avLst/>
          </a:prstGeom>
        </xdr:spPr>
      </xdr:pic>
    </xdr:grpSp>
    <xdr:clientData/>
  </xdr:twoCellAnchor>
  <xdr:twoCellAnchor>
    <xdr:from>
      <xdr:col>1</xdr:col>
      <xdr:colOff>0</xdr:colOff>
      <xdr:row>48</xdr:row>
      <xdr:rowOff>0</xdr:rowOff>
    </xdr:from>
    <xdr:to>
      <xdr:col>1</xdr:col>
      <xdr:colOff>1866900</xdr:colOff>
      <xdr:row>49</xdr:row>
      <xdr:rowOff>101600</xdr:rowOff>
    </xdr:to>
    <xdr:sp macro="" textlink="">
      <xdr:nvSpPr>
        <xdr:cNvPr id="52" name="Rectangle 51">
          <a:extLst>
            <a:ext uri="{FF2B5EF4-FFF2-40B4-BE49-F238E27FC236}">
              <a16:creationId xmlns:a16="http://schemas.microsoft.com/office/drawing/2014/main" id="{C0C2D9D5-B67A-F461-F87C-402D8F8BC879}"/>
            </a:ext>
          </a:extLst>
        </xdr:cNvPr>
        <xdr:cNvSpPr/>
      </xdr:nvSpPr>
      <xdr:spPr>
        <a:xfrm>
          <a:off x="825500" y="9753600"/>
          <a:ext cx="1866900" cy="304800"/>
        </a:xfrm>
        <a:prstGeom prst="rect">
          <a:avLst/>
        </a:prstGeom>
        <a:solidFill>
          <a:srgbClr val="004DD6"/>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GB" sz="1400" b="1">
              <a:solidFill>
                <a:schemeClr val="bg1"/>
              </a:solidFill>
            </a:rPr>
            <a:t>Top</a:t>
          </a:r>
          <a:r>
            <a:rPr lang="en-GB" sz="1400" b="1" baseline="0">
              <a:solidFill>
                <a:schemeClr val="bg1"/>
              </a:solidFill>
            </a:rPr>
            <a:t> Products By Profit</a:t>
          </a:r>
          <a:endParaRPr lang="en-GB" sz="1400" b="1">
            <a:solidFill>
              <a:schemeClr val="bg1"/>
            </a:solidFill>
          </a:endParaRPr>
        </a:p>
      </xdr:txBody>
    </xdr:sp>
    <xdr:clientData/>
  </xdr:twoCellAnchor>
  <xdr:twoCellAnchor>
    <xdr:from>
      <xdr:col>5</xdr:col>
      <xdr:colOff>965200</xdr:colOff>
      <xdr:row>31</xdr:row>
      <xdr:rowOff>190500</xdr:rowOff>
    </xdr:from>
    <xdr:to>
      <xdr:col>6</xdr:col>
      <xdr:colOff>660400</xdr:colOff>
      <xdr:row>33</xdr:row>
      <xdr:rowOff>25400</xdr:rowOff>
    </xdr:to>
    <xdr:sp macro="" textlink="">
      <xdr:nvSpPr>
        <xdr:cNvPr id="46" name="TextBox 45">
          <a:extLst>
            <a:ext uri="{FF2B5EF4-FFF2-40B4-BE49-F238E27FC236}">
              <a16:creationId xmlns:a16="http://schemas.microsoft.com/office/drawing/2014/main" id="{87024D9C-1812-C3F7-2214-840CF74FF427}"/>
            </a:ext>
          </a:extLst>
        </xdr:cNvPr>
        <xdr:cNvSpPr txBox="1"/>
      </xdr:nvSpPr>
      <xdr:spPr>
        <a:xfrm>
          <a:off x="11760200" y="6489700"/>
          <a:ext cx="2184400" cy="241300"/>
        </a:xfrm>
        <a:prstGeom prst="rect">
          <a:avLst/>
        </a:prstGeom>
        <a:solidFill>
          <a:srgbClr val="004DD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rPr>
            <a:t>Discount</a:t>
          </a:r>
          <a:r>
            <a:rPr lang="en-GB" sz="1400" b="1" baseline="0">
              <a:solidFill>
                <a:schemeClr val="bg1"/>
              </a:solidFill>
            </a:rPr>
            <a:t> Bend Distribution</a:t>
          </a:r>
          <a:endParaRPr lang="en-GB" sz="1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ta Bhadja" refreshedDate="46199.507375578702" createdVersion="8" refreshedVersion="8" minRefreshableVersion="3" recordCount="700" xr:uid="{673D3169-E830-864E-8AD8-E8F3244D04F0}">
  <cacheSource type="worksheet">
    <worksheetSource name="New_Finance_Data"/>
  </cacheSource>
  <cacheFields count="27">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 Product " numFmtId="0">
      <sharedItems count="6">
        <s v=" Carretera "/>
        <s v=" Montana "/>
        <s v=" Paseo "/>
        <s v=" Velo "/>
        <s v=" VTT "/>
        <s v=" Amarilla "/>
      </sharedItems>
    </cacheField>
    <cacheField name=" Discount Band " numFmtId="0">
      <sharedItems count="4">
        <s v=" None "/>
        <s v=" Low "/>
        <s v=" Medium "/>
        <s v=" High "/>
      </sharedItems>
    </cacheField>
    <cacheField name=" Units Sold " numFmtId="2">
      <sharedItems containsSemiMixedTypes="0" containsString="0" containsNumber="1" minValue="200" maxValue="4492.5"/>
    </cacheField>
    <cacheField name=" Manufacturing Price " numFmtId="2">
      <sharedItems containsSemiMixedTypes="0" containsString="0" containsNumber="1" containsInteger="1" minValue="3" maxValue="260"/>
    </cacheField>
    <cacheField name=" Sale Price " numFmtId="2">
      <sharedItems containsSemiMixedTypes="0" containsString="0" containsNumber="1" containsInteger="1" minValue="7" maxValue="350"/>
    </cacheField>
    <cacheField name=" Gross Sales " numFmtId="2">
      <sharedItems containsSemiMixedTypes="0" containsString="0" containsNumber="1" minValue="1799" maxValue="1207500"/>
    </cacheField>
    <cacheField name=" Discounts " numFmtId="166">
      <sharedItems containsSemiMixedTypes="0" containsString="0" containsNumber="1" minValue="0" maxValue="149677.5"/>
    </cacheField>
    <cacheField name="  Sales " numFmtId="2">
      <sharedItems containsSemiMixedTypes="0" containsString="0" containsNumber="1" minValue="1655.08" maxValue="1159200"/>
    </cacheField>
    <cacheField name=" COGS " numFmtId="2">
      <sharedItems containsSemiMixedTypes="0" containsString="0" containsNumber="1" minValue="918" maxValue="950625"/>
    </cacheField>
    <cacheField name=" Profit " numFmtId="166">
      <sharedItems containsSemiMixedTypes="0" containsString="0" containsNumber="1" minValue="-40617.5" maxValue="262200"/>
    </cacheField>
    <cacheField name="Date" numFmtId="165">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26"/>
    </cacheField>
    <cacheField name="Month Number" numFmtId="164">
      <sharedItems containsSemiMixedTypes="0" containsString="0" containsNumber="1" containsInteger="1" minValue="1" maxValue="12"/>
    </cacheField>
    <cacheField name=" Month Name " numFmtId="49">
      <sharedItems/>
    </cacheField>
    <cacheField name="Year" numFmtId="164">
      <sharedItems containsSemiMixedTypes="0" containsString="0" containsNumber="1" containsInteger="1" minValue="2013" maxValue="2014" count="2">
        <n v="2014"/>
        <n v="2013"/>
      </sharedItems>
    </cacheField>
    <cacheField name="Profit margin" numFmtId="10">
      <sharedItems containsSemiMixedTypes="0" containsString="0" containsNumber="1" minValue="-0.12941176470588237" maxValue="0.75"/>
    </cacheField>
    <cacheField name="Sales Category" numFmtId="0">
      <sharedItems/>
    </cacheField>
    <cacheField name="Error check" numFmtId="0">
      <sharedItems/>
    </cacheField>
    <cacheField name="month-year" numFmtId="0">
      <sharedItems/>
    </cacheField>
    <cacheField name="Profit Status" numFmtId="0">
      <sharedItems/>
    </cacheField>
    <cacheField name="Sales Size" numFmtId="0">
      <sharedItems/>
    </cacheField>
    <cacheField name="ISDate" numFmtId="0">
      <sharedItems/>
    </cacheField>
    <cacheField name="Profti Margin" numFmtId="0" formula="#NAME?/'  Sales '" databaseField="0"/>
    <cacheField name="Months (Date)" numFmtId="0" databaseField="0">
      <fieldGroup base="12">
        <rangePr groupBy="months" startDate="2013-09-01T00:00:00" endDate="2014-12-02T00:00:00"/>
        <groupItems count="14">
          <s v="&lt;01/09/13"/>
          <s v="Jan"/>
          <s v="Feb"/>
          <s v="Mar"/>
          <s v="Apr"/>
          <s v="May"/>
          <s v="Jun"/>
          <s v="Jul"/>
          <s v="Aug"/>
          <s v="Sep"/>
          <s v="Oct"/>
          <s v="Nov"/>
          <s v="Dec"/>
          <s v="&gt;02/12/14"/>
        </groupItems>
      </fieldGroup>
    </cacheField>
    <cacheField name="Quarters (Date)" numFmtId="0" databaseField="0">
      <fieldGroup base="12">
        <rangePr groupBy="quarters" startDate="2013-09-01T00:00:00" endDate="2014-12-02T00:00:00"/>
        <groupItems count="6">
          <s v="&lt;01/09/13"/>
          <s v="Qtr1"/>
          <s v="Qtr2"/>
          <s v="Qtr3"/>
          <s v="Qtr4"/>
          <s v="&gt;02/12/14"/>
        </groupItems>
      </fieldGroup>
    </cacheField>
    <cacheField name="Years (Date)" numFmtId="0" databaseField="0">
      <fieldGroup base="12">
        <rangePr groupBy="years" startDate="2013-09-01T00:00:00" endDate="2014-12-02T00:00:00"/>
        <groupItems count="4">
          <s v="&lt;01/09/13"/>
          <s v="2013"/>
          <s v="2014"/>
          <s v="&gt;02/12/14"/>
        </groupItems>
      </fieldGroup>
    </cacheField>
  </cacheFields>
  <extLst>
    <ext xmlns:x14="http://schemas.microsoft.com/office/spreadsheetml/2009/9/main" uri="{725AE2AE-9491-48be-B2B4-4EB974FC3084}">
      <x14:pivotCacheDefinition pivotCacheId="12620238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2370"/>
    <n v="0"/>
    <n v="32370"/>
    <n v="16185"/>
    <n v="16185"/>
    <x v="0"/>
    <n v="1"/>
    <s v=" January "/>
    <x v="0"/>
    <n v="0.5"/>
    <s v="Low"/>
    <s v="OK"/>
    <s v="Jan-2014"/>
    <s v="Profit"/>
    <s v="Low Sales"/>
    <b v="1"/>
  </r>
  <r>
    <x v="0"/>
    <x v="1"/>
    <x v="0"/>
    <x v="0"/>
    <n v="1321"/>
    <n v="3"/>
    <n v="20"/>
    <n v="26420"/>
    <n v="0"/>
    <n v="26420"/>
    <n v="13210"/>
    <n v="13210"/>
    <x v="0"/>
    <n v="1"/>
    <s v=" January "/>
    <x v="0"/>
    <n v="0.5"/>
    <s v="Low"/>
    <s v="OK"/>
    <s v="Jan-2014"/>
    <s v="Profit"/>
    <s v="Low Sales"/>
    <b v="1"/>
  </r>
  <r>
    <x v="1"/>
    <x v="2"/>
    <x v="0"/>
    <x v="0"/>
    <n v="2178"/>
    <n v="3"/>
    <n v="15"/>
    <n v="32670"/>
    <n v="0"/>
    <n v="32670"/>
    <n v="21780"/>
    <n v="10890"/>
    <x v="1"/>
    <n v="6"/>
    <s v=" June "/>
    <x v="0"/>
    <n v="0.33333333333333331"/>
    <s v="Low"/>
    <s v="OK"/>
    <s v="Jun-2014"/>
    <s v="Profit"/>
    <s v="Low Sales"/>
    <b v="1"/>
  </r>
  <r>
    <x v="1"/>
    <x v="1"/>
    <x v="0"/>
    <x v="0"/>
    <n v="888"/>
    <n v="3"/>
    <n v="15"/>
    <n v="13320"/>
    <n v="0"/>
    <n v="13320"/>
    <n v="8880"/>
    <n v="4440"/>
    <x v="1"/>
    <n v="6"/>
    <s v=" June "/>
    <x v="0"/>
    <n v="0.33333333333333331"/>
    <s v="Low"/>
    <s v="OK"/>
    <s v="Jun-2014"/>
    <s v="Profit"/>
    <s v="Low Sales"/>
    <b v="1"/>
  </r>
  <r>
    <x v="1"/>
    <x v="3"/>
    <x v="0"/>
    <x v="0"/>
    <n v="2470"/>
    <n v="3"/>
    <n v="15"/>
    <n v="37050"/>
    <n v="0"/>
    <n v="37050"/>
    <n v="24700"/>
    <n v="12350"/>
    <x v="1"/>
    <n v="6"/>
    <s v=" June "/>
    <x v="0"/>
    <n v="0.33333333333333331"/>
    <s v="Low"/>
    <s v="OK"/>
    <s v="Jun-2014"/>
    <s v="Profit"/>
    <s v="Low Sales"/>
    <b v="1"/>
  </r>
  <r>
    <x v="0"/>
    <x v="1"/>
    <x v="0"/>
    <x v="0"/>
    <n v="1513"/>
    <n v="3"/>
    <n v="350"/>
    <n v="529550"/>
    <n v="0"/>
    <n v="529550"/>
    <n v="393380"/>
    <n v="136170"/>
    <x v="2"/>
    <n v="12"/>
    <s v=" December "/>
    <x v="0"/>
    <n v="0.25714285714285712"/>
    <s v="High"/>
    <s v="OK"/>
    <s v="Dec-2014"/>
    <s v="Profit"/>
    <s v="High Sales"/>
    <b v="1"/>
  </r>
  <r>
    <x v="1"/>
    <x v="1"/>
    <x v="1"/>
    <x v="0"/>
    <n v="921"/>
    <n v="5"/>
    <n v="15"/>
    <n v="13815"/>
    <n v="0"/>
    <n v="13815"/>
    <n v="9210"/>
    <n v="4605"/>
    <x v="3"/>
    <n v="3"/>
    <s v=" March "/>
    <x v="0"/>
    <n v="0.33333333333333331"/>
    <s v="Low"/>
    <s v="OK"/>
    <s v="Mar-2014"/>
    <s v="Profit"/>
    <s v="Low Sales"/>
    <b v="1"/>
  </r>
  <r>
    <x v="2"/>
    <x v="0"/>
    <x v="1"/>
    <x v="0"/>
    <n v="2518"/>
    <n v="5"/>
    <n v="12"/>
    <n v="30216"/>
    <n v="0"/>
    <n v="30216"/>
    <n v="7554"/>
    <n v="22662"/>
    <x v="1"/>
    <n v="6"/>
    <s v=" June "/>
    <x v="0"/>
    <n v="0.75"/>
    <s v="Low"/>
    <s v="OK"/>
    <s v="Jun-2014"/>
    <s v="Profit"/>
    <s v="Low Sales"/>
    <b v="1"/>
  </r>
  <r>
    <x v="0"/>
    <x v="2"/>
    <x v="1"/>
    <x v="0"/>
    <n v="1899"/>
    <n v="5"/>
    <n v="20"/>
    <n v="37980"/>
    <n v="0"/>
    <n v="37980"/>
    <n v="18990"/>
    <n v="18990"/>
    <x v="1"/>
    <n v="6"/>
    <s v=" June "/>
    <x v="0"/>
    <n v="0.5"/>
    <s v="Low"/>
    <s v="OK"/>
    <s v="Jun-2014"/>
    <s v="Profit"/>
    <s v="Low Sales"/>
    <b v="1"/>
  </r>
  <r>
    <x v="2"/>
    <x v="1"/>
    <x v="1"/>
    <x v="0"/>
    <n v="1545"/>
    <n v="5"/>
    <n v="12"/>
    <n v="18540"/>
    <n v="0"/>
    <n v="18540"/>
    <n v="4635"/>
    <n v="13905"/>
    <x v="1"/>
    <n v="6"/>
    <s v=" June "/>
    <x v="0"/>
    <n v="0.75"/>
    <s v="Low"/>
    <s v="OK"/>
    <s v="Jun-2014"/>
    <s v="Profit"/>
    <s v="Low Sales"/>
    <b v="1"/>
  </r>
  <r>
    <x v="1"/>
    <x v="3"/>
    <x v="1"/>
    <x v="0"/>
    <n v="2470"/>
    <n v="5"/>
    <n v="15"/>
    <n v="37050"/>
    <n v="0"/>
    <n v="37050"/>
    <n v="24700"/>
    <n v="12350"/>
    <x v="1"/>
    <n v="6"/>
    <s v=" June "/>
    <x v="0"/>
    <n v="0.33333333333333331"/>
    <s v="Low"/>
    <s v="OK"/>
    <s v="Jun-2014"/>
    <s v="Profit"/>
    <s v="Low Sales"/>
    <b v="1"/>
  </r>
  <r>
    <x v="3"/>
    <x v="0"/>
    <x v="1"/>
    <x v="0"/>
    <n v="2665.5"/>
    <n v="5"/>
    <n v="125"/>
    <n v="333187.5"/>
    <n v="0"/>
    <n v="333187.5"/>
    <n v="319860"/>
    <n v="13327.5"/>
    <x v="4"/>
    <n v="7"/>
    <s v=" July "/>
    <x v="0"/>
    <n v="0.04"/>
    <s v="High"/>
    <s v="OK"/>
    <s v="Jul-2014"/>
    <s v="Profit"/>
    <s v="High Sales"/>
    <b v="1"/>
  </r>
  <r>
    <x v="4"/>
    <x v="3"/>
    <x v="1"/>
    <x v="0"/>
    <n v="958"/>
    <n v="5"/>
    <n v="300"/>
    <n v="287400"/>
    <n v="0"/>
    <n v="287400"/>
    <n v="239500"/>
    <n v="47900"/>
    <x v="5"/>
    <n v="8"/>
    <s v=" August "/>
    <x v="0"/>
    <n v="0.16666666666666666"/>
    <s v="High"/>
    <s v="OK"/>
    <s v="Aug-2014"/>
    <s v="Profit"/>
    <s v="High Sales"/>
    <b v="1"/>
  </r>
  <r>
    <x v="0"/>
    <x v="1"/>
    <x v="1"/>
    <x v="0"/>
    <n v="2146"/>
    <n v="5"/>
    <n v="7"/>
    <n v="15022"/>
    <n v="0"/>
    <n v="15022"/>
    <n v="10730"/>
    <n v="4292"/>
    <x v="6"/>
    <n v="9"/>
    <s v=" September "/>
    <x v="0"/>
    <n v="0.2857142857142857"/>
    <s v="Low"/>
    <s v="OK"/>
    <s v="Sep-2014"/>
    <s v="Profit"/>
    <s v="Low Sales"/>
    <b v="1"/>
  </r>
  <r>
    <x v="3"/>
    <x v="0"/>
    <x v="1"/>
    <x v="0"/>
    <n v="345"/>
    <n v="5"/>
    <n v="125"/>
    <n v="43125"/>
    <n v="0"/>
    <n v="43125"/>
    <n v="41400"/>
    <n v="1725"/>
    <x v="7"/>
    <n v="10"/>
    <s v=" October "/>
    <x v="1"/>
    <n v="0.04"/>
    <s v="Low"/>
    <s v="OK"/>
    <s v="Oct-2013"/>
    <s v="Profit"/>
    <s v="Low Sales"/>
    <b v="1"/>
  </r>
  <r>
    <x v="1"/>
    <x v="4"/>
    <x v="1"/>
    <x v="0"/>
    <n v="615"/>
    <n v="5"/>
    <n v="15"/>
    <n v="9225"/>
    <n v="0"/>
    <n v="9225"/>
    <n v="6150"/>
    <n v="3075"/>
    <x v="2"/>
    <n v="12"/>
    <s v=" December "/>
    <x v="0"/>
    <n v="0.33333333333333331"/>
    <s v="Low"/>
    <s v="OK"/>
    <s v="Dec-2014"/>
    <s v="Profit"/>
    <s v="Low Sales"/>
    <b v="1"/>
  </r>
  <r>
    <x v="0"/>
    <x v="0"/>
    <x v="2"/>
    <x v="0"/>
    <n v="292"/>
    <n v="10"/>
    <n v="20"/>
    <n v="5840"/>
    <n v="0"/>
    <n v="5840"/>
    <n v="2920"/>
    <n v="2920"/>
    <x v="8"/>
    <n v="2"/>
    <s v=" February "/>
    <x v="0"/>
    <n v="0.5"/>
    <s v="Low"/>
    <s v="OK"/>
    <s v="Feb-2014"/>
    <s v="Profit"/>
    <s v="Low Sales"/>
    <b v="1"/>
  </r>
  <r>
    <x v="1"/>
    <x v="3"/>
    <x v="2"/>
    <x v="0"/>
    <n v="974"/>
    <n v="10"/>
    <n v="15"/>
    <n v="14610"/>
    <n v="0"/>
    <n v="14610"/>
    <n v="9740"/>
    <n v="4870"/>
    <x v="8"/>
    <n v="2"/>
    <s v=" February "/>
    <x v="0"/>
    <n v="0.33333333333333331"/>
    <s v="Low"/>
    <s v="OK"/>
    <s v="Feb-2014"/>
    <s v="Profit"/>
    <s v="Low Sales"/>
    <b v="1"/>
  </r>
  <r>
    <x v="2"/>
    <x v="0"/>
    <x v="2"/>
    <x v="0"/>
    <n v="2518"/>
    <n v="10"/>
    <n v="12"/>
    <n v="30216"/>
    <n v="0"/>
    <n v="30216"/>
    <n v="7554"/>
    <n v="22662"/>
    <x v="1"/>
    <n v="6"/>
    <s v=" June "/>
    <x v="0"/>
    <n v="0.75"/>
    <s v="Low"/>
    <s v="OK"/>
    <s v="Jun-2014"/>
    <s v="Profit"/>
    <s v="Low Sales"/>
    <b v="1"/>
  </r>
  <r>
    <x v="0"/>
    <x v="1"/>
    <x v="2"/>
    <x v="0"/>
    <n v="1006"/>
    <n v="10"/>
    <n v="350"/>
    <n v="352100"/>
    <n v="0"/>
    <n v="352100"/>
    <n v="261560"/>
    <n v="90540"/>
    <x v="1"/>
    <n v="6"/>
    <s v=" June "/>
    <x v="0"/>
    <n v="0.25714285714285712"/>
    <s v="High"/>
    <s v="OK"/>
    <s v="Jun-2014"/>
    <s v="Profit"/>
    <s v="High Sales"/>
    <b v="1"/>
  </r>
  <r>
    <x v="2"/>
    <x v="1"/>
    <x v="2"/>
    <x v="0"/>
    <n v="367"/>
    <n v="10"/>
    <n v="12"/>
    <n v="4404"/>
    <n v="0"/>
    <n v="4404"/>
    <n v="1101"/>
    <n v="3303"/>
    <x v="4"/>
    <n v="7"/>
    <s v=" July "/>
    <x v="0"/>
    <n v="0.75"/>
    <s v="Low"/>
    <s v="OK"/>
    <s v="Jul-2014"/>
    <s v="Profit"/>
    <s v="Low Sales"/>
    <b v="1"/>
  </r>
  <r>
    <x v="0"/>
    <x v="3"/>
    <x v="2"/>
    <x v="0"/>
    <n v="883"/>
    <n v="10"/>
    <n v="7"/>
    <n v="6181"/>
    <n v="0"/>
    <n v="6181"/>
    <n v="4415"/>
    <n v="1766"/>
    <x v="5"/>
    <n v="8"/>
    <s v=" August "/>
    <x v="0"/>
    <n v="0.2857142857142857"/>
    <s v="Low"/>
    <s v="OK"/>
    <s v="Aug-2014"/>
    <s v="Profit"/>
    <s v="Low Sales"/>
    <b v="1"/>
  </r>
  <r>
    <x v="1"/>
    <x v="2"/>
    <x v="2"/>
    <x v="0"/>
    <n v="549"/>
    <n v="10"/>
    <n v="15"/>
    <n v="8235"/>
    <n v="0"/>
    <n v="8235"/>
    <n v="5490"/>
    <n v="2745"/>
    <x v="9"/>
    <n v="9"/>
    <s v=" September "/>
    <x v="1"/>
    <n v="0.33333333333333331"/>
    <s v="Low"/>
    <s v="OK"/>
    <s v="Sep-2013"/>
    <s v="Profit"/>
    <s v="Low Sales"/>
    <b v="1"/>
  </r>
  <r>
    <x v="4"/>
    <x v="3"/>
    <x v="2"/>
    <x v="0"/>
    <n v="788"/>
    <n v="10"/>
    <n v="300"/>
    <n v="236400"/>
    <n v="0"/>
    <n v="236400"/>
    <n v="197000"/>
    <n v="39400"/>
    <x v="9"/>
    <n v="9"/>
    <s v=" September "/>
    <x v="1"/>
    <n v="0.16666666666666666"/>
    <s v="High"/>
    <s v="OK"/>
    <s v="Sep-2013"/>
    <s v="Profit"/>
    <s v="High Sales"/>
    <b v="1"/>
  </r>
  <r>
    <x v="1"/>
    <x v="3"/>
    <x v="2"/>
    <x v="0"/>
    <n v="2472"/>
    <n v="10"/>
    <n v="15"/>
    <n v="37080"/>
    <n v="0"/>
    <n v="37080"/>
    <n v="24720"/>
    <n v="12360"/>
    <x v="6"/>
    <n v="9"/>
    <s v=" September "/>
    <x v="0"/>
    <n v="0.33333333333333331"/>
    <s v="Low"/>
    <s v="OK"/>
    <s v="Sep-2014"/>
    <s v="Profit"/>
    <s v="Low Sales"/>
    <b v="1"/>
  </r>
  <r>
    <x v="0"/>
    <x v="4"/>
    <x v="2"/>
    <x v="0"/>
    <n v="1143"/>
    <n v="10"/>
    <n v="7"/>
    <n v="8001"/>
    <n v="0"/>
    <n v="8001"/>
    <n v="5715"/>
    <n v="2286"/>
    <x v="10"/>
    <n v="10"/>
    <s v=" October "/>
    <x v="0"/>
    <n v="0.2857142857142857"/>
    <s v="Low"/>
    <s v="OK"/>
    <s v="Oct-2014"/>
    <s v="Profit"/>
    <s v="Low Sales"/>
    <b v="1"/>
  </r>
  <r>
    <x v="0"/>
    <x v="0"/>
    <x v="2"/>
    <x v="0"/>
    <n v="1725"/>
    <n v="10"/>
    <n v="350"/>
    <n v="603750"/>
    <n v="0"/>
    <n v="603750"/>
    <n v="448500"/>
    <n v="155250"/>
    <x v="11"/>
    <n v="11"/>
    <s v=" November "/>
    <x v="1"/>
    <n v="0.25714285714285712"/>
    <s v="High"/>
    <s v="OK"/>
    <s v="Nov-2013"/>
    <s v="Profit"/>
    <s v="High Sales"/>
    <b v="1"/>
  </r>
  <r>
    <x v="2"/>
    <x v="4"/>
    <x v="2"/>
    <x v="0"/>
    <n v="912"/>
    <n v="10"/>
    <n v="12"/>
    <n v="10944"/>
    <n v="0"/>
    <n v="10944"/>
    <n v="2736"/>
    <n v="8208"/>
    <x v="11"/>
    <n v="11"/>
    <s v=" November "/>
    <x v="1"/>
    <n v="0.75"/>
    <s v="Low"/>
    <s v="OK"/>
    <s v="Nov-2013"/>
    <s v="Profit"/>
    <s v="Low Sales"/>
    <b v="1"/>
  </r>
  <r>
    <x v="1"/>
    <x v="0"/>
    <x v="2"/>
    <x v="0"/>
    <n v="2152"/>
    <n v="10"/>
    <n v="15"/>
    <n v="32280"/>
    <n v="0"/>
    <n v="32280"/>
    <n v="21520"/>
    <n v="10760"/>
    <x v="12"/>
    <n v="12"/>
    <s v=" December "/>
    <x v="1"/>
    <n v="0.33333333333333331"/>
    <s v="Low"/>
    <s v="OK"/>
    <s v="Dec-2013"/>
    <s v="Profit"/>
    <s v="Low Sales"/>
    <b v="1"/>
  </r>
  <r>
    <x v="0"/>
    <x v="0"/>
    <x v="2"/>
    <x v="0"/>
    <n v="1817"/>
    <n v="10"/>
    <n v="20"/>
    <n v="36340"/>
    <n v="0"/>
    <n v="36340"/>
    <n v="18170"/>
    <n v="18170"/>
    <x v="2"/>
    <n v="12"/>
    <s v=" December "/>
    <x v="0"/>
    <n v="0.5"/>
    <s v="Low"/>
    <s v="OK"/>
    <s v="Dec-2014"/>
    <s v="Profit"/>
    <s v="Low Sales"/>
    <b v="1"/>
  </r>
  <r>
    <x v="0"/>
    <x v="1"/>
    <x v="2"/>
    <x v="0"/>
    <n v="1513"/>
    <n v="10"/>
    <n v="350"/>
    <n v="529550"/>
    <n v="0"/>
    <n v="529550"/>
    <n v="393380"/>
    <n v="136170"/>
    <x v="2"/>
    <n v="12"/>
    <s v=" December "/>
    <x v="0"/>
    <n v="0.25714285714285712"/>
    <s v="High"/>
    <s v="OK"/>
    <s v="Dec-2014"/>
    <s v="Profit"/>
    <s v="High Sales"/>
    <b v="1"/>
  </r>
  <r>
    <x v="0"/>
    <x v="3"/>
    <x v="3"/>
    <x v="0"/>
    <n v="1493"/>
    <n v="120"/>
    <n v="7"/>
    <n v="10451"/>
    <n v="0"/>
    <n v="10451"/>
    <n v="7465"/>
    <n v="2986"/>
    <x v="0"/>
    <n v="1"/>
    <s v=" January "/>
    <x v="0"/>
    <n v="0.2857142857142857"/>
    <s v="Low"/>
    <s v="OK"/>
    <s v="Jan-2014"/>
    <s v="Profit"/>
    <s v="Low Sales"/>
    <b v="1"/>
  </r>
  <r>
    <x v="3"/>
    <x v="2"/>
    <x v="3"/>
    <x v="0"/>
    <n v="1804"/>
    <n v="120"/>
    <n v="125"/>
    <n v="225500"/>
    <n v="0"/>
    <n v="225500"/>
    <n v="216480"/>
    <n v="9020"/>
    <x v="8"/>
    <n v="2"/>
    <s v=" February "/>
    <x v="0"/>
    <n v="0.04"/>
    <s v="High"/>
    <s v="OK"/>
    <s v="Feb-2014"/>
    <s v="Profit"/>
    <s v="High Sales"/>
    <b v="1"/>
  </r>
  <r>
    <x v="2"/>
    <x v="1"/>
    <x v="3"/>
    <x v="0"/>
    <n v="2161"/>
    <n v="120"/>
    <n v="12"/>
    <n v="25932"/>
    <n v="0"/>
    <n v="25932"/>
    <n v="6483"/>
    <n v="19449"/>
    <x v="3"/>
    <n v="3"/>
    <s v=" March "/>
    <x v="0"/>
    <n v="0.75"/>
    <s v="Low"/>
    <s v="OK"/>
    <s v="Mar-2014"/>
    <s v="Profit"/>
    <s v="Low Sales"/>
    <b v="1"/>
  </r>
  <r>
    <x v="0"/>
    <x v="1"/>
    <x v="3"/>
    <x v="0"/>
    <n v="1006"/>
    <n v="120"/>
    <n v="350"/>
    <n v="352100"/>
    <n v="0"/>
    <n v="352100"/>
    <n v="261560"/>
    <n v="90540"/>
    <x v="1"/>
    <n v="6"/>
    <s v=" June "/>
    <x v="0"/>
    <n v="0.25714285714285712"/>
    <s v="High"/>
    <s v="OK"/>
    <s v="Jun-2014"/>
    <s v="Profit"/>
    <s v="High Sales"/>
    <b v="1"/>
  </r>
  <r>
    <x v="2"/>
    <x v="1"/>
    <x v="3"/>
    <x v="0"/>
    <n v="1545"/>
    <n v="120"/>
    <n v="12"/>
    <n v="18540"/>
    <n v="0"/>
    <n v="18540"/>
    <n v="4635"/>
    <n v="13905"/>
    <x v="1"/>
    <n v="6"/>
    <s v=" June "/>
    <x v="0"/>
    <n v="0.75"/>
    <s v="Low"/>
    <s v="OK"/>
    <s v="Jun-2014"/>
    <s v="Profit"/>
    <s v="Low Sales"/>
    <b v="1"/>
  </r>
  <r>
    <x v="3"/>
    <x v="4"/>
    <x v="3"/>
    <x v="0"/>
    <n v="2821"/>
    <n v="120"/>
    <n v="125"/>
    <n v="352625"/>
    <n v="0"/>
    <n v="352625"/>
    <n v="338520"/>
    <n v="14105"/>
    <x v="5"/>
    <n v="8"/>
    <s v=" August "/>
    <x v="0"/>
    <n v="0.04"/>
    <s v="High"/>
    <s v="OK"/>
    <s v="Aug-2014"/>
    <s v="Profit"/>
    <s v="High Sales"/>
    <b v="1"/>
  </r>
  <r>
    <x v="3"/>
    <x v="0"/>
    <x v="3"/>
    <x v="0"/>
    <n v="345"/>
    <n v="120"/>
    <n v="125"/>
    <n v="43125"/>
    <n v="0"/>
    <n v="43125"/>
    <n v="41400"/>
    <n v="1725"/>
    <x v="7"/>
    <n v="10"/>
    <s v=" October "/>
    <x v="1"/>
    <n v="0.04"/>
    <s v="Low"/>
    <s v="OK"/>
    <s v="Oct-2013"/>
    <s v="Profit"/>
    <s v="Low Sales"/>
    <b v="1"/>
  </r>
  <r>
    <x v="4"/>
    <x v="0"/>
    <x v="4"/>
    <x v="0"/>
    <n v="2001"/>
    <n v="250"/>
    <n v="300"/>
    <n v="600300"/>
    <n v="0"/>
    <n v="600300"/>
    <n v="500250"/>
    <n v="100050"/>
    <x v="8"/>
    <n v="2"/>
    <s v=" February "/>
    <x v="0"/>
    <n v="0.16666666666666666"/>
    <s v="High"/>
    <s v="OK"/>
    <s v="Feb-2014"/>
    <s v="Profit"/>
    <s v="High Sales"/>
    <b v="1"/>
  </r>
  <r>
    <x v="2"/>
    <x v="1"/>
    <x v="4"/>
    <x v="0"/>
    <n v="2838"/>
    <n v="250"/>
    <n v="12"/>
    <n v="34056"/>
    <n v="0"/>
    <n v="34056"/>
    <n v="8514"/>
    <n v="25542"/>
    <x v="13"/>
    <n v="4"/>
    <s v=" April "/>
    <x v="0"/>
    <n v="0.75"/>
    <s v="Low"/>
    <s v="OK"/>
    <s v="Apr-2014"/>
    <s v="Profit"/>
    <s v="Low Sales"/>
    <b v="1"/>
  </r>
  <r>
    <x v="1"/>
    <x v="2"/>
    <x v="4"/>
    <x v="0"/>
    <n v="2178"/>
    <n v="250"/>
    <n v="15"/>
    <n v="32670"/>
    <n v="0"/>
    <n v="32670"/>
    <n v="21780"/>
    <n v="10890"/>
    <x v="1"/>
    <n v="6"/>
    <s v=" June "/>
    <x v="0"/>
    <n v="0.33333333333333331"/>
    <s v="Low"/>
    <s v="OK"/>
    <s v="Jun-2014"/>
    <s v="Profit"/>
    <s v="Low Sales"/>
    <b v="1"/>
  </r>
  <r>
    <x v="1"/>
    <x v="1"/>
    <x v="4"/>
    <x v="0"/>
    <n v="888"/>
    <n v="250"/>
    <n v="15"/>
    <n v="13320"/>
    <n v="0"/>
    <n v="13320"/>
    <n v="8880"/>
    <n v="4440"/>
    <x v="1"/>
    <n v="6"/>
    <s v=" June "/>
    <x v="0"/>
    <n v="0.33333333333333331"/>
    <s v="Low"/>
    <s v="OK"/>
    <s v="Jun-2014"/>
    <s v="Profit"/>
    <s v="Low Sales"/>
    <b v="1"/>
  </r>
  <r>
    <x v="0"/>
    <x v="2"/>
    <x v="4"/>
    <x v="0"/>
    <n v="1527"/>
    <n v="250"/>
    <n v="350"/>
    <n v="534450"/>
    <n v="0"/>
    <n v="534450"/>
    <n v="397020"/>
    <n v="137430"/>
    <x v="9"/>
    <n v="9"/>
    <s v=" September "/>
    <x v="1"/>
    <n v="0.25714285714285712"/>
    <s v="High"/>
    <s v="OK"/>
    <s v="Sep-2013"/>
    <s v="Profit"/>
    <s v="High Sales"/>
    <b v="1"/>
  </r>
  <r>
    <x v="4"/>
    <x v="2"/>
    <x v="4"/>
    <x v="0"/>
    <n v="2151"/>
    <n v="250"/>
    <n v="300"/>
    <n v="645300"/>
    <n v="0"/>
    <n v="645300"/>
    <n v="537750"/>
    <n v="107550"/>
    <x v="6"/>
    <n v="9"/>
    <s v=" September "/>
    <x v="0"/>
    <n v="0.16666666666666666"/>
    <s v="High"/>
    <s v="OK"/>
    <s v="Sep-2014"/>
    <s v="Profit"/>
    <s v="High Sales"/>
    <b v="1"/>
  </r>
  <r>
    <x v="0"/>
    <x v="0"/>
    <x v="4"/>
    <x v="0"/>
    <n v="1817"/>
    <n v="250"/>
    <n v="20"/>
    <n v="36340"/>
    <n v="0"/>
    <n v="36340"/>
    <n v="18170"/>
    <n v="18170"/>
    <x v="2"/>
    <n v="12"/>
    <s v=" December "/>
    <x v="0"/>
    <n v="0.5"/>
    <s v="Low"/>
    <s v="OK"/>
    <s v="Dec-2014"/>
    <s v="Profit"/>
    <s v="Low Sales"/>
    <b v="1"/>
  </r>
  <r>
    <x v="0"/>
    <x v="2"/>
    <x v="5"/>
    <x v="0"/>
    <n v="2750"/>
    <n v="260"/>
    <n v="350"/>
    <n v="962500"/>
    <n v="0"/>
    <n v="962500"/>
    <n v="715000"/>
    <n v="247500"/>
    <x v="8"/>
    <n v="2"/>
    <s v=" February "/>
    <x v="0"/>
    <n v="0.25714285714285712"/>
    <s v="High"/>
    <s v="OK"/>
    <s v="Feb-2014"/>
    <s v="Profit"/>
    <s v="High Sales"/>
    <b v="1"/>
  </r>
  <r>
    <x v="2"/>
    <x v="4"/>
    <x v="5"/>
    <x v="0"/>
    <n v="1953"/>
    <n v="260"/>
    <n v="12"/>
    <n v="23436"/>
    <n v="0"/>
    <n v="23436"/>
    <n v="5859"/>
    <n v="17577"/>
    <x v="13"/>
    <n v="4"/>
    <s v=" April "/>
    <x v="0"/>
    <n v="0.75"/>
    <s v="Low"/>
    <s v="OK"/>
    <s v="Apr-2014"/>
    <s v="Profit"/>
    <s v="Low Sales"/>
    <b v="1"/>
  </r>
  <r>
    <x v="3"/>
    <x v="1"/>
    <x v="5"/>
    <x v="0"/>
    <n v="4219.5"/>
    <n v="260"/>
    <n v="125"/>
    <n v="527437.5"/>
    <n v="0"/>
    <n v="527437.5"/>
    <n v="506340"/>
    <n v="21097.5"/>
    <x v="13"/>
    <n v="4"/>
    <s v=" April "/>
    <x v="0"/>
    <n v="0.04"/>
    <s v="High"/>
    <s v="OK"/>
    <s v="Apr-2014"/>
    <s v="Profit"/>
    <s v="High Sales"/>
    <b v="1"/>
  </r>
  <r>
    <x v="0"/>
    <x v="2"/>
    <x v="5"/>
    <x v="0"/>
    <n v="1899"/>
    <n v="260"/>
    <n v="20"/>
    <n v="37980"/>
    <n v="0"/>
    <n v="37980"/>
    <n v="18990"/>
    <n v="18990"/>
    <x v="1"/>
    <n v="6"/>
    <s v=" June "/>
    <x v="0"/>
    <n v="0.5"/>
    <s v="Low"/>
    <s v="OK"/>
    <s v="Jun-2014"/>
    <s v="Profit"/>
    <s v="Low Sales"/>
    <b v="1"/>
  </r>
  <r>
    <x v="0"/>
    <x v="1"/>
    <x v="5"/>
    <x v="0"/>
    <n v="1686"/>
    <n v="260"/>
    <n v="7"/>
    <n v="11802"/>
    <n v="0"/>
    <n v="11802"/>
    <n v="8430"/>
    <n v="3372"/>
    <x v="4"/>
    <n v="7"/>
    <s v=" July "/>
    <x v="0"/>
    <n v="0.2857142857142857"/>
    <s v="Low"/>
    <s v="OK"/>
    <s v="Jul-2014"/>
    <s v="Profit"/>
    <s v="Low Sales"/>
    <b v="1"/>
  </r>
  <r>
    <x v="2"/>
    <x v="4"/>
    <x v="5"/>
    <x v="0"/>
    <n v="2141"/>
    <n v="260"/>
    <n v="12"/>
    <n v="25692"/>
    <n v="0"/>
    <n v="25692"/>
    <n v="6423"/>
    <n v="19269"/>
    <x v="5"/>
    <n v="8"/>
    <s v=" August "/>
    <x v="0"/>
    <n v="0.75"/>
    <s v="Low"/>
    <s v="OK"/>
    <s v="Aug-2014"/>
    <s v="Profit"/>
    <s v="Low Sales"/>
    <b v="1"/>
  </r>
  <r>
    <x v="0"/>
    <x v="4"/>
    <x v="5"/>
    <x v="0"/>
    <n v="1143"/>
    <n v="260"/>
    <n v="7"/>
    <n v="8001"/>
    <n v="0"/>
    <n v="8001"/>
    <n v="5715"/>
    <n v="2286"/>
    <x v="10"/>
    <n v="10"/>
    <s v=" October "/>
    <x v="0"/>
    <n v="0.2857142857142857"/>
    <s v="Low"/>
    <s v="OK"/>
    <s v="Oct-2014"/>
    <s v="Profit"/>
    <s v="Low Sales"/>
    <b v="1"/>
  </r>
  <r>
    <x v="1"/>
    <x v="4"/>
    <x v="5"/>
    <x v="0"/>
    <n v="615"/>
    <n v="260"/>
    <n v="15"/>
    <n v="9225"/>
    <n v="0"/>
    <n v="9225"/>
    <n v="6150"/>
    <n v="3075"/>
    <x v="2"/>
    <n v="12"/>
    <s v=" December "/>
    <x v="0"/>
    <n v="0.33333333333333331"/>
    <s v="Low"/>
    <s v="OK"/>
    <s v="Dec-2014"/>
    <s v="Profit"/>
    <s v="Low Sales"/>
    <b v="1"/>
  </r>
  <r>
    <x v="0"/>
    <x v="2"/>
    <x v="2"/>
    <x v="1"/>
    <n v="3945"/>
    <n v="10"/>
    <n v="7"/>
    <n v="27615"/>
    <n v="276.14999999999998"/>
    <n v="27338.85"/>
    <n v="19725"/>
    <n v="7613.85"/>
    <x v="0"/>
    <n v="1"/>
    <s v=" January "/>
    <x v="0"/>
    <n v="0.27849927849927852"/>
    <s v="Low"/>
    <s v="OK"/>
    <s v="Jan-2014"/>
    <s v="Profit"/>
    <s v="Low Sales"/>
    <b v="1"/>
  </r>
  <r>
    <x v="1"/>
    <x v="2"/>
    <x v="2"/>
    <x v="1"/>
    <n v="2296"/>
    <n v="10"/>
    <n v="15"/>
    <n v="34440"/>
    <n v="344.4"/>
    <n v="34095.599999999999"/>
    <n v="22960"/>
    <n v="11135.6"/>
    <x v="8"/>
    <n v="2"/>
    <s v=" February "/>
    <x v="0"/>
    <n v="0.32659932659932661"/>
    <s v="Low"/>
    <s v="OK"/>
    <s v="Feb-2014"/>
    <s v="Profit"/>
    <s v="Low Sales"/>
    <b v="1"/>
  </r>
  <r>
    <x v="0"/>
    <x v="2"/>
    <x v="2"/>
    <x v="1"/>
    <n v="1030"/>
    <n v="10"/>
    <n v="7"/>
    <n v="7210"/>
    <n v="72.099999999999994"/>
    <n v="7137.9"/>
    <n v="5150"/>
    <n v="1987.9"/>
    <x v="14"/>
    <n v="5"/>
    <s v=" May "/>
    <x v="0"/>
    <n v="0.27849927849927852"/>
    <s v="Low"/>
    <s v="OK"/>
    <s v="May-2014"/>
    <s v="Profit"/>
    <s v="Low Sales"/>
    <b v="1"/>
  </r>
  <r>
    <x v="0"/>
    <x v="2"/>
    <x v="3"/>
    <x v="1"/>
    <n v="639"/>
    <n v="120"/>
    <n v="7"/>
    <n v="4473"/>
    <n v="44.73"/>
    <n v="4428.2700000000004"/>
    <n v="3195"/>
    <n v="1233.27"/>
    <x v="15"/>
    <n v="11"/>
    <s v=" November "/>
    <x v="0"/>
    <n v="0.27849927849927847"/>
    <s v="Low"/>
    <s v="OK"/>
    <s v="Nov-2014"/>
    <s v="Profit"/>
    <s v="Low Sales"/>
    <b v="1"/>
  </r>
  <r>
    <x v="0"/>
    <x v="0"/>
    <x v="4"/>
    <x v="1"/>
    <n v="1326"/>
    <n v="250"/>
    <n v="7"/>
    <n v="9282"/>
    <n v="92.82"/>
    <n v="9189.18"/>
    <n v="6630"/>
    <n v="2559.1799999999998"/>
    <x v="3"/>
    <n v="3"/>
    <s v=" March "/>
    <x v="0"/>
    <n v="0.27849927849927847"/>
    <s v="Low"/>
    <s v="OK"/>
    <s v="Mar-2014"/>
    <s v="Profit"/>
    <s v="Low Sales"/>
    <b v="1"/>
  </r>
  <r>
    <x v="2"/>
    <x v="4"/>
    <x v="0"/>
    <x v="1"/>
    <n v="1858"/>
    <n v="3"/>
    <n v="12"/>
    <n v="22296"/>
    <n v="222.96"/>
    <n v="22073.040000000001"/>
    <n v="5574"/>
    <n v="16499.04"/>
    <x v="8"/>
    <n v="2"/>
    <s v=" February "/>
    <x v="0"/>
    <n v="0.74747474747474751"/>
    <s v="Low"/>
    <s v="OK"/>
    <s v="Feb-2014"/>
    <s v="Profit"/>
    <s v="Low Sales"/>
    <b v="1"/>
  </r>
  <r>
    <x v="0"/>
    <x v="3"/>
    <x v="0"/>
    <x v="1"/>
    <n v="1210"/>
    <n v="3"/>
    <n v="350"/>
    <n v="423500"/>
    <n v="4235"/>
    <n v="419265"/>
    <n v="314600"/>
    <n v="104665"/>
    <x v="3"/>
    <n v="3"/>
    <s v=" March "/>
    <x v="0"/>
    <n v="0.24963924963924963"/>
    <s v="High"/>
    <s v="OK"/>
    <s v="Mar-2014"/>
    <s v="Profit"/>
    <s v="High Sales"/>
    <b v="1"/>
  </r>
  <r>
    <x v="0"/>
    <x v="4"/>
    <x v="0"/>
    <x v="1"/>
    <n v="2529"/>
    <n v="3"/>
    <n v="7"/>
    <n v="17703"/>
    <n v="177.03"/>
    <n v="17525.97"/>
    <n v="12645"/>
    <n v="4880.97"/>
    <x v="4"/>
    <n v="7"/>
    <s v=" July "/>
    <x v="0"/>
    <n v="0.27849927849927847"/>
    <s v="Low"/>
    <s v="OK"/>
    <s v="Jul-2014"/>
    <s v="Profit"/>
    <s v="Low Sales"/>
    <b v="1"/>
  </r>
  <r>
    <x v="2"/>
    <x v="0"/>
    <x v="0"/>
    <x v="1"/>
    <n v="1445"/>
    <n v="3"/>
    <n v="12"/>
    <n v="17340"/>
    <n v="173.4"/>
    <n v="17166.599999999999"/>
    <n v="4335"/>
    <n v="12831.6"/>
    <x v="6"/>
    <n v="9"/>
    <s v=" September "/>
    <x v="0"/>
    <n v="0.74747474747474751"/>
    <s v="Low"/>
    <s v="OK"/>
    <s v="Sep-2014"/>
    <s v="Profit"/>
    <s v="Low Sales"/>
    <b v="1"/>
  </r>
  <r>
    <x v="3"/>
    <x v="4"/>
    <x v="0"/>
    <x v="1"/>
    <n v="330"/>
    <n v="3"/>
    <n v="125"/>
    <n v="41250"/>
    <n v="412.5"/>
    <n v="40837.5"/>
    <n v="39600"/>
    <n v="1237.5"/>
    <x v="9"/>
    <n v="9"/>
    <s v=" September "/>
    <x v="1"/>
    <n v="3.0303030303030304E-2"/>
    <s v="Low"/>
    <s v="OK"/>
    <s v="Sep-2013"/>
    <s v="Profit"/>
    <s v="Low Sales"/>
    <b v="1"/>
  </r>
  <r>
    <x v="2"/>
    <x v="2"/>
    <x v="0"/>
    <x v="1"/>
    <n v="2671"/>
    <n v="3"/>
    <n v="12"/>
    <n v="32052"/>
    <n v="320.52"/>
    <n v="31731.48"/>
    <n v="8013"/>
    <n v="23718.48"/>
    <x v="6"/>
    <n v="9"/>
    <s v=" September "/>
    <x v="0"/>
    <n v="0.74747474747474751"/>
    <s v="Low"/>
    <s v="OK"/>
    <s v="Sep-2014"/>
    <s v="Profit"/>
    <s v="Low Sales"/>
    <b v="1"/>
  </r>
  <r>
    <x v="2"/>
    <x v="1"/>
    <x v="0"/>
    <x v="1"/>
    <n v="766"/>
    <n v="3"/>
    <n v="12"/>
    <n v="9192"/>
    <n v="91.92"/>
    <n v="9100.08"/>
    <n v="2298"/>
    <n v="6802.08"/>
    <x v="7"/>
    <n v="10"/>
    <s v=" October "/>
    <x v="1"/>
    <n v="0.74747474747474751"/>
    <s v="Low"/>
    <s v="OK"/>
    <s v="Oct-2013"/>
    <s v="Profit"/>
    <s v="Low Sales"/>
    <b v="1"/>
  </r>
  <r>
    <x v="4"/>
    <x v="3"/>
    <x v="0"/>
    <x v="1"/>
    <n v="494"/>
    <n v="3"/>
    <n v="300"/>
    <n v="148200"/>
    <n v="1482"/>
    <n v="146718"/>
    <n v="123500"/>
    <n v="23218"/>
    <x v="7"/>
    <n v="10"/>
    <s v=" October "/>
    <x v="1"/>
    <n v="0.15824915824915825"/>
    <s v="High"/>
    <s v="OK"/>
    <s v="Oct-2013"/>
    <s v="Profit"/>
    <s v="High Sales"/>
    <b v="1"/>
  </r>
  <r>
    <x v="0"/>
    <x v="3"/>
    <x v="0"/>
    <x v="1"/>
    <n v="1397"/>
    <n v="3"/>
    <n v="350"/>
    <n v="488950"/>
    <n v="4889.5"/>
    <n v="484060.5"/>
    <n v="363220"/>
    <n v="120840.5"/>
    <x v="10"/>
    <n v="10"/>
    <s v=" October "/>
    <x v="0"/>
    <n v="0.24963924963924963"/>
    <s v="High"/>
    <s v="OK"/>
    <s v="Oct-2014"/>
    <s v="Profit"/>
    <s v="High Sales"/>
    <b v="1"/>
  </r>
  <r>
    <x v="0"/>
    <x v="2"/>
    <x v="0"/>
    <x v="1"/>
    <n v="2155"/>
    <n v="3"/>
    <n v="350"/>
    <n v="754250"/>
    <n v="7542.5"/>
    <n v="746707.5"/>
    <n v="560300"/>
    <n v="186407.5"/>
    <x v="2"/>
    <n v="12"/>
    <s v=" December "/>
    <x v="0"/>
    <n v="0.24963924963924963"/>
    <s v="High"/>
    <s v="OK"/>
    <s v="Dec-2014"/>
    <s v="Profit"/>
    <s v="High Sales"/>
    <b v="1"/>
  </r>
  <r>
    <x v="1"/>
    <x v="3"/>
    <x v="1"/>
    <x v="1"/>
    <n v="2214"/>
    <n v="5"/>
    <n v="15"/>
    <n v="33210"/>
    <n v="332.1"/>
    <n v="32877.9"/>
    <n v="22140"/>
    <n v="10737.9"/>
    <x v="3"/>
    <n v="3"/>
    <s v=" March "/>
    <x v="0"/>
    <n v="0.32659932659932656"/>
    <s v="Low"/>
    <s v="OK"/>
    <s v="Mar-2014"/>
    <s v="Profit"/>
    <s v="Low Sales"/>
    <b v="1"/>
  </r>
  <r>
    <x v="4"/>
    <x v="4"/>
    <x v="1"/>
    <x v="1"/>
    <n v="2301"/>
    <n v="5"/>
    <n v="300"/>
    <n v="690300"/>
    <n v="6903"/>
    <n v="683397"/>
    <n v="575250"/>
    <n v="108147"/>
    <x v="13"/>
    <n v="4"/>
    <s v=" April "/>
    <x v="0"/>
    <n v="0.15824915824915825"/>
    <s v="High"/>
    <s v="OK"/>
    <s v="Apr-2014"/>
    <s v="Profit"/>
    <s v="High Sales"/>
    <b v="1"/>
  </r>
  <r>
    <x v="0"/>
    <x v="2"/>
    <x v="1"/>
    <x v="1"/>
    <n v="1375.5"/>
    <n v="5"/>
    <n v="20"/>
    <n v="27510"/>
    <n v="275.10000000000002"/>
    <n v="27234.9"/>
    <n v="13755"/>
    <n v="13479.9"/>
    <x v="4"/>
    <n v="7"/>
    <s v=" July "/>
    <x v="0"/>
    <n v="0.49494949494949492"/>
    <s v="Low"/>
    <s v="OK"/>
    <s v="Jul-2014"/>
    <s v="Profit"/>
    <s v="Low Sales"/>
    <b v="1"/>
  </r>
  <r>
    <x v="0"/>
    <x v="0"/>
    <x v="1"/>
    <x v="1"/>
    <n v="1830"/>
    <n v="5"/>
    <n v="7"/>
    <n v="12810"/>
    <n v="128.1"/>
    <n v="12681.9"/>
    <n v="9150"/>
    <n v="3531.9"/>
    <x v="5"/>
    <n v="8"/>
    <s v=" August "/>
    <x v="0"/>
    <n v="0.27849927849927852"/>
    <s v="Low"/>
    <s v="OK"/>
    <s v="Aug-2014"/>
    <s v="Profit"/>
    <s v="Low Sales"/>
    <b v="1"/>
  </r>
  <r>
    <x v="4"/>
    <x v="4"/>
    <x v="1"/>
    <x v="1"/>
    <n v="2498"/>
    <n v="5"/>
    <n v="300"/>
    <n v="749400"/>
    <n v="7494"/>
    <n v="741906"/>
    <n v="624500"/>
    <n v="117406"/>
    <x v="9"/>
    <n v="9"/>
    <s v=" September "/>
    <x v="1"/>
    <n v="0.15824915824915825"/>
    <s v="High"/>
    <s v="OK"/>
    <s v="Sep-2013"/>
    <s v="Profit"/>
    <s v="High Sales"/>
    <b v="1"/>
  </r>
  <r>
    <x v="3"/>
    <x v="4"/>
    <x v="1"/>
    <x v="1"/>
    <n v="663"/>
    <n v="5"/>
    <n v="125"/>
    <n v="82875"/>
    <n v="828.75"/>
    <n v="82046.25"/>
    <n v="79560"/>
    <n v="2486.25"/>
    <x v="7"/>
    <n v="10"/>
    <s v=" October "/>
    <x v="1"/>
    <n v="3.0303030303030304E-2"/>
    <s v="Medium"/>
    <s v="OK"/>
    <s v="Oct-2013"/>
    <s v="Profit"/>
    <s v="High Sales"/>
    <b v="1"/>
  </r>
  <r>
    <x v="1"/>
    <x v="4"/>
    <x v="2"/>
    <x v="1"/>
    <n v="1514"/>
    <n v="10"/>
    <n v="15"/>
    <n v="22710"/>
    <n v="227.1"/>
    <n v="22482.9"/>
    <n v="15140"/>
    <n v="7342.9"/>
    <x v="8"/>
    <n v="2"/>
    <s v=" February "/>
    <x v="0"/>
    <n v="0.32659932659932656"/>
    <s v="Low"/>
    <s v="OK"/>
    <s v="Feb-2014"/>
    <s v="Profit"/>
    <s v="Low Sales"/>
    <b v="1"/>
  </r>
  <r>
    <x v="0"/>
    <x v="4"/>
    <x v="2"/>
    <x v="1"/>
    <n v="4492.5"/>
    <n v="10"/>
    <n v="7"/>
    <n v="31447.5"/>
    <n v="314.48"/>
    <n v="31133.02"/>
    <n v="22462.5"/>
    <n v="8670.52"/>
    <x v="13"/>
    <n v="4"/>
    <s v=" April "/>
    <x v="0"/>
    <n v="0.27849916262540547"/>
    <s v="Low"/>
    <s v="OK"/>
    <s v="Apr-2014"/>
    <s v="Profit"/>
    <s v="Low Sales"/>
    <b v="1"/>
  </r>
  <r>
    <x v="3"/>
    <x v="4"/>
    <x v="2"/>
    <x v="1"/>
    <n v="727"/>
    <n v="10"/>
    <n v="125"/>
    <n v="90875"/>
    <n v="908.75"/>
    <n v="89966.25"/>
    <n v="87240"/>
    <n v="2726.25"/>
    <x v="1"/>
    <n v="6"/>
    <s v=" June "/>
    <x v="0"/>
    <n v="3.0303030303030304E-2"/>
    <s v="Medium"/>
    <s v="OK"/>
    <s v="Jun-2014"/>
    <s v="Profit"/>
    <s v="High Sales"/>
    <b v="1"/>
  </r>
  <r>
    <x v="3"/>
    <x v="2"/>
    <x v="2"/>
    <x v="1"/>
    <n v="787"/>
    <n v="10"/>
    <n v="125"/>
    <n v="98375"/>
    <n v="983.75"/>
    <n v="97391.25"/>
    <n v="94440"/>
    <n v="2951.25"/>
    <x v="1"/>
    <n v="6"/>
    <s v=" June "/>
    <x v="0"/>
    <n v="3.0303030303030304E-2"/>
    <s v="Medium"/>
    <s v="OK"/>
    <s v="Jun-2014"/>
    <s v="Profit"/>
    <s v="High Sales"/>
    <b v="1"/>
  </r>
  <r>
    <x v="3"/>
    <x v="3"/>
    <x v="2"/>
    <x v="1"/>
    <n v="1823"/>
    <n v="10"/>
    <n v="125"/>
    <n v="227875"/>
    <n v="2278.75"/>
    <n v="225596.25"/>
    <n v="218760"/>
    <n v="6836.25"/>
    <x v="4"/>
    <n v="7"/>
    <s v=" July "/>
    <x v="0"/>
    <n v="3.0303030303030304E-2"/>
    <s v="High"/>
    <s v="OK"/>
    <s v="Jul-2014"/>
    <s v="Profit"/>
    <s v="High Sales"/>
    <b v="1"/>
  </r>
  <r>
    <x v="1"/>
    <x v="1"/>
    <x v="2"/>
    <x v="1"/>
    <n v="747"/>
    <n v="10"/>
    <n v="15"/>
    <n v="11205"/>
    <n v="112.05"/>
    <n v="11092.95"/>
    <n v="7470"/>
    <n v="3622.95"/>
    <x v="6"/>
    <n v="9"/>
    <s v=" September "/>
    <x v="0"/>
    <n v="0.32659932659932656"/>
    <s v="Low"/>
    <s v="OK"/>
    <s v="Sep-2014"/>
    <s v="Profit"/>
    <s v="Low Sales"/>
    <b v="1"/>
  </r>
  <r>
    <x v="2"/>
    <x v="1"/>
    <x v="2"/>
    <x v="1"/>
    <n v="766"/>
    <n v="10"/>
    <n v="12"/>
    <n v="9192"/>
    <n v="91.92"/>
    <n v="9100.08"/>
    <n v="2298"/>
    <n v="6802.08"/>
    <x v="7"/>
    <n v="10"/>
    <s v=" October "/>
    <x v="1"/>
    <n v="0.74747474747474751"/>
    <s v="Low"/>
    <s v="OK"/>
    <s v="Oct-2013"/>
    <s v="Profit"/>
    <s v="Low Sales"/>
    <b v="1"/>
  </r>
  <r>
    <x v="4"/>
    <x v="4"/>
    <x v="2"/>
    <x v="1"/>
    <n v="2905"/>
    <n v="10"/>
    <n v="300"/>
    <n v="871500"/>
    <n v="8715"/>
    <n v="862785"/>
    <n v="726250"/>
    <n v="136535"/>
    <x v="15"/>
    <n v="11"/>
    <s v=" November "/>
    <x v="0"/>
    <n v="0.15824915824915825"/>
    <s v="High"/>
    <s v="OK"/>
    <s v="Nov-2014"/>
    <s v="Profit"/>
    <s v="High Sales"/>
    <b v="1"/>
  </r>
  <r>
    <x v="0"/>
    <x v="2"/>
    <x v="2"/>
    <x v="1"/>
    <n v="2155"/>
    <n v="10"/>
    <n v="350"/>
    <n v="754250"/>
    <n v="7542.5"/>
    <n v="746707.5"/>
    <n v="560300"/>
    <n v="186407.5"/>
    <x v="2"/>
    <n v="12"/>
    <s v=" December "/>
    <x v="0"/>
    <n v="0.24963924963924963"/>
    <s v="High"/>
    <s v="OK"/>
    <s v="Dec-2014"/>
    <s v="Profit"/>
    <s v="High Sales"/>
    <b v="1"/>
  </r>
  <r>
    <x v="0"/>
    <x v="2"/>
    <x v="3"/>
    <x v="1"/>
    <n v="3864"/>
    <n v="120"/>
    <n v="20"/>
    <n v="77280"/>
    <n v="772.8"/>
    <n v="76507.199999999997"/>
    <n v="38640"/>
    <n v="37867.199999999997"/>
    <x v="13"/>
    <n v="4"/>
    <s v=" April "/>
    <x v="0"/>
    <n v="0.49494949494949492"/>
    <s v="Medium"/>
    <s v="OK"/>
    <s v="Apr-2014"/>
    <s v="Profit"/>
    <s v="High Sales"/>
    <b v="1"/>
  </r>
  <r>
    <x v="0"/>
    <x v="3"/>
    <x v="3"/>
    <x v="1"/>
    <n v="362"/>
    <n v="120"/>
    <n v="7"/>
    <n v="2534"/>
    <n v="25.34"/>
    <n v="2508.66"/>
    <n v="1810"/>
    <n v="698.66"/>
    <x v="14"/>
    <n v="5"/>
    <s v=" May "/>
    <x v="0"/>
    <n v="0.27849927849927852"/>
    <s v="Low"/>
    <s v="OK"/>
    <s v="May-2014"/>
    <s v="Profit"/>
    <s v="Low Sales"/>
    <b v="1"/>
  </r>
  <r>
    <x v="3"/>
    <x v="0"/>
    <x v="3"/>
    <x v="1"/>
    <n v="923"/>
    <n v="120"/>
    <n v="125"/>
    <n v="115375"/>
    <n v="1153.75"/>
    <n v="114221.25"/>
    <n v="110760"/>
    <n v="3461.25"/>
    <x v="5"/>
    <n v="8"/>
    <s v=" August "/>
    <x v="0"/>
    <n v="3.0303030303030304E-2"/>
    <s v="High"/>
    <s v="OK"/>
    <s v="Aug-2014"/>
    <s v="Profit"/>
    <s v="High Sales"/>
    <b v="1"/>
  </r>
  <r>
    <x v="3"/>
    <x v="4"/>
    <x v="3"/>
    <x v="1"/>
    <n v="663"/>
    <n v="120"/>
    <n v="125"/>
    <n v="82875"/>
    <n v="828.75"/>
    <n v="82046.25"/>
    <n v="79560"/>
    <n v="2486.25"/>
    <x v="7"/>
    <n v="10"/>
    <s v=" October "/>
    <x v="1"/>
    <n v="3.0303030303030304E-2"/>
    <s v="Medium"/>
    <s v="OK"/>
    <s v="Oct-2013"/>
    <s v="Profit"/>
    <s v="High Sales"/>
    <b v="1"/>
  </r>
  <r>
    <x v="0"/>
    <x v="0"/>
    <x v="3"/>
    <x v="1"/>
    <n v="2092"/>
    <n v="120"/>
    <n v="7"/>
    <n v="14644"/>
    <n v="146.44"/>
    <n v="14497.56"/>
    <n v="10460"/>
    <n v="4037.56"/>
    <x v="11"/>
    <n v="11"/>
    <s v=" November "/>
    <x v="1"/>
    <n v="0.27849927849927852"/>
    <s v="Low"/>
    <s v="OK"/>
    <s v="Nov-2013"/>
    <s v="Profit"/>
    <s v="Low Sales"/>
    <b v="1"/>
  </r>
  <r>
    <x v="0"/>
    <x v="1"/>
    <x v="4"/>
    <x v="1"/>
    <n v="263"/>
    <n v="250"/>
    <n v="7"/>
    <n v="1841"/>
    <n v="18.41"/>
    <n v="1822.59"/>
    <n v="1315"/>
    <n v="507.59"/>
    <x v="3"/>
    <n v="3"/>
    <s v=" March "/>
    <x v="0"/>
    <n v="0.27849927849927852"/>
    <s v="Low"/>
    <s v="OK"/>
    <s v="Mar-2014"/>
    <s v="Profit"/>
    <s v="Low Sales"/>
    <b v="1"/>
  </r>
  <r>
    <x v="0"/>
    <x v="0"/>
    <x v="4"/>
    <x v="1"/>
    <n v="943.5"/>
    <n v="250"/>
    <n v="350"/>
    <n v="330225"/>
    <n v="3302.25"/>
    <n v="326922.75"/>
    <n v="245310"/>
    <n v="81612.75"/>
    <x v="13"/>
    <n v="4"/>
    <s v=" April "/>
    <x v="0"/>
    <n v="0.24963924963924963"/>
    <s v="High"/>
    <s v="OK"/>
    <s v="Apr-2014"/>
    <s v="Profit"/>
    <s v="High Sales"/>
    <b v="1"/>
  </r>
  <r>
    <x v="3"/>
    <x v="4"/>
    <x v="4"/>
    <x v="1"/>
    <n v="727"/>
    <n v="250"/>
    <n v="125"/>
    <n v="90875"/>
    <n v="908.75"/>
    <n v="89966.25"/>
    <n v="87240"/>
    <n v="2726.25"/>
    <x v="1"/>
    <n v="6"/>
    <s v=" June "/>
    <x v="0"/>
    <n v="3.0303030303030304E-2"/>
    <s v="Medium"/>
    <s v="OK"/>
    <s v="Jun-2014"/>
    <s v="Profit"/>
    <s v="High Sales"/>
    <b v="1"/>
  </r>
  <r>
    <x v="3"/>
    <x v="2"/>
    <x v="4"/>
    <x v="1"/>
    <n v="787"/>
    <n v="250"/>
    <n v="125"/>
    <n v="98375"/>
    <n v="983.75"/>
    <n v="97391.25"/>
    <n v="94440"/>
    <n v="2951.25"/>
    <x v="1"/>
    <n v="6"/>
    <s v=" June "/>
    <x v="0"/>
    <n v="3.0303030303030304E-2"/>
    <s v="Medium"/>
    <s v="OK"/>
    <s v="Jun-2014"/>
    <s v="Profit"/>
    <s v="High Sales"/>
    <b v="1"/>
  </r>
  <r>
    <x v="4"/>
    <x v="1"/>
    <x v="4"/>
    <x v="1"/>
    <n v="986"/>
    <n v="250"/>
    <n v="300"/>
    <n v="295800"/>
    <n v="2958"/>
    <n v="292842"/>
    <n v="246500"/>
    <n v="46342"/>
    <x v="6"/>
    <n v="9"/>
    <s v=" September "/>
    <x v="0"/>
    <n v="0.15824915824915825"/>
    <s v="High"/>
    <s v="OK"/>
    <s v="Sep-2014"/>
    <s v="Profit"/>
    <s v="High Sales"/>
    <b v="1"/>
  </r>
  <r>
    <x v="4"/>
    <x v="3"/>
    <x v="4"/>
    <x v="1"/>
    <n v="494"/>
    <n v="250"/>
    <n v="300"/>
    <n v="148200"/>
    <n v="1482"/>
    <n v="146718"/>
    <n v="123500"/>
    <n v="23218"/>
    <x v="7"/>
    <n v="10"/>
    <s v=" October "/>
    <x v="1"/>
    <n v="0.15824915824915825"/>
    <s v="High"/>
    <s v="OK"/>
    <s v="Oct-2013"/>
    <s v="Profit"/>
    <s v="High Sales"/>
    <b v="1"/>
  </r>
  <r>
    <x v="0"/>
    <x v="3"/>
    <x v="4"/>
    <x v="1"/>
    <n v="1397"/>
    <n v="250"/>
    <n v="350"/>
    <n v="488950"/>
    <n v="4889.5"/>
    <n v="484060.5"/>
    <n v="363220"/>
    <n v="120840.5"/>
    <x v="10"/>
    <n v="10"/>
    <s v=" October "/>
    <x v="0"/>
    <n v="0.24963924963924963"/>
    <s v="High"/>
    <s v="OK"/>
    <s v="Oct-2014"/>
    <s v="Profit"/>
    <s v="High Sales"/>
    <b v="1"/>
  </r>
  <r>
    <x v="3"/>
    <x v="2"/>
    <x v="4"/>
    <x v="1"/>
    <n v="1744"/>
    <n v="250"/>
    <n v="125"/>
    <n v="218000"/>
    <n v="2180"/>
    <n v="215820"/>
    <n v="209280"/>
    <n v="6540"/>
    <x v="15"/>
    <n v="11"/>
    <s v=" November "/>
    <x v="0"/>
    <n v="3.0303030303030304E-2"/>
    <s v="High"/>
    <s v="OK"/>
    <s v="Nov-2014"/>
    <s v="Profit"/>
    <s v="High Sales"/>
    <b v="1"/>
  </r>
  <r>
    <x v="2"/>
    <x v="4"/>
    <x v="5"/>
    <x v="1"/>
    <n v="1989"/>
    <n v="260"/>
    <n v="12"/>
    <n v="23868"/>
    <n v="238.68"/>
    <n v="23629.32"/>
    <n v="5967"/>
    <n v="17662.32"/>
    <x v="9"/>
    <n v="9"/>
    <s v=" September "/>
    <x v="1"/>
    <n v="0.74747474747474751"/>
    <s v="Low"/>
    <s v="OK"/>
    <s v="Sep-2013"/>
    <s v="Profit"/>
    <s v="Low Sales"/>
    <b v="1"/>
  </r>
  <r>
    <x v="1"/>
    <x v="2"/>
    <x v="5"/>
    <x v="1"/>
    <n v="321"/>
    <n v="260"/>
    <n v="15"/>
    <n v="4815"/>
    <n v="48.15"/>
    <n v="4766.8500000000004"/>
    <n v="3210"/>
    <n v="1556.85"/>
    <x v="11"/>
    <n v="11"/>
    <s v=" November "/>
    <x v="1"/>
    <n v="0.32659932659932656"/>
    <s v="Low"/>
    <s v="OK"/>
    <s v="Nov-2013"/>
    <s v="Profit"/>
    <s v="Low Sales"/>
    <b v="1"/>
  </r>
  <r>
    <x v="3"/>
    <x v="0"/>
    <x v="0"/>
    <x v="1"/>
    <n v="742.5"/>
    <n v="3"/>
    <n v="125"/>
    <n v="92812.5"/>
    <n v="1856.25"/>
    <n v="90956.25"/>
    <n v="89100"/>
    <n v="1856.25"/>
    <x v="13"/>
    <n v="4"/>
    <s v=" April "/>
    <x v="0"/>
    <n v="2.0408163265306121E-2"/>
    <s v="Medium"/>
    <s v="OK"/>
    <s v="Apr-2014"/>
    <s v="Profit"/>
    <s v="High Sales"/>
    <b v="1"/>
  </r>
  <r>
    <x v="2"/>
    <x v="0"/>
    <x v="0"/>
    <x v="1"/>
    <n v="1295"/>
    <n v="3"/>
    <n v="12"/>
    <n v="15540"/>
    <n v="310.8"/>
    <n v="15229.2"/>
    <n v="3885"/>
    <n v="11344.2"/>
    <x v="10"/>
    <n v="10"/>
    <s v=" October "/>
    <x v="0"/>
    <n v="0.74489795918367352"/>
    <s v="Low"/>
    <s v="OK"/>
    <s v="Oct-2014"/>
    <s v="Profit"/>
    <s v="Low Sales"/>
    <b v="1"/>
  </r>
  <r>
    <x v="4"/>
    <x v="1"/>
    <x v="0"/>
    <x v="1"/>
    <n v="214"/>
    <n v="3"/>
    <n v="300"/>
    <n v="64200"/>
    <n v="1284"/>
    <n v="62916"/>
    <n v="53500"/>
    <n v="9416"/>
    <x v="7"/>
    <n v="10"/>
    <s v=" October "/>
    <x v="1"/>
    <n v="0.14965986394557823"/>
    <s v="Medium"/>
    <s v="OK"/>
    <s v="Oct-2013"/>
    <s v="Profit"/>
    <s v="High Sales"/>
    <b v="1"/>
  </r>
  <r>
    <x v="0"/>
    <x v="2"/>
    <x v="0"/>
    <x v="1"/>
    <n v="2145"/>
    <n v="3"/>
    <n v="7"/>
    <n v="15015"/>
    <n v="300.3"/>
    <n v="14714.7"/>
    <n v="10725"/>
    <n v="3989.7"/>
    <x v="11"/>
    <n v="11"/>
    <s v=" November "/>
    <x v="1"/>
    <n v="0.27113702623906705"/>
    <s v="Low"/>
    <s v="OK"/>
    <s v="Nov-2013"/>
    <s v="Profit"/>
    <s v="Low Sales"/>
    <b v="1"/>
  </r>
  <r>
    <x v="0"/>
    <x v="0"/>
    <x v="0"/>
    <x v="1"/>
    <n v="2852"/>
    <n v="3"/>
    <n v="350"/>
    <n v="998200"/>
    <n v="19964"/>
    <n v="978236"/>
    <n v="741520"/>
    <n v="236716"/>
    <x v="2"/>
    <n v="12"/>
    <s v=" December "/>
    <x v="0"/>
    <n v="0.24198250728862974"/>
    <s v="High"/>
    <s v="OK"/>
    <s v="Dec-2014"/>
    <s v="Profit"/>
    <s v="High Sales"/>
    <b v="1"/>
  </r>
  <r>
    <x v="2"/>
    <x v="4"/>
    <x v="1"/>
    <x v="1"/>
    <n v="1142"/>
    <n v="5"/>
    <n v="12"/>
    <n v="13704"/>
    <n v="274.08"/>
    <n v="13429.92"/>
    <n v="3426"/>
    <n v="10003.92"/>
    <x v="1"/>
    <n v="6"/>
    <s v=" June "/>
    <x v="0"/>
    <n v="0.74489795918367352"/>
    <s v="Low"/>
    <s v="OK"/>
    <s v="Jun-2014"/>
    <s v="Profit"/>
    <s v="Low Sales"/>
    <b v="1"/>
  </r>
  <r>
    <x v="0"/>
    <x v="4"/>
    <x v="1"/>
    <x v="1"/>
    <n v="1566"/>
    <n v="5"/>
    <n v="20"/>
    <n v="31320"/>
    <n v="626.4"/>
    <n v="30693.599999999999"/>
    <n v="15660"/>
    <n v="15033.6"/>
    <x v="10"/>
    <n v="10"/>
    <s v=" October "/>
    <x v="0"/>
    <n v="0.48979591836734698"/>
    <s v="Low"/>
    <s v="OK"/>
    <s v="Oct-2014"/>
    <s v="Profit"/>
    <s v="Low Sales"/>
    <b v="1"/>
  </r>
  <r>
    <x v="2"/>
    <x v="3"/>
    <x v="1"/>
    <x v="1"/>
    <n v="690"/>
    <n v="5"/>
    <n v="12"/>
    <n v="8280"/>
    <n v="165.6"/>
    <n v="8114.4"/>
    <n v="2070"/>
    <n v="6044.4"/>
    <x v="15"/>
    <n v="11"/>
    <s v=" November "/>
    <x v="0"/>
    <n v="0.74489795918367341"/>
    <s v="Low"/>
    <s v="OK"/>
    <s v="Nov-2014"/>
    <s v="Profit"/>
    <s v="Low Sales"/>
    <b v="1"/>
  </r>
  <r>
    <x v="3"/>
    <x v="3"/>
    <x v="1"/>
    <x v="1"/>
    <n v="1660"/>
    <n v="5"/>
    <n v="125"/>
    <n v="207500"/>
    <n v="4150"/>
    <n v="203350"/>
    <n v="199200"/>
    <n v="4150"/>
    <x v="11"/>
    <n v="11"/>
    <s v=" November "/>
    <x v="1"/>
    <n v="2.0408163265306121E-2"/>
    <s v="High"/>
    <s v="OK"/>
    <s v="Nov-2013"/>
    <s v="Profit"/>
    <s v="High Sales"/>
    <b v="1"/>
  </r>
  <r>
    <x v="1"/>
    <x v="0"/>
    <x v="2"/>
    <x v="1"/>
    <n v="2363"/>
    <n v="10"/>
    <n v="15"/>
    <n v="35445"/>
    <n v="708.9"/>
    <n v="34736.1"/>
    <n v="23630"/>
    <n v="11106.1"/>
    <x v="8"/>
    <n v="2"/>
    <s v=" February "/>
    <x v="0"/>
    <n v="0.31972789115646261"/>
    <s v="Low"/>
    <s v="OK"/>
    <s v="Feb-2014"/>
    <s v="Profit"/>
    <s v="Low Sales"/>
    <b v="1"/>
  </r>
  <r>
    <x v="4"/>
    <x v="2"/>
    <x v="2"/>
    <x v="1"/>
    <n v="918"/>
    <n v="10"/>
    <n v="300"/>
    <n v="275400"/>
    <n v="5508"/>
    <n v="269892"/>
    <n v="229500"/>
    <n v="40392"/>
    <x v="14"/>
    <n v="5"/>
    <s v=" May "/>
    <x v="0"/>
    <n v="0.14965986394557823"/>
    <s v="High"/>
    <s v="OK"/>
    <s v="May-2014"/>
    <s v="Profit"/>
    <s v="High Sales"/>
    <b v="1"/>
  </r>
  <r>
    <x v="4"/>
    <x v="1"/>
    <x v="2"/>
    <x v="1"/>
    <n v="1728"/>
    <n v="10"/>
    <n v="300"/>
    <n v="518400"/>
    <n v="10368"/>
    <n v="508032"/>
    <n v="432000"/>
    <n v="76032"/>
    <x v="14"/>
    <n v="5"/>
    <s v=" May "/>
    <x v="0"/>
    <n v="0.14965986394557823"/>
    <s v="High"/>
    <s v="OK"/>
    <s v="May-2014"/>
    <s v="Profit"/>
    <s v="High Sales"/>
    <b v="1"/>
  </r>
  <r>
    <x v="2"/>
    <x v="4"/>
    <x v="2"/>
    <x v="1"/>
    <n v="1142"/>
    <n v="10"/>
    <n v="12"/>
    <n v="13704"/>
    <n v="274.08"/>
    <n v="13429.92"/>
    <n v="3426"/>
    <n v="10003.92"/>
    <x v="1"/>
    <n v="6"/>
    <s v=" June "/>
    <x v="0"/>
    <n v="0.74489795918367352"/>
    <s v="Low"/>
    <s v="OK"/>
    <s v="Jun-2014"/>
    <s v="Profit"/>
    <s v="Low Sales"/>
    <b v="1"/>
  </r>
  <r>
    <x v="3"/>
    <x v="3"/>
    <x v="2"/>
    <x v="1"/>
    <n v="662"/>
    <n v="10"/>
    <n v="125"/>
    <n v="82750"/>
    <n v="1655"/>
    <n v="81095"/>
    <n v="79440"/>
    <n v="1655"/>
    <x v="1"/>
    <n v="6"/>
    <s v=" June "/>
    <x v="0"/>
    <n v="2.0408163265306121E-2"/>
    <s v="Medium"/>
    <s v="OK"/>
    <s v="Jun-2014"/>
    <s v="Profit"/>
    <s v="High Sales"/>
    <b v="1"/>
  </r>
  <r>
    <x v="2"/>
    <x v="0"/>
    <x v="2"/>
    <x v="1"/>
    <n v="1295"/>
    <n v="10"/>
    <n v="12"/>
    <n v="15540"/>
    <n v="310.8"/>
    <n v="15229.2"/>
    <n v="3885"/>
    <n v="11344.2"/>
    <x v="10"/>
    <n v="10"/>
    <s v=" October "/>
    <x v="0"/>
    <n v="0.74489795918367352"/>
    <s v="Low"/>
    <s v="OK"/>
    <s v="Oct-2014"/>
    <s v="Profit"/>
    <s v="Low Sales"/>
    <b v="1"/>
  </r>
  <r>
    <x v="3"/>
    <x v="1"/>
    <x v="2"/>
    <x v="1"/>
    <n v="809"/>
    <n v="10"/>
    <n v="125"/>
    <n v="101125"/>
    <n v="2022.5"/>
    <n v="99102.5"/>
    <n v="97080"/>
    <n v="2022.5"/>
    <x v="7"/>
    <n v="10"/>
    <s v=" October "/>
    <x v="1"/>
    <n v="2.0408163265306121E-2"/>
    <s v="Medium"/>
    <s v="OK"/>
    <s v="Oct-2013"/>
    <s v="Profit"/>
    <s v="High Sales"/>
    <b v="1"/>
  </r>
  <r>
    <x v="3"/>
    <x v="3"/>
    <x v="2"/>
    <x v="1"/>
    <n v="2145"/>
    <n v="10"/>
    <n v="125"/>
    <n v="268125"/>
    <n v="5362.5"/>
    <n v="262762.5"/>
    <n v="257400"/>
    <n v="5362.5"/>
    <x v="7"/>
    <n v="10"/>
    <s v=" October "/>
    <x v="1"/>
    <n v="2.0408163265306121E-2"/>
    <s v="High"/>
    <s v="OK"/>
    <s v="Oct-2013"/>
    <s v="Profit"/>
    <s v="High Sales"/>
    <b v="1"/>
  </r>
  <r>
    <x v="2"/>
    <x v="2"/>
    <x v="2"/>
    <x v="1"/>
    <n v="1785"/>
    <n v="10"/>
    <n v="12"/>
    <n v="21420"/>
    <n v="428.4"/>
    <n v="20991.599999999999"/>
    <n v="5355"/>
    <n v="15636.6"/>
    <x v="11"/>
    <n v="11"/>
    <s v=" November "/>
    <x v="1"/>
    <n v="0.74489795918367352"/>
    <s v="Low"/>
    <s v="OK"/>
    <s v="Nov-2013"/>
    <s v="Profit"/>
    <s v="Low Sales"/>
    <b v="1"/>
  </r>
  <r>
    <x v="4"/>
    <x v="0"/>
    <x v="2"/>
    <x v="1"/>
    <n v="1916"/>
    <n v="10"/>
    <n v="300"/>
    <n v="574800"/>
    <n v="11496"/>
    <n v="563304"/>
    <n v="479000"/>
    <n v="84304"/>
    <x v="2"/>
    <n v="12"/>
    <s v=" December "/>
    <x v="0"/>
    <n v="0.14965986394557823"/>
    <s v="High"/>
    <s v="OK"/>
    <s v="Dec-2014"/>
    <s v="Profit"/>
    <s v="High Sales"/>
    <b v="1"/>
  </r>
  <r>
    <x v="0"/>
    <x v="0"/>
    <x v="2"/>
    <x v="1"/>
    <n v="2852"/>
    <n v="10"/>
    <n v="350"/>
    <n v="998200"/>
    <n v="19964"/>
    <n v="978236"/>
    <n v="741520"/>
    <n v="236716"/>
    <x v="2"/>
    <n v="12"/>
    <s v=" December "/>
    <x v="0"/>
    <n v="0.24198250728862974"/>
    <s v="High"/>
    <s v="OK"/>
    <s v="Dec-2014"/>
    <s v="Profit"/>
    <s v="High Sales"/>
    <b v="1"/>
  </r>
  <r>
    <x v="3"/>
    <x v="0"/>
    <x v="2"/>
    <x v="1"/>
    <n v="2729"/>
    <n v="10"/>
    <n v="125"/>
    <n v="341125"/>
    <n v="6822.5"/>
    <n v="334302.5"/>
    <n v="327480"/>
    <n v="6822.5"/>
    <x v="2"/>
    <n v="12"/>
    <s v=" December "/>
    <x v="0"/>
    <n v="2.0408163265306121E-2"/>
    <s v="High"/>
    <s v="OK"/>
    <s v="Dec-2014"/>
    <s v="Profit"/>
    <s v="High Sales"/>
    <b v="1"/>
  </r>
  <r>
    <x v="1"/>
    <x v="4"/>
    <x v="2"/>
    <x v="1"/>
    <n v="1925"/>
    <n v="10"/>
    <n v="15"/>
    <n v="28875"/>
    <n v="577.5"/>
    <n v="28297.5"/>
    <n v="19250"/>
    <n v="9047.5"/>
    <x v="12"/>
    <n v="12"/>
    <s v=" December "/>
    <x v="1"/>
    <n v="0.31972789115646261"/>
    <s v="Low"/>
    <s v="OK"/>
    <s v="Dec-2013"/>
    <s v="Profit"/>
    <s v="Low Sales"/>
    <b v="1"/>
  </r>
  <r>
    <x v="0"/>
    <x v="4"/>
    <x v="2"/>
    <x v="1"/>
    <n v="2013"/>
    <n v="10"/>
    <n v="7"/>
    <n v="14091"/>
    <n v="281.82"/>
    <n v="13809.18"/>
    <n v="10065"/>
    <n v="3744.18"/>
    <x v="12"/>
    <n v="12"/>
    <s v=" December "/>
    <x v="1"/>
    <n v="0.27113702623906705"/>
    <s v="Low"/>
    <s v="OK"/>
    <s v="Dec-2013"/>
    <s v="Profit"/>
    <s v="Low Sales"/>
    <b v="1"/>
  </r>
  <r>
    <x v="2"/>
    <x v="2"/>
    <x v="2"/>
    <x v="1"/>
    <n v="1055"/>
    <n v="10"/>
    <n v="12"/>
    <n v="12660"/>
    <n v="253.2"/>
    <n v="12406.8"/>
    <n v="3165"/>
    <n v="9241.7999999999993"/>
    <x v="2"/>
    <n v="12"/>
    <s v=" December "/>
    <x v="0"/>
    <n v="0.74489795918367341"/>
    <s v="Low"/>
    <s v="OK"/>
    <s v="Dec-2014"/>
    <s v="Profit"/>
    <s v="Low Sales"/>
    <b v="1"/>
  </r>
  <r>
    <x v="2"/>
    <x v="3"/>
    <x v="2"/>
    <x v="1"/>
    <n v="1084"/>
    <n v="10"/>
    <n v="12"/>
    <n v="13008"/>
    <n v="260.16000000000003"/>
    <n v="12747.84"/>
    <n v="3252"/>
    <n v="9495.84"/>
    <x v="2"/>
    <n v="12"/>
    <s v=" December "/>
    <x v="0"/>
    <n v="0.74489795918367352"/>
    <s v="Low"/>
    <s v="OK"/>
    <s v="Dec-2014"/>
    <s v="Profit"/>
    <s v="Low Sales"/>
    <b v="1"/>
  </r>
  <r>
    <x v="0"/>
    <x v="4"/>
    <x v="3"/>
    <x v="1"/>
    <n v="1566"/>
    <n v="120"/>
    <n v="20"/>
    <n v="31320"/>
    <n v="626.4"/>
    <n v="30693.599999999999"/>
    <n v="15660"/>
    <n v="15033.6"/>
    <x v="10"/>
    <n v="10"/>
    <s v=" October "/>
    <x v="0"/>
    <n v="0.48979591836734698"/>
    <s v="Low"/>
    <s v="OK"/>
    <s v="Oct-2014"/>
    <s v="Profit"/>
    <s v="Low Sales"/>
    <b v="1"/>
  </r>
  <r>
    <x v="0"/>
    <x v="1"/>
    <x v="3"/>
    <x v="1"/>
    <n v="2966"/>
    <n v="120"/>
    <n v="350"/>
    <n v="1038100"/>
    <n v="20762"/>
    <n v="1017338"/>
    <n v="771160"/>
    <n v="246178"/>
    <x v="7"/>
    <n v="10"/>
    <s v=" October "/>
    <x v="1"/>
    <n v="0.24198250728862974"/>
    <s v="High"/>
    <s v="OK"/>
    <s v="Oct-2013"/>
    <s v="Profit"/>
    <s v="High Sales"/>
    <b v="1"/>
  </r>
  <r>
    <x v="0"/>
    <x v="1"/>
    <x v="3"/>
    <x v="1"/>
    <n v="2877"/>
    <n v="120"/>
    <n v="350"/>
    <n v="1006950"/>
    <n v="20139"/>
    <n v="986811"/>
    <n v="748020"/>
    <n v="238791"/>
    <x v="10"/>
    <n v="10"/>
    <s v=" October "/>
    <x v="0"/>
    <n v="0.24198250728862974"/>
    <s v="High"/>
    <s v="OK"/>
    <s v="Oct-2014"/>
    <s v="Profit"/>
    <s v="High Sales"/>
    <b v="1"/>
  </r>
  <r>
    <x v="3"/>
    <x v="1"/>
    <x v="3"/>
    <x v="1"/>
    <n v="809"/>
    <n v="120"/>
    <n v="125"/>
    <n v="101125"/>
    <n v="2022.5"/>
    <n v="99102.5"/>
    <n v="97080"/>
    <n v="2022.5"/>
    <x v="7"/>
    <n v="10"/>
    <s v=" October "/>
    <x v="1"/>
    <n v="2.0408163265306121E-2"/>
    <s v="Medium"/>
    <s v="OK"/>
    <s v="Oct-2013"/>
    <s v="Profit"/>
    <s v="High Sales"/>
    <b v="1"/>
  </r>
  <r>
    <x v="3"/>
    <x v="3"/>
    <x v="3"/>
    <x v="1"/>
    <n v="2145"/>
    <n v="120"/>
    <n v="125"/>
    <n v="268125"/>
    <n v="5362.5"/>
    <n v="262762.5"/>
    <n v="257400"/>
    <n v="5362.5"/>
    <x v="7"/>
    <n v="10"/>
    <s v=" October "/>
    <x v="1"/>
    <n v="2.0408163265306121E-2"/>
    <s v="High"/>
    <s v="OK"/>
    <s v="Oct-2013"/>
    <s v="Profit"/>
    <s v="High Sales"/>
    <b v="1"/>
  </r>
  <r>
    <x v="2"/>
    <x v="2"/>
    <x v="3"/>
    <x v="1"/>
    <n v="1055"/>
    <n v="120"/>
    <n v="12"/>
    <n v="12660"/>
    <n v="253.2"/>
    <n v="12406.8"/>
    <n v="3165"/>
    <n v="9241.7999999999993"/>
    <x v="2"/>
    <n v="12"/>
    <s v=" December "/>
    <x v="0"/>
    <n v="0.74489795918367341"/>
    <s v="Low"/>
    <s v="OK"/>
    <s v="Dec-2014"/>
    <s v="Profit"/>
    <s v="Low Sales"/>
    <b v="1"/>
  </r>
  <r>
    <x v="0"/>
    <x v="3"/>
    <x v="3"/>
    <x v="1"/>
    <n v="544"/>
    <n v="120"/>
    <n v="20"/>
    <n v="10880"/>
    <n v="217.6"/>
    <n v="10662.4"/>
    <n v="5440"/>
    <n v="5222.3999999999996"/>
    <x v="12"/>
    <n v="12"/>
    <s v=" December "/>
    <x v="1"/>
    <n v="0.48979591836734693"/>
    <s v="Low"/>
    <s v="OK"/>
    <s v="Dec-2013"/>
    <s v="Profit"/>
    <s v="Low Sales"/>
    <b v="1"/>
  </r>
  <r>
    <x v="2"/>
    <x v="3"/>
    <x v="3"/>
    <x v="1"/>
    <n v="1084"/>
    <n v="120"/>
    <n v="12"/>
    <n v="13008"/>
    <n v="260.16000000000003"/>
    <n v="12747.84"/>
    <n v="3252"/>
    <n v="9495.84"/>
    <x v="2"/>
    <n v="12"/>
    <s v=" December "/>
    <x v="0"/>
    <n v="0.74489795918367352"/>
    <s v="Low"/>
    <s v="OK"/>
    <s v="Dec-2014"/>
    <s v="Profit"/>
    <s v="Low Sales"/>
    <b v="1"/>
  </r>
  <r>
    <x v="3"/>
    <x v="3"/>
    <x v="4"/>
    <x v="1"/>
    <n v="662"/>
    <n v="250"/>
    <n v="125"/>
    <n v="82750"/>
    <n v="1655"/>
    <n v="81095"/>
    <n v="79440"/>
    <n v="1655"/>
    <x v="1"/>
    <n v="6"/>
    <s v=" June "/>
    <x v="0"/>
    <n v="2.0408163265306121E-2"/>
    <s v="Medium"/>
    <s v="OK"/>
    <s v="Jun-2014"/>
    <s v="Profit"/>
    <s v="High Sales"/>
    <b v="1"/>
  </r>
  <r>
    <x v="4"/>
    <x v="1"/>
    <x v="4"/>
    <x v="1"/>
    <n v="214"/>
    <n v="250"/>
    <n v="300"/>
    <n v="64200"/>
    <n v="1284"/>
    <n v="62916"/>
    <n v="53500"/>
    <n v="9416"/>
    <x v="7"/>
    <n v="10"/>
    <s v=" October "/>
    <x v="1"/>
    <n v="0.14965986394557823"/>
    <s v="Medium"/>
    <s v="OK"/>
    <s v="Oct-2013"/>
    <s v="Profit"/>
    <s v="High Sales"/>
    <b v="1"/>
  </r>
  <r>
    <x v="0"/>
    <x v="1"/>
    <x v="4"/>
    <x v="1"/>
    <n v="2877"/>
    <n v="250"/>
    <n v="350"/>
    <n v="1006950"/>
    <n v="20139"/>
    <n v="986811"/>
    <n v="748020"/>
    <n v="238791"/>
    <x v="10"/>
    <n v="10"/>
    <s v=" October "/>
    <x v="0"/>
    <n v="0.24198250728862974"/>
    <s v="High"/>
    <s v="OK"/>
    <s v="Oct-2014"/>
    <s v="Profit"/>
    <s v="High Sales"/>
    <b v="1"/>
  </r>
  <r>
    <x v="3"/>
    <x v="0"/>
    <x v="4"/>
    <x v="1"/>
    <n v="2729"/>
    <n v="250"/>
    <n v="125"/>
    <n v="341125"/>
    <n v="6822.5"/>
    <n v="334302.5"/>
    <n v="327480"/>
    <n v="6822.5"/>
    <x v="2"/>
    <n v="12"/>
    <s v=" December "/>
    <x v="0"/>
    <n v="2.0408163265306121E-2"/>
    <s v="High"/>
    <s v="OK"/>
    <s v="Dec-2014"/>
    <s v="Profit"/>
    <s v="High Sales"/>
    <b v="1"/>
  </r>
  <r>
    <x v="0"/>
    <x v="4"/>
    <x v="4"/>
    <x v="1"/>
    <n v="266"/>
    <n v="250"/>
    <n v="350"/>
    <n v="93100"/>
    <n v="1862"/>
    <n v="91238"/>
    <n v="69160"/>
    <n v="22078"/>
    <x v="12"/>
    <n v="12"/>
    <s v=" December "/>
    <x v="1"/>
    <n v="0.24198250728862974"/>
    <s v="Medium"/>
    <s v="OK"/>
    <s v="Dec-2013"/>
    <s v="Profit"/>
    <s v="High Sales"/>
    <b v="1"/>
  </r>
  <r>
    <x v="0"/>
    <x v="3"/>
    <x v="4"/>
    <x v="1"/>
    <n v="1940"/>
    <n v="250"/>
    <n v="350"/>
    <n v="679000"/>
    <n v="13580"/>
    <n v="665420"/>
    <n v="504400"/>
    <n v="161020"/>
    <x v="12"/>
    <n v="12"/>
    <s v=" December "/>
    <x v="1"/>
    <n v="0.24198250728862974"/>
    <s v="High"/>
    <s v="OK"/>
    <s v="Dec-2013"/>
    <s v="Profit"/>
    <s v="High Sales"/>
    <b v="1"/>
  </r>
  <r>
    <x v="4"/>
    <x v="1"/>
    <x v="5"/>
    <x v="1"/>
    <n v="259"/>
    <n v="260"/>
    <n v="300"/>
    <n v="77700"/>
    <n v="1554"/>
    <n v="76146"/>
    <n v="64750"/>
    <n v="11396"/>
    <x v="3"/>
    <n v="3"/>
    <s v=" March "/>
    <x v="0"/>
    <n v="0.14965986394557823"/>
    <s v="Medium"/>
    <s v="OK"/>
    <s v="Mar-2014"/>
    <s v="Profit"/>
    <s v="High Sales"/>
    <b v="1"/>
  </r>
  <r>
    <x v="4"/>
    <x v="3"/>
    <x v="5"/>
    <x v="1"/>
    <n v="1101"/>
    <n v="260"/>
    <n v="300"/>
    <n v="330300"/>
    <n v="6606"/>
    <n v="323694"/>
    <n v="275250"/>
    <n v="48444"/>
    <x v="3"/>
    <n v="3"/>
    <s v=" March "/>
    <x v="0"/>
    <n v="0.14965986394557823"/>
    <s v="High"/>
    <s v="OK"/>
    <s v="Mar-2014"/>
    <s v="Profit"/>
    <s v="High Sales"/>
    <b v="1"/>
  </r>
  <r>
    <x v="3"/>
    <x v="1"/>
    <x v="5"/>
    <x v="1"/>
    <n v="2276"/>
    <n v="260"/>
    <n v="125"/>
    <n v="284500"/>
    <n v="5690"/>
    <n v="278810"/>
    <n v="273120"/>
    <n v="5690"/>
    <x v="14"/>
    <n v="5"/>
    <s v=" May "/>
    <x v="0"/>
    <n v="2.0408163265306121E-2"/>
    <s v="High"/>
    <s v="OK"/>
    <s v="May-2014"/>
    <s v="Profit"/>
    <s v="High Sales"/>
    <b v="1"/>
  </r>
  <r>
    <x v="0"/>
    <x v="1"/>
    <x v="5"/>
    <x v="1"/>
    <n v="2966"/>
    <n v="260"/>
    <n v="350"/>
    <n v="1038100"/>
    <n v="20762"/>
    <n v="1017338"/>
    <n v="771160"/>
    <n v="246178"/>
    <x v="7"/>
    <n v="10"/>
    <s v=" October "/>
    <x v="1"/>
    <n v="0.24198250728862974"/>
    <s v="High"/>
    <s v="OK"/>
    <s v="Oct-2013"/>
    <s v="Profit"/>
    <s v="High Sales"/>
    <b v="1"/>
  </r>
  <r>
    <x v="0"/>
    <x v="4"/>
    <x v="5"/>
    <x v="1"/>
    <n v="1236"/>
    <n v="260"/>
    <n v="20"/>
    <n v="24720"/>
    <n v="494.4"/>
    <n v="24225.599999999999"/>
    <n v="12360"/>
    <n v="11865.6"/>
    <x v="15"/>
    <n v="11"/>
    <s v=" November "/>
    <x v="0"/>
    <n v="0.48979591836734698"/>
    <s v="Low"/>
    <s v="OK"/>
    <s v="Nov-2014"/>
    <s v="Profit"/>
    <s v="Low Sales"/>
    <b v="1"/>
  </r>
  <r>
    <x v="0"/>
    <x v="2"/>
    <x v="5"/>
    <x v="1"/>
    <n v="941"/>
    <n v="260"/>
    <n v="20"/>
    <n v="18820"/>
    <n v="376.4"/>
    <n v="18443.599999999999"/>
    <n v="9410"/>
    <n v="9033.6"/>
    <x v="15"/>
    <n v="11"/>
    <s v=" November "/>
    <x v="0"/>
    <n v="0.48979591836734698"/>
    <s v="Low"/>
    <s v="OK"/>
    <s v="Nov-2014"/>
    <s v="Profit"/>
    <s v="Low Sales"/>
    <b v="1"/>
  </r>
  <r>
    <x v="4"/>
    <x v="0"/>
    <x v="5"/>
    <x v="1"/>
    <n v="1916"/>
    <n v="260"/>
    <n v="300"/>
    <n v="574800"/>
    <n v="11496"/>
    <n v="563304"/>
    <n v="479000"/>
    <n v="84304"/>
    <x v="2"/>
    <n v="12"/>
    <s v=" December "/>
    <x v="0"/>
    <n v="0.14965986394557823"/>
    <s v="High"/>
    <s v="OK"/>
    <s v="Dec-2014"/>
    <s v="Profit"/>
    <s v="High Sales"/>
    <b v="1"/>
  </r>
  <r>
    <x v="3"/>
    <x v="2"/>
    <x v="0"/>
    <x v="1"/>
    <n v="4243.5"/>
    <n v="3"/>
    <n v="125"/>
    <n v="530437.5"/>
    <n v="15913.13"/>
    <n v="514524.38"/>
    <n v="509220"/>
    <n v="5304.38"/>
    <x v="13"/>
    <n v="4"/>
    <s v=" April "/>
    <x v="0"/>
    <n v="1.0309287968045363E-2"/>
    <s v="High"/>
    <s v="OK"/>
    <s v="Apr-2014"/>
    <s v="Profit"/>
    <s v="High Sales"/>
    <b v="1"/>
  </r>
  <r>
    <x v="0"/>
    <x v="1"/>
    <x v="0"/>
    <x v="1"/>
    <n v="2580"/>
    <n v="3"/>
    <n v="20"/>
    <n v="51600"/>
    <n v="1548"/>
    <n v="50052"/>
    <n v="25800"/>
    <n v="24252"/>
    <x v="13"/>
    <n v="4"/>
    <s v=" April "/>
    <x v="0"/>
    <n v="0.4845360824742268"/>
    <s v="Medium"/>
    <s v="OK"/>
    <s v="Apr-2014"/>
    <s v="Profit"/>
    <s v="High Sales"/>
    <b v="1"/>
  </r>
  <r>
    <x v="4"/>
    <x v="1"/>
    <x v="0"/>
    <x v="1"/>
    <n v="689"/>
    <n v="3"/>
    <n v="300"/>
    <n v="206700"/>
    <n v="6201"/>
    <n v="200499"/>
    <n v="172250"/>
    <n v="28249"/>
    <x v="1"/>
    <n v="6"/>
    <s v=" June "/>
    <x v="0"/>
    <n v="0.14089347079037801"/>
    <s v="High"/>
    <s v="OK"/>
    <s v="Jun-2014"/>
    <s v="Profit"/>
    <s v="High Sales"/>
    <b v="1"/>
  </r>
  <r>
    <x v="2"/>
    <x v="4"/>
    <x v="0"/>
    <x v="1"/>
    <n v="1947"/>
    <n v="3"/>
    <n v="12"/>
    <n v="23364"/>
    <n v="700.92"/>
    <n v="22663.08"/>
    <n v="5841"/>
    <n v="16822.080000000002"/>
    <x v="6"/>
    <n v="9"/>
    <s v=" September "/>
    <x v="0"/>
    <n v="0.74226804123711343"/>
    <s v="Low"/>
    <s v="OK"/>
    <s v="Sep-2014"/>
    <s v="Profit"/>
    <s v="Low Sales"/>
    <b v="1"/>
  </r>
  <r>
    <x v="2"/>
    <x v="0"/>
    <x v="0"/>
    <x v="1"/>
    <n v="908"/>
    <n v="3"/>
    <n v="12"/>
    <n v="10896"/>
    <n v="326.88"/>
    <n v="10569.12"/>
    <n v="2724"/>
    <n v="7845.12"/>
    <x v="12"/>
    <n v="12"/>
    <s v=" December "/>
    <x v="1"/>
    <n v="0.74226804123711332"/>
    <s v="Low"/>
    <s v="OK"/>
    <s v="Dec-2013"/>
    <s v="Profit"/>
    <s v="Low Sales"/>
    <b v="1"/>
  </r>
  <r>
    <x v="0"/>
    <x v="1"/>
    <x v="1"/>
    <x v="1"/>
    <n v="1958"/>
    <n v="5"/>
    <n v="7"/>
    <n v="13706"/>
    <n v="411.18"/>
    <n v="13294.82"/>
    <n v="9790"/>
    <n v="3504.82"/>
    <x v="8"/>
    <n v="2"/>
    <s v=" February "/>
    <x v="0"/>
    <n v="0.26362297496318116"/>
    <s v="Low"/>
    <s v="OK"/>
    <s v="Feb-2014"/>
    <s v="Profit"/>
    <s v="Low Sales"/>
    <b v="1"/>
  </r>
  <r>
    <x v="2"/>
    <x v="2"/>
    <x v="1"/>
    <x v="1"/>
    <n v="1901"/>
    <n v="5"/>
    <n v="12"/>
    <n v="22812"/>
    <n v="684.36"/>
    <n v="22127.64"/>
    <n v="5703"/>
    <n v="16424.64"/>
    <x v="1"/>
    <n v="6"/>
    <s v=" June "/>
    <x v="0"/>
    <n v="0.74226804123711343"/>
    <s v="Low"/>
    <s v="OK"/>
    <s v="Jun-2014"/>
    <s v="Profit"/>
    <s v="Low Sales"/>
    <b v="1"/>
  </r>
  <r>
    <x v="0"/>
    <x v="2"/>
    <x v="1"/>
    <x v="1"/>
    <n v="544"/>
    <n v="5"/>
    <n v="7"/>
    <n v="3808"/>
    <n v="114.24"/>
    <n v="3693.76"/>
    <n v="2720"/>
    <n v="973.76"/>
    <x v="6"/>
    <n v="9"/>
    <s v=" September "/>
    <x v="0"/>
    <n v="0.26362297496318116"/>
    <s v="Low"/>
    <s v="OK"/>
    <s v="Sep-2014"/>
    <s v="Profit"/>
    <s v="Low Sales"/>
    <b v="1"/>
  </r>
  <r>
    <x v="0"/>
    <x v="1"/>
    <x v="1"/>
    <x v="1"/>
    <n v="1797"/>
    <n v="5"/>
    <n v="350"/>
    <n v="628950"/>
    <n v="18868.5"/>
    <n v="610081.5"/>
    <n v="467220"/>
    <n v="142861.5"/>
    <x v="9"/>
    <n v="9"/>
    <s v=" September "/>
    <x v="1"/>
    <n v="0.2341678939617084"/>
    <s v="High"/>
    <s v="OK"/>
    <s v="Sep-2013"/>
    <s v="Profit"/>
    <s v="High Sales"/>
    <b v="1"/>
  </r>
  <r>
    <x v="3"/>
    <x v="2"/>
    <x v="1"/>
    <x v="1"/>
    <n v="1287"/>
    <n v="5"/>
    <n v="125"/>
    <n v="160875"/>
    <n v="4826.25"/>
    <n v="156048.75"/>
    <n v="154440"/>
    <n v="1608.75"/>
    <x v="2"/>
    <n v="12"/>
    <s v=" December "/>
    <x v="0"/>
    <n v="1.0309278350515464E-2"/>
    <s v="High"/>
    <s v="OK"/>
    <s v="Dec-2014"/>
    <s v="Profit"/>
    <s v="High Sales"/>
    <b v="1"/>
  </r>
  <r>
    <x v="3"/>
    <x v="1"/>
    <x v="1"/>
    <x v="1"/>
    <n v="1706"/>
    <n v="5"/>
    <n v="125"/>
    <n v="213250"/>
    <n v="6397.5"/>
    <n v="206852.5"/>
    <n v="204720"/>
    <n v="2132.5"/>
    <x v="2"/>
    <n v="12"/>
    <s v=" December "/>
    <x v="0"/>
    <n v="1.0309278350515464E-2"/>
    <s v="High"/>
    <s v="OK"/>
    <s v="Dec-2014"/>
    <s v="Profit"/>
    <s v="High Sales"/>
    <b v="1"/>
  </r>
  <r>
    <x v="4"/>
    <x v="2"/>
    <x v="2"/>
    <x v="1"/>
    <n v="2434.5"/>
    <n v="10"/>
    <n v="300"/>
    <n v="730350"/>
    <n v="21910.5"/>
    <n v="708439.5"/>
    <n v="608625"/>
    <n v="99814.5"/>
    <x v="0"/>
    <n v="1"/>
    <s v=" January "/>
    <x v="0"/>
    <n v="0.14089347079037801"/>
    <s v="High"/>
    <s v="OK"/>
    <s v="Jan-2014"/>
    <s v="Profit"/>
    <s v="High Sales"/>
    <b v="1"/>
  </r>
  <r>
    <x v="3"/>
    <x v="0"/>
    <x v="2"/>
    <x v="1"/>
    <n v="1774"/>
    <n v="10"/>
    <n v="125"/>
    <n v="221750"/>
    <n v="6652.5"/>
    <n v="215097.5"/>
    <n v="212880"/>
    <n v="2217.5"/>
    <x v="3"/>
    <n v="3"/>
    <s v=" March "/>
    <x v="0"/>
    <n v="1.0309278350515464E-2"/>
    <s v="High"/>
    <s v="OK"/>
    <s v="Mar-2014"/>
    <s v="Profit"/>
    <s v="High Sales"/>
    <b v="1"/>
  </r>
  <r>
    <x v="2"/>
    <x v="2"/>
    <x v="2"/>
    <x v="1"/>
    <n v="1901"/>
    <n v="10"/>
    <n v="12"/>
    <n v="22812"/>
    <n v="684.36"/>
    <n v="22127.64"/>
    <n v="5703"/>
    <n v="16424.64"/>
    <x v="1"/>
    <n v="6"/>
    <s v=" June "/>
    <x v="0"/>
    <n v="0.74226804123711343"/>
    <s v="Low"/>
    <s v="OK"/>
    <s v="Jun-2014"/>
    <s v="Profit"/>
    <s v="Low Sales"/>
    <b v="1"/>
  </r>
  <r>
    <x v="4"/>
    <x v="1"/>
    <x v="2"/>
    <x v="1"/>
    <n v="689"/>
    <n v="10"/>
    <n v="300"/>
    <n v="206700"/>
    <n v="6201"/>
    <n v="200499"/>
    <n v="172250"/>
    <n v="28249"/>
    <x v="1"/>
    <n v="6"/>
    <s v=" June "/>
    <x v="0"/>
    <n v="0.14089347079037801"/>
    <s v="High"/>
    <s v="OK"/>
    <s v="Jun-2014"/>
    <s v="Profit"/>
    <s v="High Sales"/>
    <b v="1"/>
  </r>
  <r>
    <x v="3"/>
    <x v="1"/>
    <x v="2"/>
    <x v="1"/>
    <n v="1570"/>
    <n v="10"/>
    <n v="125"/>
    <n v="196250"/>
    <n v="5887.5"/>
    <n v="190362.5"/>
    <n v="188400"/>
    <n v="1962.5"/>
    <x v="1"/>
    <n v="6"/>
    <s v=" June "/>
    <x v="0"/>
    <n v="1.0309278350515464E-2"/>
    <s v="High"/>
    <s v="OK"/>
    <s v="Jun-2014"/>
    <s v="Profit"/>
    <s v="High Sales"/>
    <b v="1"/>
  </r>
  <r>
    <x v="2"/>
    <x v="4"/>
    <x v="2"/>
    <x v="1"/>
    <n v="1369.5"/>
    <n v="10"/>
    <n v="12"/>
    <n v="16434"/>
    <n v="493.02"/>
    <n v="15940.98"/>
    <n v="4108.5"/>
    <n v="11832.48"/>
    <x v="4"/>
    <n v="7"/>
    <s v=" July "/>
    <x v="0"/>
    <n v="0.74226804123711343"/>
    <s v="Low"/>
    <s v="OK"/>
    <s v="Jul-2014"/>
    <s v="Profit"/>
    <s v="Low Sales"/>
    <b v="1"/>
  </r>
  <r>
    <x v="3"/>
    <x v="0"/>
    <x v="2"/>
    <x v="1"/>
    <n v="2009"/>
    <n v="10"/>
    <n v="125"/>
    <n v="251125"/>
    <n v="7533.75"/>
    <n v="243591.25"/>
    <n v="241080"/>
    <n v="2511.25"/>
    <x v="10"/>
    <n v="10"/>
    <s v=" October "/>
    <x v="0"/>
    <n v="1.0309278350515464E-2"/>
    <s v="High"/>
    <s v="OK"/>
    <s v="Oct-2014"/>
    <s v="Profit"/>
    <s v="High Sales"/>
    <b v="1"/>
  </r>
  <r>
    <x v="1"/>
    <x v="1"/>
    <x v="2"/>
    <x v="1"/>
    <n v="1945"/>
    <n v="10"/>
    <n v="15"/>
    <n v="29175"/>
    <n v="875.25"/>
    <n v="28299.75"/>
    <n v="19450"/>
    <n v="8849.75"/>
    <x v="7"/>
    <n v="10"/>
    <s v=" October "/>
    <x v="1"/>
    <n v="0.3127147766323024"/>
    <s v="Low"/>
    <s v="OK"/>
    <s v="Oct-2013"/>
    <s v="Profit"/>
    <s v="Low Sales"/>
    <b v="1"/>
  </r>
  <r>
    <x v="3"/>
    <x v="2"/>
    <x v="2"/>
    <x v="1"/>
    <n v="1287"/>
    <n v="10"/>
    <n v="125"/>
    <n v="160875"/>
    <n v="4826.25"/>
    <n v="156048.75"/>
    <n v="154440"/>
    <n v="1608.75"/>
    <x v="2"/>
    <n v="12"/>
    <s v=" December "/>
    <x v="0"/>
    <n v="1.0309278350515464E-2"/>
    <s v="High"/>
    <s v="OK"/>
    <s v="Dec-2014"/>
    <s v="Profit"/>
    <s v="High Sales"/>
    <b v="1"/>
  </r>
  <r>
    <x v="3"/>
    <x v="1"/>
    <x v="2"/>
    <x v="1"/>
    <n v="1706"/>
    <n v="10"/>
    <n v="125"/>
    <n v="213250"/>
    <n v="6397.5"/>
    <n v="206852.5"/>
    <n v="204720"/>
    <n v="2132.5"/>
    <x v="2"/>
    <n v="12"/>
    <s v=" December "/>
    <x v="0"/>
    <n v="1.0309278350515464E-2"/>
    <s v="High"/>
    <s v="OK"/>
    <s v="Dec-2014"/>
    <s v="Profit"/>
    <s v="High Sales"/>
    <b v="1"/>
  </r>
  <r>
    <x v="3"/>
    <x v="0"/>
    <x v="3"/>
    <x v="1"/>
    <n v="2009"/>
    <n v="120"/>
    <n v="125"/>
    <n v="251125"/>
    <n v="7533.75"/>
    <n v="243591.25"/>
    <n v="241080"/>
    <n v="2511.25"/>
    <x v="10"/>
    <n v="10"/>
    <s v=" October "/>
    <x v="0"/>
    <n v="1.0309278350515464E-2"/>
    <s v="High"/>
    <s v="OK"/>
    <s v="Oct-2014"/>
    <s v="Profit"/>
    <s v="High Sales"/>
    <b v="1"/>
  </r>
  <r>
    <x v="4"/>
    <x v="4"/>
    <x v="4"/>
    <x v="1"/>
    <n v="2844"/>
    <n v="250"/>
    <n v="300"/>
    <n v="853200"/>
    <n v="25596"/>
    <n v="827604"/>
    <n v="711000"/>
    <n v="116604"/>
    <x v="8"/>
    <n v="2"/>
    <s v=" February "/>
    <x v="0"/>
    <n v="0.14089347079037801"/>
    <s v="High"/>
    <s v="OK"/>
    <s v="Feb-2014"/>
    <s v="Profit"/>
    <s v="High Sales"/>
    <b v="1"/>
  </r>
  <r>
    <x v="2"/>
    <x v="3"/>
    <x v="4"/>
    <x v="1"/>
    <n v="1916"/>
    <n v="250"/>
    <n v="12"/>
    <n v="22992"/>
    <n v="689.76"/>
    <n v="22302.240000000002"/>
    <n v="5748"/>
    <n v="16554.240000000002"/>
    <x v="13"/>
    <n v="4"/>
    <s v=" April "/>
    <x v="0"/>
    <n v="0.74226804123711343"/>
    <s v="Low"/>
    <s v="OK"/>
    <s v="Apr-2014"/>
    <s v="Profit"/>
    <s v="Low Sales"/>
    <b v="1"/>
  </r>
  <r>
    <x v="3"/>
    <x v="1"/>
    <x v="4"/>
    <x v="1"/>
    <n v="1570"/>
    <n v="250"/>
    <n v="125"/>
    <n v="196250"/>
    <n v="5887.5"/>
    <n v="190362.5"/>
    <n v="188400"/>
    <n v="1962.5"/>
    <x v="1"/>
    <n v="6"/>
    <s v=" June "/>
    <x v="0"/>
    <n v="1.0309278350515464E-2"/>
    <s v="High"/>
    <s v="OK"/>
    <s v="Jun-2014"/>
    <s v="Profit"/>
    <s v="High Sales"/>
    <b v="1"/>
  </r>
  <r>
    <x v="4"/>
    <x v="0"/>
    <x v="4"/>
    <x v="1"/>
    <n v="1874"/>
    <n v="250"/>
    <n v="300"/>
    <n v="562200"/>
    <n v="16866"/>
    <n v="545334"/>
    <n v="468500"/>
    <n v="76834"/>
    <x v="5"/>
    <n v="8"/>
    <s v=" August "/>
    <x v="0"/>
    <n v="0.14089347079037801"/>
    <s v="High"/>
    <s v="OK"/>
    <s v="Aug-2014"/>
    <s v="Profit"/>
    <s v="High Sales"/>
    <b v="1"/>
  </r>
  <r>
    <x v="0"/>
    <x v="3"/>
    <x v="4"/>
    <x v="1"/>
    <n v="1642"/>
    <n v="250"/>
    <n v="350"/>
    <n v="574700"/>
    <n v="17241"/>
    <n v="557459"/>
    <n v="426920"/>
    <n v="130539"/>
    <x v="5"/>
    <n v="8"/>
    <s v=" August "/>
    <x v="0"/>
    <n v="0.2341678939617084"/>
    <s v="High"/>
    <s v="OK"/>
    <s v="Aug-2014"/>
    <s v="Profit"/>
    <s v="High Sales"/>
    <b v="1"/>
  </r>
  <r>
    <x v="1"/>
    <x v="1"/>
    <x v="4"/>
    <x v="1"/>
    <n v="1945"/>
    <n v="250"/>
    <n v="15"/>
    <n v="29175"/>
    <n v="875.25"/>
    <n v="28299.75"/>
    <n v="19450"/>
    <n v="8849.75"/>
    <x v="7"/>
    <n v="10"/>
    <s v=" October "/>
    <x v="1"/>
    <n v="0.3127147766323024"/>
    <s v="Low"/>
    <s v="OK"/>
    <s v="Oct-2013"/>
    <s v="Profit"/>
    <s v="Low Sales"/>
    <b v="1"/>
  </r>
  <r>
    <x v="0"/>
    <x v="0"/>
    <x v="0"/>
    <x v="1"/>
    <n v="831"/>
    <n v="3"/>
    <n v="20"/>
    <n v="16620"/>
    <n v="498.6"/>
    <n v="16121.4"/>
    <n v="8310"/>
    <n v="7811.4"/>
    <x v="14"/>
    <n v="5"/>
    <s v=" May "/>
    <x v="0"/>
    <n v="0.4845360824742268"/>
    <s v="Low"/>
    <s v="OK"/>
    <s v="May-2014"/>
    <s v="Profit"/>
    <s v="Low Sales"/>
    <b v="1"/>
  </r>
  <r>
    <x v="0"/>
    <x v="3"/>
    <x v="2"/>
    <x v="1"/>
    <n v="1760"/>
    <n v="10"/>
    <n v="7"/>
    <n v="12320"/>
    <n v="369.6"/>
    <n v="11950.4"/>
    <n v="8800"/>
    <n v="3150.4"/>
    <x v="9"/>
    <n v="9"/>
    <s v=" September "/>
    <x v="1"/>
    <n v="0.26362297496318116"/>
    <s v="Low"/>
    <s v="OK"/>
    <s v="Sep-2013"/>
    <s v="Profit"/>
    <s v="Low Sales"/>
    <b v="1"/>
  </r>
  <r>
    <x v="0"/>
    <x v="0"/>
    <x v="3"/>
    <x v="1"/>
    <n v="3850.5"/>
    <n v="120"/>
    <n v="20"/>
    <n v="77010"/>
    <n v="2310.3000000000002"/>
    <n v="74699.7"/>
    <n v="38505"/>
    <n v="36194.699999999997"/>
    <x v="13"/>
    <n v="4"/>
    <s v=" April "/>
    <x v="0"/>
    <n v="0.4845360824742268"/>
    <s v="Medium"/>
    <s v="OK"/>
    <s v="Apr-2014"/>
    <s v="Profit"/>
    <s v="High Sales"/>
    <b v="1"/>
  </r>
  <r>
    <x v="2"/>
    <x v="1"/>
    <x v="4"/>
    <x v="1"/>
    <n v="2479"/>
    <n v="250"/>
    <n v="12"/>
    <n v="29748"/>
    <n v="892.44"/>
    <n v="28855.56"/>
    <n v="7437"/>
    <n v="21418.560000000001"/>
    <x v="0"/>
    <n v="1"/>
    <s v=" January "/>
    <x v="0"/>
    <n v="0.74226804123711343"/>
    <s v="Low"/>
    <s v="OK"/>
    <s v="Jan-2014"/>
    <s v="Profit"/>
    <s v="Low Sales"/>
    <b v="1"/>
  </r>
  <r>
    <x v="1"/>
    <x v="3"/>
    <x v="1"/>
    <x v="1"/>
    <n v="2031"/>
    <n v="5"/>
    <n v="15"/>
    <n v="30465"/>
    <n v="1218.5999999999999"/>
    <n v="29246.400000000001"/>
    <n v="20310"/>
    <n v="8936.4"/>
    <x v="10"/>
    <n v="10"/>
    <s v=" October "/>
    <x v="0"/>
    <n v="0.30555555555555552"/>
    <s v="Low"/>
    <s v="OK"/>
    <s v="Oct-2014"/>
    <s v="Profit"/>
    <s v="Low Sales"/>
    <b v="1"/>
  </r>
  <r>
    <x v="1"/>
    <x v="3"/>
    <x v="2"/>
    <x v="1"/>
    <n v="2031"/>
    <n v="10"/>
    <n v="15"/>
    <n v="30465"/>
    <n v="1218.5999999999999"/>
    <n v="29246.400000000001"/>
    <n v="20310"/>
    <n v="8936.4"/>
    <x v="10"/>
    <n v="10"/>
    <s v=" October "/>
    <x v="0"/>
    <n v="0.30555555555555552"/>
    <s v="Low"/>
    <s v="OK"/>
    <s v="Oct-2014"/>
    <s v="Profit"/>
    <s v="Low Sales"/>
    <b v="1"/>
  </r>
  <r>
    <x v="1"/>
    <x v="2"/>
    <x v="2"/>
    <x v="1"/>
    <n v="2261"/>
    <n v="10"/>
    <n v="15"/>
    <n v="33915"/>
    <n v="1356.6"/>
    <n v="32558.400000000001"/>
    <n v="22610"/>
    <n v="9948.4"/>
    <x v="12"/>
    <n v="12"/>
    <s v=" December "/>
    <x v="1"/>
    <n v="0.30555555555555552"/>
    <s v="Low"/>
    <s v="OK"/>
    <s v="Dec-2013"/>
    <s v="Profit"/>
    <s v="Low Sales"/>
    <b v="1"/>
  </r>
  <r>
    <x v="0"/>
    <x v="4"/>
    <x v="3"/>
    <x v="1"/>
    <n v="736"/>
    <n v="120"/>
    <n v="20"/>
    <n v="14720"/>
    <n v="588.79999999999995"/>
    <n v="14131.2"/>
    <n v="7360"/>
    <n v="6771.2"/>
    <x v="9"/>
    <n v="9"/>
    <s v=" September "/>
    <x v="1"/>
    <n v="0.47916666666666663"/>
    <s v="Low"/>
    <s v="OK"/>
    <s v="Sep-2013"/>
    <s v="Profit"/>
    <s v="Low Sales"/>
    <b v="1"/>
  </r>
  <r>
    <x v="0"/>
    <x v="0"/>
    <x v="0"/>
    <x v="1"/>
    <n v="2851"/>
    <n v="3"/>
    <n v="7"/>
    <n v="19957"/>
    <n v="798.28"/>
    <n v="19158.72"/>
    <n v="14255"/>
    <n v="4903.72"/>
    <x v="7"/>
    <n v="10"/>
    <s v=" October "/>
    <x v="1"/>
    <n v="0.25595238095238093"/>
    <s v="Low"/>
    <s v="OK"/>
    <s v="Oct-2013"/>
    <s v="Profit"/>
    <s v="Low Sales"/>
    <b v="1"/>
  </r>
  <r>
    <x v="4"/>
    <x v="1"/>
    <x v="0"/>
    <x v="1"/>
    <n v="2021"/>
    <n v="3"/>
    <n v="300"/>
    <n v="606300"/>
    <n v="24252"/>
    <n v="582048"/>
    <n v="505250"/>
    <n v="76798"/>
    <x v="10"/>
    <n v="10"/>
    <s v=" October "/>
    <x v="0"/>
    <n v="0.13194444444444445"/>
    <s v="High"/>
    <s v="OK"/>
    <s v="Oct-2014"/>
    <s v="Profit"/>
    <s v="High Sales"/>
    <b v="1"/>
  </r>
  <r>
    <x v="0"/>
    <x v="4"/>
    <x v="0"/>
    <x v="1"/>
    <n v="274"/>
    <n v="3"/>
    <n v="350"/>
    <n v="95900"/>
    <n v="3836"/>
    <n v="92064"/>
    <n v="71240"/>
    <n v="20824"/>
    <x v="2"/>
    <n v="12"/>
    <s v=" December "/>
    <x v="0"/>
    <n v="0.22619047619047619"/>
    <s v="Medium"/>
    <s v="OK"/>
    <s v="Dec-2014"/>
    <s v="Profit"/>
    <s v="High Sales"/>
    <b v="1"/>
  </r>
  <r>
    <x v="1"/>
    <x v="0"/>
    <x v="1"/>
    <x v="1"/>
    <n v="1967"/>
    <n v="5"/>
    <n v="15"/>
    <n v="29505"/>
    <n v="1180.2"/>
    <n v="28324.799999999999"/>
    <n v="19670"/>
    <n v="8654.7999999999993"/>
    <x v="3"/>
    <n v="3"/>
    <s v=" March "/>
    <x v="0"/>
    <n v="0.30555555555555552"/>
    <s v="Low"/>
    <s v="OK"/>
    <s v="Mar-2014"/>
    <s v="Profit"/>
    <s v="Low Sales"/>
    <b v="1"/>
  </r>
  <r>
    <x v="4"/>
    <x v="1"/>
    <x v="1"/>
    <x v="1"/>
    <n v="1859"/>
    <n v="5"/>
    <n v="300"/>
    <n v="557700"/>
    <n v="22308"/>
    <n v="535392"/>
    <n v="464750"/>
    <n v="70642"/>
    <x v="5"/>
    <n v="8"/>
    <s v=" August "/>
    <x v="0"/>
    <n v="0.13194444444444445"/>
    <s v="High"/>
    <s v="OK"/>
    <s v="Aug-2014"/>
    <s v="Profit"/>
    <s v="High Sales"/>
    <b v="1"/>
  </r>
  <r>
    <x v="0"/>
    <x v="0"/>
    <x v="1"/>
    <x v="1"/>
    <n v="2851"/>
    <n v="5"/>
    <n v="7"/>
    <n v="19957"/>
    <n v="798.28"/>
    <n v="19158.72"/>
    <n v="14255"/>
    <n v="4903.72"/>
    <x v="7"/>
    <n v="10"/>
    <s v=" October "/>
    <x v="1"/>
    <n v="0.25595238095238093"/>
    <s v="Low"/>
    <s v="OK"/>
    <s v="Oct-2013"/>
    <s v="Profit"/>
    <s v="Low Sales"/>
    <b v="1"/>
  </r>
  <r>
    <x v="4"/>
    <x v="1"/>
    <x v="1"/>
    <x v="1"/>
    <n v="2021"/>
    <n v="5"/>
    <n v="300"/>
    <n v="606300"/>
    <n v="24252"/>
    <n v="582048"/>
    <n v="505250"/>
    <n v="76798"/>
    <x v="10"/>
    <n v="10"/>
    <s v=" October "/>
    <x v="0"/>
    <n v="0.13194444444444445"/>
    <s v="High"/>
    <s v="OK"/>
    <s v="Oct-2014"/>
    <s v="Profit"/>
    <s v="High Sales"/>
    <b v="1"/>
  </r>
  <r>
    <x v="3"/>
    <x v="3"/>
    <x v="1"/>
    <x v="1"/>
    <n v="1138"/>
    <n v="5"/>
    <n v="125"/>
    <n v="142250"/>
    <n v="5690"/>
    <n v="136560"/>
    <n v="136560"/>
    <n v="0"/>
    <x v="2"/>
    <n v="12"/>
    <s v=" December "/>
    <x v="0"/>
    <n v="0"/>
    <s v="High"/>
    <s v="OK"/>
    <s v="Dec-2014"/>
    <s v="Loss"/>
    <s v="High Sales"/>
    <b v="1"/>
  </r>
  <r>
    <x v="0"/>
    <x v="0"/>
    <x v="2"/>
    <x v="1"/>
    <n v="4251"/>
    <n v="10"/>
    <n v="7"/>
    <n v="29757"/>
    <n v="1190.28"/>
    <n v="28566.720000000001"/>
    <n v="21255"/>
    <n v="7311.72"/>
    <x v="0"/>
    <n v="1"/>
    <s v=" January "/>
    <x v="0"/>
    <n v="0.25595238095238093"/>
    <s v="Low"/>
    <s v="OK"/>
    <s v="Jan-2014"/>
    <s v="Profit"/>
    <s v="Low Sales"/>
    <b v="1"/>
  </r>
  <r>
    <x v="3"/>
    <x v="1"/>
    <x v="2"/>
    <x v="1"/>
    <n v="795"/>
    <n v="10"/>
    <n v="125"/>
    <n v="99375"/>
    <n v="3975"/>
    <n v="95400"/>
    <n v="95400"/>
    <n v="0"/>
    <x v="3"/>
    <n v="3"/>
    <s v=" March "/>
    <x v="0"/>
    <n v="0"/>
    <s v="Medium"/>
    <s v="OK"/>
    <s v="Mar-2014"/>
    <s v="Loss"/>
    <s v="High Sales"/>
    <b v="1"/>
  </r>
  <r>
    <x v="4"/>
    <x v="1"/>
    <x v="2"/>
    <x v="1"/>
    <n v="1414.5"/>
    <n v="10"/>
    <n v="300"/>
    <n v="424350"/>
    <n v="16974"/>
    <n v="407376"/>
    <n v="353625"/>
    <n v="53751"/>
    <x v="13"/>
    <n v="4"/>
    <s v=" April "/>
    <x v="0"/>
    <n v="0.13194444444444445"/>
    <s v="High"/>
    <s v="OK"/>
    <s v="Apr-2014"/>
    <s v="Profit"/>
    <s v="High Sales"/>
    <b v="1"/>
  </r>
  <r>
    <x v="4"/>
    <x v="4"/>
    <x v="2"/>
    <x v="1"/>
    <n v="2918"/>
    <n v="10"/>
    <n v="300"/>
    <n v="875400"/>
    <n v="35016"/>
    <n v="840384"/>
    <n v="729500"/>
    <n v="110884"/>
    <x v="14"/>
    <n v="5"/>
    <s v=" May "/>
    <x v="0"/>
    <n v="0.13194444444444445"/>
    <s v="High"/>
    <s v="OK"/>
    <s v="May-2014"/>
    <s v="Profit"/>
    <s v="High Sales"/>
    <b v="1"/>
  </r>
  <r>
    <x v="0"/>
    <x v="4"/>
    <x v="2"/>
    <x v="1"/>
    <n v="3450"/>
    <n v="10"/>
    <n v="350"/>
    <n v="1207500"/>
    <n v="48300"/>
    <n v="1159200"/>
    <n v="897000"/>
    <n v="262200"/>
    <x v="4"/>
    <n v="7"/>
    <s v=" July "/>
    <x v="0"/>
    <n v="0.22619047619047619"/>
    <s v="High"/>
    <s v="OK"/>
    <s v="Jul-2014"/>
    <s v="Profit"/>
    <s v="High Sales"/>
    <b v="1"/>
  </r>
  <r>
    <x v="3"/>
    <x v="2"/>
    <x v="2"/>
    <x v="1"/>
    <n v="2988"/>
    <n v="10"/>
    <n v="125"/>
    <n v="373500"/>
    <n v="14940"/>
    <n v="358560"/>
    <n v="358560"/>
    <n v="0"/>
    <x v="4"/>
    <n v="7"/>
    <s v=" July "/>
    <x v="0"/>
    <n v="0"/>
    <s v="High"/>
    <s v="OK"/>
    <s v="Jul-2014"/>
    <s v="Loss"/>
    <s v="High Sales"/>
    <b v="1"/>
  </r>
  <r>
    <x v="1"/>
    <x v="0"/>
    <x v="2"/>
    <x v="1"/>
    <n v="218"/>
    <n v="10"/>
    <n v="15"/>
    <n v="3270"/>
    <n v="130.80000000000001"/>
    <n v="3139.2"/>
    <n v="2180"/>
    <n v="959.2"/>
    <x v="6"/>
    <n v="9"/>
    <s v=" September "/>
    <x v="0"/>
    <n v="0.30555555555555558"/>
    <s v="Low"/>
    <s v="OK"/>
    <s v="Sep-2014"/>
    <s v="Profit"/>
    <s v="Low Sales"/>
    <b v="1"/>
  </r>
  <r>
    <x v="0"/>
    <x v="0"/>
    <x v="2"/>
    <x v="1"/>
    <n v="2074"/>
    <n v="10"/>
    <n v="20"/>
    <n v="41480"/>
    <n v="1659.2"/>
    <n v="39820.800000000003"/>
    <n v="20740"/>
    <n v="19080.8"/>
    <x v="6"/>
    <n v="9"/>
    <s v=" September "/>
    <x v="0"/>
    <n v="0.47916666666666663"/>
    <s v="Low"/>
    <s v="OK"/>
    <s v="Sep-2014"/>
    <s v="Profit"/>
    <s v="Low Sales"/>
    <b v="1"/>
  </r>
  <r>
    <x v="0"/>
    <x v="4"/>
    <x v="2"/>
    <x v="1"/>
    <n v="1056"/>
    <n v="10"/>
    <n v="20"/>
    <n v="21120"/>
    <n v="844.8"/>
    <n v="20275.2"/>
    <n v="10560"/>
    <n v="9715.2000000000007"/>
    <x v="6"/>
    <n v="9"/>
    <s v=" September "/>
    <x v="0"/>
    <n v="0.47916666666666669"/>
    <s v="Low"/>
    <s v="OK"/>
    <s v="Sep-2014"/>
    <s v="Profit"/>
    <s v="Low Sales"/>
    <b v="1"/>
  </r>
  <r>
    <x v="1"/>
    <x v="4"/>
    <x v="2"/>
    <x v="1"/>
    <n v="671"/>
    <n v="10"/>
    <n v="15"/>
    <n v="10065"/>
    <n v="402.6"/>
    <n v="9662.4"/>
    <n v="6710"/>
    <n v="2952.4"/>
    <x v="7"/>
    <n v="10"/>
    <s v=" October "/>
    <x v="1"/>
    <n v="0.30555555555555558"/>
    <s v="Low"/>
    <s v="OK"/>
    <s v="Oct-2013"/>
    <s v="Profit"/>
    <s v="Low Sales"/>
    <b v="1"/>
  </r>
  <r>
    <x v="1"/>
    <x v="3"/>
    <x v="2"/>
    <x v="1"/>
    <n v="1514"/>
    <n v="10"/>
    <n v="15"/>
    <n v="22710"/>
    <n v="908.4"/>
    <n v="21801.599999999999"/>
    <n v="15140"/>
    <n v="6661.6"/>
    <x v="7"/>
    <n v="10"/>
    <s v=" October "/>
    <x v="1"/>
    <n v="0.30555555555555558"/>
    <s v="Low"/>
    <s v="OK"/>
    <s v="Oct-2013"/>
    <s v="Profit"/>
    <s v="Low Sales"/>
    <b v="1"/>
  </r>
  <r>
    <x v="0"/>
    <x v="4"/>
    <x v="2"/>
    <x v="1"/>
    <n v="274"/>
    <n v="10"/>
    <n v="350"/>
    <n v="95900"/>
    <n v="3836"/>
    <n v="92064"/>
    <n v="71240"/>
    <n v="20824"/>
    <x v="2"/>
    <n v="12"/>
    <s v=" December "/>
    <x v="0"/>
    <n v="0.22619047619047619"/>
    <s v="Medium"/>
    <s v="OK"/>
    <s v="Dec-2014"/>
    <s v="Profit"/>
    <s v="High Sales"/>
    <b v="1"/>
  </r>
  <r>
    <x v="3"/>
    <x v="3"/>
    <x v="2"/>
    <x v="1"/>
    <n v="1138"/>
    <n v="10"/>
    <n v="125"/>
    <n v="142250"/>
    <n v="5690"/>
    <n v="136560"/>
    <n v="136560"/>
    <n v="0"/>
    <x v="2"/>
    <n v="12"/>
    <s v=" December "/>
    <x v="0"/>
    <n v="0"/>
    <s v="High"/>
    <s v="OK"/>
    <s v="Dec-2014"/>
    <s v="Loss"/>
    <s v="High Sales"/>
    <b v="1"/>
  </r>
  <r>
    <x v="2"/>
    <x v="4"/>
    <x v="3"/>
    <x v="1"/>
    <n v="1465"/>
    <n v="120"/>
    <n v="12"/>
    <n v="17580"/>
    <n v="703.2"/>
    <n v="16876.8"/>
    <n v="4395"/>
    <n v="12481.8"/>
    <x v="3"/>
    <n v="3"/>
    <s v=" March "/>
    <x v="0"/>
    <n v="0.73958333333333337"/>
    <s v="Low"/>
    <s v="OK"/>
    <s v="Mar-2014"/>
    <s v="Profit"/>
    <s v="Low Sales"/>
    <b v="1"/>
  </r>
  <r>
    <x v="0"/>
    <x v="0"/>
    <x v="3"/>
    <x v="1"/>
    <n v="2646"/>
    <n v="120"/>
    <n v="20"/>
    <n v="52920"/>
    <n v="2116.8000000000002"/>
    <n v="50803.199999999997"/>
    <n v="26460"/>
    <n v="24343.200000000001"/>
    <x v="9"/>
    <n v="9"/>
    <s v=" September "/>
    <x v="1"/>
    <n v="0.47916666666666669"/>
    <s v="Medium"/>
    <s v="OK"/>
    <s v="Sep-2013"/>
    <s v="Profit"/>
    <s v="High Sales"/>
    <b v="1"/>
  </r>
  <r>
    <x v="0"/>
    <x v="2"/>
    <x v="3"/>
    <x v="1"/>
    <n v="2177"/>
    <n v="120"/>
    <n v="350"/>
    <n v="761950"/>
    <n v="30478"/>
    <n v="731472"/>
    <n v="566020"/>
    <n v="165452"/>
    <x v="10"/>
    <n v="10"/>
    <s v=" October "/>
    <x v="0"/>
    <n v="0.22619047619047619"/>
    <s v="High"/>
    <s v="OK"/>
    <s v="Oct-2014"/>
    <s v="Profit"/>
    <s v="High Sales"/>
    <b v="1"/>
  </r>
  <r>
    <x v="2"/>
    <x v="2"/>
    <x v="4"/>
    <x v="1"/>
    <n v="866"/>
    <n v="250"/>
    <n v="12"/>
    <n v="10392"/>
    <n v="415.68"/>
    <n v="9976.32"/>
    <n v="2598"/>
    <n v="7378.32"/>
    <x v="14"/>
    <n v="5"/>
    <s v=" May "/>
    <x v="0"/>
    <n v="0.73958333333333337"/>
    <s v="Low"/>
    <s v="OK"/>
    <s v="May-2014"/>
    <s v="Profit"/>
    <s v="Low Sales"/>
    <b v="1"/>
  </r>
  <r>
    <x v="0"/>
    <x v="4"/>
    <x v="4"/>
    <x v="1"/>
    <n v="349"/>
    <n v="250"/>
    <n v="350"/>
    <n v="122150"/>
    <n v="4886"/>
    <n v="117264"/>
    <n v="90740"/>
    <n v="26524"/>
    <x v="9"/>
    <n v="9"/>
    <s v=" September "/>
    <x v="1"/>
    <n v="0.22619047619047619"/>
    <s v="High"/>
    <s v="OK"/>
    <s v="Sep-2013"/>
    <s v="Profit"/>
    <s v="High Sales"/>
    <b v="1"/>
  </r>
  <r>
    <x v="0"/>
    <x v="2"/>
    <x v="4"/>
    <x v="1"/>
    <n v="2177"/>
    <n v="250"/>
    <n v="350"/>
    <n v="761950"/>
    <n v="30478"/>
    <n v="731472"/>
    <n v="566020"/>
    <n v="165452"/>
    <x v="10"/>
    <n v="10"/>
    <s v=" October "/>
    <x v="0"/>
    <n v="0.22619047619047619"/>
    <s v="High"/>
    <s v="OK"/>
    <s v="Oct-2014"/>
    <s v="Profit"/>
    <s v="High Sales"/>
    <b v="1"/>
  </r>
  <r>
    <x v="1"/>
    <x v="3"/>
    <x v="4"/>
    <x v="1"/>
    <n v="1514"/>
    <n v="250"/>
    <n v="15"/>
    <n v="22710"/>
    <n v="908.4"/>
    <n v="21801.599999999999"/>
    <n v="15140"/>
    <n v="6661.6"/>
    <x v="7"/>
    <n v="10"/>
    <s v=" October "/>
    <x v="1"/>
    <n v="0.30555555555555558"/>
    <s v="Low"/>
    <s v="OK"/>
    <s v="Oct-2013"/>
    <s v="Profit"/>
    <s v="Low Sales"/>
    <b v="1"/>
  </r>
  <r>
    <x v="0"/>
    <x v="3"/>
    <x v="5"/>
    <x v="1"/>
    <n v="1865"/>
    <n v="260"/>
    <n v="350"/>
    <n v="652750"/>
    <n v="26110"/>
    <n v="626640"/>
    <n v="484900"/>
    <n v="141740"/>
    <x v="8"/>
    <n v="2"/>
    <s v=" February "/>
    <x v="0"/>
    <n v="0.22619047619047619"/>
    <s v="High"/>
    <s v="OK"/>
    <s v="Feb-2014"/>
    <s v="Profit"/>
    <s v="High Sales"/>
    <b v="1"/>
  </r>
  <r>
    <x v="3"/>
    <x v="3"/>
    <x v="5"/>
    <x v="1"/>
    <n v="1074"/>
    <n v="260"/>
    <n v="125"/>
    <n v="134250"/>
    <n v="5370"/>
    <n v="128880"/>
    <n v="128880"/>
    <n v="0"/>
    <x v="13"/>
    <n v="4"/>
    <s v=" April "/>
    <x v="0"/>
    <n v="0"/>
    <s v="High"/>
    <s v="OK"/>
    <s v="Apr-2014"/>
    <s v="Loss"/>
    <s v="High Sales"/>
    <b v="1"/>
  </r>
  <r>
    <x v="0"/>
    <x v="1"/>
    <x v="5"/>
    <x v="1"/>
    <n v="1907"/>
    <n v="260"/>
    <n v="350"/>
    <n v="667450"/>
    <n v="26698"/>
    <n v="640752"/>
    <n v="495820"/>
    <n v="144932"/>
    <x v="6"/>
    <n v="9"/>
    <s v=" September "/>
    <x v="0"/>
    <n v="0.22619047619047619"/>
    <s v="High"/>
    <s v="OK"/>
    <s v="Sep-2014"/>
    <s v="Profit"/>
    <s v="High Sales"/>
    <b v="1"/>
  </r>
  <r>
    <x v="1"/>
    <x v="4"/>
    <x v="5"/>
    <x v="1"/>
    <n v="671"/>
    <n v="260"/>
    <n v="15"/>
    <n v="10065"/>
    <n v="402.6"/>
    <n v="9662.4"/>
    <n v="6710"/>
    <n v="2952.4"/>
    <x v="7"/>
    <n v="10"/>
    <s v=" October "/>
    <x v="1"/>
    <n v="0.30555555555555558"/>
    <s v="Low"/>
    <s v="OK"/>
    <s v="Oct-2013"/>
    <s v="Profit"/>
    <s v="Low Sales"/>
    <b v="1"/>
  </r>
  <r>
    <x v="0"/>
    <x v="0"/>
    <x v="5"/>
    <x v="1"/>
    <n v="1778"/>
    <n v="260"/>
    <n v="350"/>
    <n v="622300"/>
    <n v="24892"/>
    <n v="597408"/>
    <n v="462280"/>
    <n v="135128"/>
    <x v="12"/>
    <n v="12"/>
    <s v=" December "/>
    <x v="1"/>
    <n v="0.22619047619047619"/>
    <s v="High"/>
    <s v="OK"/>
    <s v="Dec-2013"/>
    <s v="Profit"/>
    <s v="High Sales"/>
    <b v="1"/>
  </r>
  <r>
    <x v="0"/>
    <x v="1"/>
    <x v="1"/>
    <x v="2"/>
    <n v="1159"/>
    <n v="5"/>
    <n v="7"/>
    <n v="8113"/>
    <n v="405.65"/>
    <n v="7707.35"/>
    <n v="5795"/>
    <n v="1912.35"/>
    <x v="7"/>
    <n v="10"/>
    <s v=" October "/>
    <x v="1"/>
    <n v="0.24812030075187969"/>
    <s v="Low"/>
    <s v="OK"/>
    <s v="Oct-2013"/>
    <s v="Profit"/>
    <s v="Low Sales"/>
    <b v="1"/>
  </r>
  <r>
    <x v="0"/>
    <x v="1"/>
    <x v="2"/>
    <x v="2"/>
    <n v="1372"/>
    <n v="10"/>
    <n v="7"/>
    <n v="9604"/>
    <n v="480.2"/>
    <n v="9123.7999999999993"/>
    <n v="6860"/>
    <n v="2263.8000000000002"/>
    <x v="0"/>
    <n v="1"/>
    <s v=" January "/>
    <x v="0"/>
    <n v="0.24812030075187974"/>
    <s v="Low"/>
    <s v="OK"/>
    <s v="Jan-2014"/>
    <s v="Profit"/>
    <s v="Low Sales"/>
    <b v="1"/>
  </r>
  <r>
    <x v="0"/>
    <x v="0"/>
    <x v="2"/>
    <x v="2"/>
    <n v="2349"/>
    <n v="10"/>
    <n v="7"/>
    <n v="16443"/>
    <n v="822.15"/>
    <n v="15620.85"/>
    <n v="11745"/>
    <n v="3875.85"/>
    <x v="9"/>
    <n v="9"/>
    <s v=" September "/>
    <x v="1"/>
    <n v="0.24812030075187969"/>
    <s v="Low"/>
    <s v="OK"/>
    <s v="Sep-2013"/>
    <s v="Profit"/>
    <s v="Low Sales"/>
    <b v="1"/>
  </r>
  <r>
    <x v="0"/>
    <x v="3"/>
    <x v="2"/>
    <x v="2"/>
    <n v="2689"/>
    <n v="10"/>
    <n v="7"/>
    <n v="18823"/>
    <n v="941.15"/>
    <n v="17881.849999999999"/>
    <n v="13445"/>
    <n v="4436.8500000000004"/>
    <x v="10"/>
    <n v="10"/>
    <s v=" October "/>
    <x v="0"/>
    <n v="0.24812030075187974"/>
    <s v="Low"/>
    <s v="OK"/>
    <s v="Oct-2014"/>
    <s v="Profit"/>
    <s v="Low Sales"/>
    <b v="1"/>
  </r>
  <r>
    <x v="2"/>
    <x v="0"/>
    <x v="2"/>
    <x v="2"/>
    <n v="2431"/>
    <n v="10"/>
    <n v="12"/>
    <n v="29172"/>
    <n v="1458.6"/>
    <n v="27713.4"/>
    <n v="7293"/>
    <n v="20420.400000000001"/>
    <x v="2"/>
    <n v="12"/>
    <s v=" December "/>
    <x v="0"/>
    <n v="0.73684210526315785"/>
    <s v="Low"/>
    <s v="OK"/>
    <s v="Dec-2014"/>
    <s v="Profit"/>
    <s v="Low Sales"/>
    <b v="1"/>
  </r>
  <r>
    <x v="2"/>
    <x v="0"/>
    <x v="3"/>
    <x v="2"/>
    <n v="2431"/>
    <n v="120"/>
    <n v="12"/>
    <n v="29172"/>
    <n v="1458.6"/>
    <n v="27713.4"/>
    <n v="7293"/>
    <n v="20420.400000000001"/>
    <x v="2"/>
    <n v="12"/>
    <s v=" December "/>
    <x v="0"/>
    <n v="0.73684210526315785"/>
    <s v="Low"/>
    <s v="OK"/>
    <s v="Dec-2014"/>
    <s v="Profit"/>
    <s v="Low Sales"/>
    <b v="1"/>
  </r>
  <r>
    <x v="0"/>
    <x v="3"/>
    <x v="4"/>
    <x v="2"/>
    <n v="2689"/>
    <n v="250"/>
    <n v="7"/>
    <n v="18823"/>
    <n v="941.15"/>
    <n v="17881.849999999999"/>
    <n v="13445"/>
    <n v="4436.8500000000004"/>
    <x v="10"/>
    <n v="10"/>
    <s v=" October "/>
    <x v="0"/>
    <n v="0.24812030075187974"/>
    <s v="Low"/>
    <s v="OK"/>
    <s v="Oct-2014"/>
    <s v="Profit"/>
    <s v="Low Sales"/>
    <b v="1"/>
  </r>
  <r>
    <x v="0"/>
    <x v="3"/>
    <x v="5"/>
    <x v="2"/>
    <n v="1683"/>
    <n v="260"/>
    <n v="7"/>
    <n v="11781"/>
    <n v="589.04999999999995"/>
    <n v="11191.95"/>
    <n v="8415"/>
    <n v="2776.95"/>
    <x v="4"/>
    <n v="7"/>
    <s v=" July "/>
    <x v="0"/>
    <n v="0.24812030075187966"/>
    <s v="Low"/>
    <s v="OK"/>
    <s v="Jul-2014"/>
    <s v="Profit"/>
    <s v="Low Sales"/>
    <b v="1"/>
  </r>
  <r>
    <x v="2"/>
    <x v="3"/>
    <x v="5"/>
    <x v="2"/>
    <n v="1123"/>
    <n v="260"/>
    <n v="12"/>
    <n v="13476"/>
    <n v="673.8"/>
    <n v="12802.2"/>
    <n v="3369"/>
    <n v="9433.2000000000007"/>
    <x v="5"/>
    <n v="8"/>
    <s v=" August "/>
    <x v="0"/>
    <n v="0.73684210526315796"/>
    <s v="Low"/>
    <s v="OK"/>
    <s v="Aug-2014"/>
    <s v="Profit"/>
    <s v="Low Sales"/>
    <b v="1"/>
  </r>
  <r>
    <x v="0"/>
    <x v="1"/>
    <x v="5"/>
    <x v="2"/>
    <n v="1159"/>
    <n v="260"/>
    <n v="7"/>
    <n v="8113"/>
    <n v="405.65"/>
    <n v="7707.35"/>
    <n v="5795"/>
    <n v="1912.35"/>
    <x v="7"/>
    <n v="10"/>
    <s v=" October "/>
    <x v="1"/>
    <n v="0.24812030075187969"/>
    <s v="Low"/>
    <s v="OK"/>
    <s v="Oct-2013"/>
    <s v="Profit"/>
    <s v="Low Sales"/>
    <b v="1"/>
  </r>
  <r>
    <x v="2"/>
    <x v="2"/>
    <x v="0"/>
    <x v="2"/>
    <n v="1865"/>
    <n v="3"/>
    <n v="12"/>
    <n v="22380"/>
    <n v="1119"/>
    <n v="21261"/>
    <n v="5595"/>
    <n v="15666"/>
    <x v="8"/>
    <n v="2"/>
    <s v=" February "/>
    <x v="0"/>
    <n v="0.73684210526315785"/>
    <s v="Low"/>
    <s v="OK"/>
    <s v="Feb-2014"/>
    <s v="Profit"/>
    <s v="Low Sales"/>
    <b v="1"/>
  </r>
  <r>
    <x v="2"/>
    <x v="1"/>
    <x v="0"/>
    <x v="2"/>
    <n v="1116"/>
    <n v="3"/>
    <n v="12"/>
    <n v="13392"/>
    <n v="669.6"/>
    <n v="12722.4"/>
    <n v="3348"/>
    <n v="9374.4"/>
    <x v="8"/>
    <n v="2"/>
    <s v=" February "/>
    <x v="0"/>
    <n v="0.73684210526315785"/>
    <s v="Low"/>
    <s v="OK"/>
    <s v="Feb-2014"/>
    <s v="Profit"/>
    <s v="Low Sales"/>
    <b v="1"/>
  </r>
  <r>
    <x v="0"/>
    <x v="2"/>
    <x v="0"/>
    <x v="2"/>
    <n v="1563"/>
    <n v="3"/>
    <n v="20"/>
    <n v="31260"/>
    <n v="1563"/>
    <n v="29697"/>
    <n v="15630"/>
    <n v="14067"/>
    <x v="14"/>
    <n v="5"/>
    <s v=" May "/>
    <x v="0"/>
    <n v="0.47368421052631576"/>
    <s v="Low"/>
    <s v="OK"/>
    <s v="May-2014"/>
    <s v="Profit"/>
    <s v="Low Sales"/>
    <b v="1"/>
  </r>
  <r>
    <x v="4"/>
    <x v="4"/>
    <x v="0"/>
    <x v="2"/>
    <n v="991"/>
    <n v="3"/>
    <n v="300"/>
    <n v="297300"/>
    <n v="14865"/>
    <n v="282435"/>
    <n v="247750"/>
    <n v="34685"/>
    <x v="1"/>
    <n v="6"/>
    <s v=" June "/>
    <x v="0"/>
    <n v="0.12280701754385964"/>
    <s v="High"/>
    <s v="OK"/>
    <s v="Jun-2014"/>
    <s v="Profit"/>
    <s v="High Sales"/>
    <b v="1"/>
  </r>
  <r>
    <x v="0"/>
    <x v="1"/>
    <x v="0"/>
    <x v="2"/>
    <n v="1016"/>
    <n v="3"/>
    <n v="7"/>
    <n v="7112"/>
    <n v="355.6"/>
    <n v="6756.4"/>
    <n v="5080"/>
    <n v="1676.4"/>
    <x v="11"/>
    <n v="11"/>
    <s v=" November "/>
    <x v="1"/>
    <n v="0.24812030075187971"/>
    <s v="Low"/>
    <s v="OK"/>
    <s v="Nov-2013"/>
    <s v="Profit"/>
    <s v="Low Sales"/>
    <b v="1"/>
  </r>
  <r>
    <x v="1"/>
    <x v="3"/>
    <x v="0"/>
    <x v="2"/>
    <n v="2791"/>
    <n v="3"/>
    <n v="15"/>
    <n v="41865"/>
    <n v="2093.25"/>
    <n v="39771.75"/>
    <n v="27910"/>
    <n v="11861.75"/>
    <x v="15"/>
    <n v="11"/>
    <s v=" November "/>
    <x v="0"/>
    <n v="0.2982456140350877"/>
    <s v="Low"/>
    <s v="OK"/>
    <s v="Nov-2014"/>
    <s v="Profit"/>
    <s v="Low Sales"/>
    <b v="1"/>
  </r>
  <r>
    <x v="0"/>
    <x v="4"/>
    <x v="0"/>
    <x v="2"/>
    <n v="570"/>
    <n v="3"/>
    <n v="7"/>
    <n v="3990"/>
    <n v="199.5"/>
    <n v="3790.5"/>
    <n v="2850"/>
    <n v="940.5"/>
    <x v="2"/>
    <n v="12"/>
    <s v=" December "/>
    <x v="0"/>
    <n v="0.24812030075187969"/>
    <s v="Low"/>
    <s v="OK"/>
    <s v="Dec-2014"/>
    <s v="Profit"/>
    <s v="Low Sales"/>
    <b v="1"/>
  </r>
  <r>
    <x v="0"/>
    <x v="2"/>
    <x v="0"/>
    <x v="2"/>
    <n v="2487"/>
    <n v="3"/>
    <n v="7"/>
    <n v="17409"/>
    <n v="870.45"/>
    <n v="16538.55"/>
    <n v="12435"/>
    <n v="4103.55"/>
    <x v="2"/>
    <n v="12"/>
    <s v=" December "/>
    <x v="0"/>
    <n v="0.24812030075187971"/>
    <s v="Low"/>
    <s v="OK"/>
    <s v="Dec-2014"/>
    <s v="Profit"/>
    <s v="Low Sales"/>
    <b v="1"/>
  </r>
  <r>
    <x v="0"/>
    <x v="2"/>
    <x v="1"/>
    <x v="2"/>
    <n v="1384.5"/>
    <n v="5"/>
    <n v="350"/>
    <n v="484575"/>
    <n v="24228.75"/>
    <n v="460346.25"/>
    <n v="359970"/>
    <n v="100376.25"/>
    <x v="0"/>
    <n v="1"/>
    <s v=" January "/>
    <x v="0"/>
    <n v="0.21804511278195488"/>
    <s v="High"/>
    <s v="OK"/>
    <s v="Jan-2014"/>
    <s v="Profit"/>
    <s v="High Sales"/>
    <b v="1"/>
  </r>
  <r>
    <x v="3"/>
    <x v="4"/>
    <x v="1"/>
    <x v="2"/>
    <n v="3627"/>
    <n v="5"/>
    <n v="125"/>
    <n v="453375"/>
    <n v="22668.75"/>
    <n v="430706.25"/>
    <n v="435240"/>
    <n v="-4533.75"/>
    <x v="4"/>
    <n v="7"/>
    <s v=" July "/>
    <x v="0"/>
    <n v="-1.0526315789473684E-2"/>
    <s v="High"/>
    <s v="OK"/>
    <s v="Jul-2014"/>
    <s v="Loss"/>
    <s v="High Sales"/>
    <b v="1"/>
  </r>
  <r>
    <x v="0"/>
    <x v="3"/>
    <x v="1"/>
    <x v="2"/>
    <n v="720"/>
    <n v="5"/>
    <n v="350"/>
    <n v="252000"/>
    <n v="12600"/>
    <n v="239400"/>
    <n v="187200"/>
    <n v="52200"/>
    <x v="9"/>
    <n v="9"/>
    <s v=" September "/>
    <x v="1"/>
    <n v="0.21804511278195488"/>
    <s v="High"/>
    <s v="OK"/>
    <s v="Sep-2013"/>
    <s v="Profit"/>
    <s v="High Sales"/>
    <b v="1"/>
  </r>
  <r>
    <x v="2"/>
    <x v="1"/>
    <x v="1"/>
    <x v="2"/>
    <n v="2342"/>
    <n v="5"/>
    <n v="12"/>
    <n v="28104"/>
    <n v="1405.2"/>
    <n v="26698.799999999999"/>
    <n v="7026"/>
    <n v="19672.8"/>
    <x v="15"/>
    <n v="11"/>
    <s v=" November "/>
    <x v="0"/>
    <n v="0.73684210526315785"/>
    <s v="Low"/>
    <s v="OK"/>
    <s v="Nov-2014"/>
    <s v="Profit"/>
    <s v="Low Sales"/>
    <b v="1"/>
  </r>
  <r>
    <x v="4"/>
    <x v="3"/>
    <x v="1"/>
    <x v="2"/>
    <n v="1100"/>
    <n v="5"/>
    <n v="300"/>
    <n v="330000"/>
    <n v="16500"/>
    <n v="313500"/>
    <n v="275000"/>
    <n v="38500"/>
    <x v="12"/>
    <n v="12"/>
    <s v=" December "/>
    <x v="1"/>
    <n v="0.12280701754385964"/>
    <s v="High"/>
    <s v="OK"/>
    <s v="Dec-2013"/>
    <s v="Profit"/>
    <s v="High Sales"/>
    <b v="1"/>
  </r>
  <r>
    <x v="0"/>
    <x v="2"/>
    <x v="2"/>
    <x v="2"/>
    <n v="1303"/>
    <n v="10"/>
    <n v="20"/>
    <n v="26060"/>
    <n v="1303"/>
    <n v="24757"/>
    <n v="13030"/>
    <n v="11727"/>
    <x v="8"/>
    <n v="2"/>
    <s v=" February "/>
    <x v="0"/>
    <n v="0.47368421052631576"/>
    <s v="Low"/>
    <s v="OK"/>
    <s v="Feb-2014"/>
    <s v="Profit"/>
    <s v="Low Sales"/>
    <b v="1"/>
  </r>
  <r>
    <x v="3"/>
    <x v="4"/>
    <x v="2"/>
    <x v="2"/>
    <n v="2992"/>
    <n v="10"/>
    <n v="125"/>
    <n v="374000"/>
    <n v="18700"/>
    <n v="355300"/>
    <n v="359040"/>
    <n v="-3740"/>
    <x v="3"/>
    <n v="3"/>
    <s v=" March "/>
    <x v="0"/>
    <n v="-1.0526315789473684E-2"/>
    <s v="High"/>
    <s v="OK"/>
    <s v="Mar-2014"/>
    <s v="Loss"/>
    <s v="High Sales"/>
    <b v="1"/>
  </r>
  <r>
    <x v="3"/>
    <x v="2"/>
    <x v="2"/>
    <x v="2"/>
    <n v="2385"/>
    <n v="10"/>
    <n v="125"/>
    <n v="298125"/>
    <n v="14906.25"/>
    <n v="283218.75"/>
    <n v="286200"/>
    <n v="-2981.25"/>
    <x v="3"/>
    <n v="3"/>
    <s v=" March "/>
    <x v="0"/>
    <n v="-1.0526315789473684E-2"/>
    <s v="High"/>
    <s v="OK"/>
    <s v="Mar-2014"/>
    <s v="Loss"/>
    <s v="High Sales"/>
    <b v="1"/>
  </r>
  <r>
    <x v="4"/>
    <x v="3"/>
    <x v="2"/>
    <x v="2"/>
    <n v="1607"/>
    <n v="10"/>
    <n v="300"/>
    <n v="482100"/>
    <n v="24105"/>
    <n v="457995"/>
    <n v="401750"/>
    <n v="56245"/>
    <x v="13"/>
    <n v="4"/>
    <s v=" April "/>
    <x v="0"/>
    <n v="0.12280701754385964"/>
    <s v="High"/>
    <s v="OK"/>
    <s v="Apr-2014"/>
    <s v="Profit"/>
    <s v="High Sales"/>
    <b v="1"/>
  </r>
  <r>
    <x v="0"/>
    <x v="4"/>
    <x v="2"/>
    <x v="2"/>
    <n v="2327"/>
    <n v="10"/>
    <n v="7"/>
    <n v="16289"/>
    <n v="814.45"/>
    <n v="15474.55"/>
    <n v="11635"/>
    <n v="3839.55"/>
    <x v="14"/>
    <n v="5"/>
    <s v=" May "/>
    <x v="0"/>
    <n v="0.24812030075187971"/>
    <s v="Low"/>
    <s v="OK"/>
    <s v="May-2014"/>
    <s v="Profit"/>
    <s v="Low Sales"/>
    <b v="1"/>
  </r>
  <r>
    <x v="4"/>
    <x v="4"/>
    <x v="2"/>
    <x v="2"/>
    <n v="991"/>
    <n v="10"/>
    <n v="300"/>
    <n v="297300"/>
    <n v="14865"/>
    <n v="282435"/>
    <n v="247750"/>
    <n v="34685"/>
    <x v="1"/>
    <n v="6"/>
    <s v=" June "/>
    <x v="0"/>
    <n v="0.12280701754385964"/>
    <s v="High"/>
    <s v="OK"/>
    <s v="Jun-2014"/>
    <s v="Profit"/>
    <s v="High Sales"/>
    <b v="1"/>
  </r>
  <r>
    <x v="0"/>
    <x v="4"/>
    <x v="2"/>
    <x v="2"/>
    <n v="602"/>
    <n v="10"/>
    <n v="350"/>
    <n v="210700"/>
    <n v="10535"/>
    <n v="200165"/>
    <n v="156520"/>
    <n v="43645"/>
    <x v="1"/>
    <n v="6"/>
    <s v=" June "/>
    <x v="0"/>
    <n v="0.21804511278195488"/>
    <s v="High"/>
    <s v="OK"/>
    <s v="Jun-2014"/>
    <s v="Profit"/>
    <s v="High Sales"/>
    <b v="1"/>
  </r>
  <r>
    <x v="1"/>
    <x v="2"/>
    <x v="2"/>
    <x v="2"/>
    <n v="2620"/>
    <n v="10"/>
    <n v="15"/>
    <n v="39300"/>
    <n v="1965"/>
    <n v="37335"/>
    <n v="26200"/>
    <n v="11135"/>
    <x v="6"/>
    <n v="9"/>
    <s v=" September "/>
    <x v="0"/>
    <n v="0.2982456140350877"/>
    <s v="Low"/>
    <s v="OK"/>
    <s v="Sep-2014"/>
    <s v="Profit"/>
    <s v="Low Sales"/>
    <b v="1"/>
  </r>
  <r>
    <x v="0"/>
    <x v="0"/>
    <x v="2"/>
    <x v="2"/>
    <n v="1228"/>
    <n v="10"/>
    <n v="350"/>
    <n v="429800"/>
    <n v="21490"/>
    <n v="408310"/>
    <n v="319280"/>
    <n v="89030"/>
    <x v="7"/>
    <n v="10"/>
    <s v=" October "/>
    <x v="1"/>
    <n v="0.21804511278195488"/>
    <s v="High"/>
    <s v="OK"/>
    <s v="Oct-2013"/>
    <s v="Profit"/>
    <s v="High Sales"/>
    <b v="1"/>
  </r>
  <r>
    <x v="0"/>
    <x v="0"/>
    <x v="2"/>
    <x v="2"/>
    <n v="1389"/>
    <n v="10"/>
    <n v="20"/>
    <n v="27780"/>
    <n v="1389"/>
    <n v="26391"/>
    <n v="13890"/>
    <n v="12501"/>
    <x v="7"/>
    <n v="10"/>
    <s v=" October "/>
    <x v="1"/>
    <n v="0.47368421052631576"/>
    <s v="Low"/>
    <s v="OK"/>
    <s v="Oct-2013"/>
    <s v="Profit"/>
    <s v="Low Sales"/>
    <b v="1"/>
  </r>
  <r>
    <x v="3"/>
    <x v="4"/>
    <x v="2"/>
    <x v="2"/>
    <n v="861"/>
    <n v="10"/>
    <n v="125"/>
    <n v="107625"/>
    <n v="5381.25"/>
    <n v="102243.75"/>
    <n v="103320"/>
    <n v="-1076.25"/>
    <x v="10"/>
    <n v="10"/>
    <s v=" October "/>
    <x v="0"/>
    <n v="-1.0526315789473684E-2"/>
    <s v="High"/>
    <s v="OK"/>
    <s v="Oct-2014"/>
    <s v="Loss"/>
    <s v="High Sales"/>
    <b v="1"/>
  </r>
  <r>
    <x v="3"/>
    <x v="2"/>
    <x v="2"/>
    <x v="2"/>
    <n v="704"/>
    <n v="10"/>
    <n v="125"/>
    <n v="88000"/>
    <n v="4400"/>
    <n v="83600"/>
    <n v="84480"/>
    <n v="-880"/>
    <x v="7"/>
    <n v="10"/>
    <s v=" October "/>
    <x v="1"/>
    <n v="-1.0526315789473684E-2"/>
    <s v="Medium"/>
    <s v="OK"/>
    <s v="Oct-2013"/>
    <s v="Loss"/>
    <s v="High Sales"/>
    <b v="1"/>
  </r>
  <r>
    <x v="0"/>
    <x v="0"/>
    <x v="2"/>
    <x v="2"/>
    <n v="1802"/>
    <n v="10"/>
    <n v="20"/>
    <n v="36040"/>
    <n v="1802"/>
    <n v="34238"/>
    <n v="18020"/>
    <n v="16218"/>
    <x v="12"/>
    <n v="12"/>
    <s v=" December "/>
    <x v="1"/>
    <n v="0.47368421052631576"/>
    <s v="Low"/>
    <s v="OK"/>
    <s v="Dec-2013"/>
    <s v="Profit"/>
    <s v="Low Sales"/>
    <b v="1"/>
  </r>
  <r>
    <x v="0"/>
    <x v="4"/>
    <x v="2"/>
    <x v="2"/>
    <n v="2663"/>
    <n v="10"/>
    <n v="20"/>
    <n v="53260"/>
    <n v="2663"/>
    <n v="50597"/>
    <n v="26630"/>
    <n v="23967"/>
    <x v="2"/>
    <n v="12"/>
    <s v=" December "/>
    <x v="0"/>
    <n v="0.47368421052631576"/>
    <s v="Medium"/>
    <s v="OK"/>
    <s v="Dec-2014"/>
    <s v="Profit"/>
    <s v="High Sales"/>
    <b v="1"/>
  </r>
  <r>
    <x v="0"/>
    <x v="2"/>
    <x v="2"/>
    <x v="2"/>
    <n v="2136"/>
    <n v="10"/>
    <n v="7"/>
    <n v="14952"/>
    <n v="747.6"/>
    <n v="14204.4"/>
    <n v="10680"/>
    <n v="3524.4"/>
    <x v="12"/>
    <n v="12"/>
    <s v=" December "/>
    <x v="1"/>
    <n v="0.24812030075187971"/>
    <s v="Low"/>
    <s v="OK"/>
    <s v="Dec-2013"/>
    <s v="Profit"/>
    <s v="Low Sales"/>
    <b v="1"/>
  </r>
  <r>
    <x v="1"/>
    <x v="1"/>
    <x v="2"/>
    <x v="2"/>
    <n v="2116"/>
    <n v="10"/>
    <n v="15"/>
    <n v="31740"/>
    <n v="1587"/>
    <n v="30153"/>
    <n v="21160"/>
    <n v="8993"/>
    <x v="12"/>
    <n v="12"/>
    <s v=" December "/>
    <x v="1"/>
    <n v="0.2982456140350877"/>
    <s v="Low"/>
    <s v="OK"/>
    <s v="Dec-2013"/>
    <s v="Profit"/>
    <s v="Low Sales"/>
    <b v="1"/>
  </r>
  <r>
    <x v="1"/>
    <x v="4"/>
    <x v="3"/>
    <x v="2"/>
    <n v="555"/>
    <n v="120"/>
    <n v="15"/>
    <n v="8325"/>
    <n v="416.25"/>
    <n v="7908.75"/>
    <n v="5550"/>
    <n v="2358.75"/>
    <x v="0"/>
    <n v="1"/>
    <s v=" January "/>
    <x v="0"/>
    <n v="0.2982456140350877"/>
    <s v="Low"/>
    <s v="OK"/>
    <s v="Jan-2014"/>
    <s v="Profit"/>
    <s v="Low Sales"/>
    <b v="1"/>
  </r>
  <r>
    <x v="1"/>
    <x v="3"/>
    <x v="3"/>
    <x v="2"/>
    <n v="2861"/>
    <n v="120"/>
    <n v="15"/>
    <n v="42915"/>
    <n v="2145.75"/>
    <n v="40769.25"/>
    <n v="28610"/>
    <n v="12159.25"/>
    <x v="0"/>
    <n v="1"/>
    <s v=" January "/>
    <x v="0"/>
    <n v="0.2982456140350877"/>
    <s v="Low"/>
    <s v="OK"/>
    <s v="Jan-2014"/>
    <s v="Profit"/>
    <s v="Low Sales"/>
    <b v="1"/>
  </r>
  <r>
    <x v="3"/>
    <x v="1"/>
    <x v="3"/>
    <x v="2"/>
    <n v="807"/>
    <n v="120"/>
    <n v="125"/>
    <n v="100875"/>
    <n v="5043.75"/>
    <n v="95831.25"/>
    <n v="96840"/>
    <n v="-1008.75"/>
    <x v="8"/>
    <n v="2"/>
    <s v=" February "/>
    <x v="0"/>
    <n v="-1.0526315789473684E-2"/>
    <s v="Medium"/>
    <s v="OK"/>
    <s v="Feb-2014"/>
    <s v="Loss"/>
    <s v="High Sales"/>
    <b v="1"/>
  </r>
  <r>
    <x v="0"/>
    <x v="4"/>
    <x v="3"/>
    <x v="2"/>
    <n v="602"/>
    <n v="120"/>
    <n v="350"/>
    <n v="210700"/>
    <n v="10535"/>
    <n v="200165"/>
    <n v="156520"/>
    <n v="43645"/>
    <x v="1"/>
    <n v="6"/>
    <s v=" June "/>
    <x v="0"/>
    <n v="0.21804511278195488"/>
    <s v="High"/>
    <s v="OK"/>
    <s v="Jun-2014"/>
    <s v="Profit"/>
    <s v="High Sales"/>
    <b v="1"/>
  </r>
  <r>
    <x v="0"/>
    <x v="4"/>
    <x v="3"/>
    <x v="2"/>
    <n v="2832"/>
    <n v="120"/>
    <n v="20"/>
    <n v="56640"/>
    <n v="2832"/>
    <n v="53808"/>
    <n v="28320"/>
    <n v="25488"/>
    <x v="5"/>
    <n v="8"/>
    <s v=" August "/>
    <x v="0"/>
    <n v="0.47368421052631576"/>
    <s v="Medium"/>
    <s v="OK"/>
    <s v="Aug-2014"/>
    <s v="Profit"/>
    <s v="High Sales"/>
    <b v="1"/>
  </r>
  <r>
    <x v="0"/>
    <x v="2"/>
    <x v="3"/>
    <x v="2"/>
    <n v="1579"/>
    <n v="120"/>
    <n v="20"/>
    <n v="31580"/>
    <n v="1579"/>
    <n v="30001"/>
    <n v="15790"/>
    <n v="14211"/>
    <x v="5"/>
    <n v="8"/>
    <s v=" August "/>
    <x v="0"/>
    <n v="0.47368421052631576"/>
    <s v="Low"/>
    <s v="OK"/>
    <s v="Aug-2014"/>
    <s v="Profit"/>
    <s v="Low Sales"/>
    <b v="1"/>
  </r>
  <r>
    <x v="3"/>
    <x v="4"/>
    <x v="3"/>
    <x v="2"/>
    <n v="861"/>
    <n v="120"/>
    <n v="125"/>
    <n v="107625"/>
    <n v="5381.25"/>
    <n v="102243.75"/>
    <n v="103320"/>
    <n v="-1076.25"/>
    <x v="10"/>
    <n v="10"/>
    <s v=" October "/>
    <x v="0"/>
    <n v="-1.0526315789473684E-2"/>
    <s v="High"/>
    <s v="OK"/>
    <s v="Oct-2014"/>
    <s v="Loss"/>
    <s v="High Sales"/>
    <b v="1"/>
  </r>
  <r>
    <x v="3"/>
    <x v="2"/>
    <x v="3"/>
    <x v="2"/>
    <n v="704"/>
    <n v="120"/>
    <n v="125"/>
    <n v="88000"/>
    <n v="4400"/>
    <n v="83600"/>
    <n v="84480"/>
    <n v="-880"/>
    <x v="7"/>
    <n v="10"/>
    <s v=" October "/>
    <x v="1"/>
    <n v="-1.0526315789473684E-2"/>
    <s v="Medium"/>
    <s v="OK"/>
    <s v="Oct-2013"/>
    <s v="Loss"/>
    <s v="High Sales"/>
    <b v="1"/>
  </r>
  <r>
    <x v="0"/>
    <x v="2"/>
    <x v="3"/>
    <x v="2"/>
    <n v="1033"/>
    <n v="120"/>
    <n v="20"/>
    <n v="20660"/>
    <n v="1033"/>
    <n v="19627"/>
    <n v="10330"/>
    <n v="9297"/>
    <x v="12"/>
    <n v="12"/>
    <s v=" December "/>
    <x v="1"/>
    <n v="0.47368421052631576"/>
    <s v="Low"/>
    <s v="OK"/>
    <s v="Dec-2013"/>
    <s v="Profit"/>
    <s v="Low Sales"/>
    <b v="1"/>
  </r>
  <r>
    <x v="4"/>
    <x v="1"/>
    <x v="3"/>
    <x v="2"/>
    <n v="1250"/>
    <n v="120"/>
    <n v="300"/>
    <n v="375000"/>
    <n v="18750"/>
    <n v="356250"/>
    <n v="312500"/>
    <n v="43750"/>
    <x v="2"/>
    <n v="12"/>
    <s v=" December "/>
    <x v="0"/>
    <n v="0.12280701754385964"/>
    <s v="High"/>
    <s v="OK"/>
    <s v="Dec-2014"/>
    <s v="Profit"/>
    <s v="High Sales"/>
    <b v="1"/>
  </r>
  <r>
    <x v="0"/>
    <x v="0"/>
    <x v="4"/>
    <x v="2"/>
    <n v="1389"/>
    <n v="250"/>
    <n v="20"/>
    <n v="27780"/>
    <n v="1389"/>
    <n v="26391"/>
    <n v="13890"/>
    <n v="12501"/>
    <x v="7"/>
    <n v="10"/>
    <s v=" October "/>
    <x v="1"/>
    <n v="0.47368421052631576"/>
    <s v="Low"/>
    <s v="OK"/>
    <s v="Oct-2013"/>
    <s v="Profit"/>
    <s v="Low Sales"/>
    <b v="1"/>
  </r>
  <r>
    <x v="0"/>
    <x v="4"/>
    <x v="4"/>
    <x v="2"/>
    <n v="1265"/>
    <n v="250"/>
    <n v="20"/>
    <n v="25300"/>
    <n v="1265"/>
    <n v="24035"/>
    <n v="12650"/>
    <n v="11385"/>
    <x v="11"/>
    <n v="11"/>
    <s v=" November "/>
    <x v="1"/>
    <n v="0.47368421052631576"/>
    <s v="Low"/>
    <s v="OK"/>
    <s v="Nov-2013"/>
    <s v="Profit"/>
    <s v="Low Sales"/>
    <b v="1"/>
  </r>
  <r>
    <x v="0"/>
    <x v="1"/>
    <x v="4"/>
    <x v="2"/>
    <n v="2297"/>
    <n v="250"/>
    <n v="20"/>
    <n v="45940"/>
    <n v="2297"/>
    <n v="43643"/>
    <n v="22970"/>
    <n v="20673"/>
    <x v="11"/>
    <n v="11"/>
    <s v=" November "/>
    <x v="1"/>
    <n v="0.47368421052631576"/>
    <s v="Low"/>
    <s v="OK"/>
    <s v="Nov-2013"/>
    <s v="Profit"/>
    <s v="Low Sales"/>
    <b v="1"/>
  </r>
  <r>
    <x v="0"/>
    <x v="4"/>
    <x v="4"/>
    <x v="2"/>
    <n v="2663"/>
    <n v="250"/>
    <n v="20"/>
    <n v="53260"/>
    <n v="2663"/>
    <n v="50597"/>
    <n v="26630"/>
    <n v="23967"/>
    <x v="2"/>
    <n v="12"/>
    <s v=" December "/>
    <x v="0"/>
    <n v="0.47368421052631576"/>
    <s v="Medium"/>
    <s v="OK"/>
    <s v="Dec-2014"/>
    <s v="Profit"/>
    <s v="High Sales"/>
    <b v="1"/>
  </r>
  <r>
    <x v="0"/>
    <x v="4"/>
    <x v="4"/>
    <x v="2"/>
    <n v="570"/>
    <n v="250"/>
    <n v="7"/>
    <n v="3990"/>
    <n v="199.5"/>
    <n v="3790.5"/>
    <n v="2850"/>
    <n v="940.5"/>
    <x v="2"/>
    <n v="12"/>
    <s v=" December "/>
    <x v="0"/>
    <n v="0.24812030075187969"/>
    <s v="Low"/>
    <s v="OK"/>
    <s v="Dec-2014"/>
    <s v="Profit"/>
    <s v="Low Sales"/>
    <b v="1"/>
  </r>
  <r>
    <x v="0"/>
    <x v="2"/>
    <x v="4"/>
    <x v="2"/>
    <n v="2487"/>
    <n v="250"/>
    <n v="7"/>
    <n v="17409"/>
    <n v="870.45"/>
    <n v="16538.55"/>
    <n v="12435"/>
    <n v="4103.55"/>
    <x v="2"/>
    <n v="12"/>
    <s v=" December "/>
    <x v="0"/>
    <n v="0.24812030075187971"/>
    <s v="Low"/>
    <s v="OK"/>
    <s v="Dec-2014"/>
    <s v="Profit"/>
    <s v="Low Sales"/>
    <b v="1"/>
  </r>
  <r>
    <x v="0"/>
    <x v="1"/>
    <x v="5"/>
    <x v="2"/>
    <n v="1350"/>
    <n v="260"/>
    <n v="350"/>
    <n v="472500"/>
    <n v="23625"/>
    <n v="448875"/>
    <n v="351000"/>
    <n v="97875"/>
    <x v="8"/>
    <n v="2"/>
    <s v=" February "/>
    <x v="0"/>
    <n v="0.21804511278195488"/>
    <s v="High"/>
    <s v="OK"/>
    <s v="Feb-2014"/>
    <s v="Profit"/>
    <s v="High Sales"/>
    <b v="1"/>
  </r>
  <r>
    <x v="0"/>
    <x v="0"/>
    <x v="5"/>
    <x v="2"/>
    <n v="552"/>
    <n v="260"/>
    <n v="350"/>
    <n v="193200"/>
    <n v="9660"/>
    <n v="183540"/>
    <n v="143520"/>
    <n v="40020"/>
    <x v="5"/>
    <n v="8"/>
    <s v=" August "/>
    <x v="0"/>
    <n v="0.21804511278195488"/>
    <s v="High"/>
    <s v="OK"/>
    <s v="Aug-2014"/>
    <s v="Profit"/>
    <s v="High Sales"/>
    <b v="1"/>
  </r>
  <r>
    <x v="0"/>
    <x v="0"/>
    <x v="5"/>
    <x v="2"/>
    <n v="1228"/>
    <n v="260"/>
    <n v="350"/>
    <n v="429800"/>
    <n v="21490"/>
    <n v="408310"/>
    <n v="319280"/>
    <n v="89030"/>
    <x v="7"/>
    <n v="10"/>
    <s v=" October "/>
    <x v="1"/>
    <n v="0.21804511278195488"/>
    <s v="High"/>
    <s v="OK"/>
    <s v="Oct-2013"/>
    <s v="Profit"/>
    <s v="High Sales"/>
    <b v="1"/>
  </r>
  <r>
    <x v="4"/>
    <x v="1"/>
    <x v="5"/>
    <x v="2"/>
    <n v="1250"/>
    <n v="260"/>
    <n v="300"/>
    <n v="375000"/>
    <n v="18750"/>
    <n v="356250"/>
    <n v="312500"/>
    <n v="43750"/>
    <x v="2"/>
    <n v="12"/>
    <s v=" December "/>
    <x v="0"/>
    <n v="0.12280701754385964"/>
    <s v="High"/>
    <s v="OK"/>
    <s v="Dec-2014"/>
    <s v="Profit"/>
    <s v="High Sales"/>
    <b v="1"/>
  </r>
  <r>
    <x v="1"/>
    <x v="2"/>
    <x v="2"/>
    <x v="2"/>
    <n v="3801"/>
    <n v="10"/>
    <n v="15"/>
    <n v="57015"/>
    <n v="3420.9"/>
    <n v="53594.1"/>
    <n v="38010"/>
    <n v="15584.1"/>
    <x v="13"/>
    <n v="4"/>
    <s v=" April "/>
    <x v="0"/>
    <n v="0.29078014184397166"/>
    <s v="Medium"/>
    <s v="OK"/>
    <s v="Apr-2014"/>
    <s v="Profit"/>
    <s v="High Sales"/>
    <b v="1"/>
  </r>
  <r>
    <x v="0"/>
    <x v="4"/>
    <x v="0"/>
    <x v="2"/>
    <n v="1117.5"/>
    <n v="3"/>
    <n v="20"/>
    <n v="22350"/>
    <n v="1341"/>
    <n v="21009"/>
    <n v="11175"/>
    <n v="9834"/>
    <x v="0"/>
    <n v="1"/>
    <s v=" January "/>
    <x v="0"/>
    <n v="0.46808510638297873"/>
    <s v="Low"/>
    <s v="OK"/>
    <s v="Jan-2014"/>
    <s v="Profit"/>
    <s v="Low Sales"/>
    <b v="1"/>
  </r>
  <r>
    <x v="1"/>
    <x v="0"/>
    <x v="0"/>
    <x v="2"/>
    <n v="2844"/>
    <n v="3"/>
    <n v="15"/>
    <n v="42660"/>
    <n v="2559.6"/>
    <n v="40100.400000000001"/>
    <n v="28440"/>
    <n v="11660.4"/>
    <x v="1"/>
    <n v="6"/>
    <s v=" June "/>
    <x v="0"/>
    <n v="0.29078014184397161"/>
    <s v="Low"/>
    <s v="OK"/>
    <s v="Jun-2014"/>
    <s v="Profit"/>
    <s v="Low Sales"/>
    <b v="1"/>
  </r>
  <r>
    <x v="2"/>
    <x v="3"/>
    <x v="0"/>
    <x v="2"/>
    <n v="562"/>
    <n v="3"/>
    <n v="12"/>
    <n v="6744"/>
    <n v="404.64"/>
    <n v="6339.36"/>
    <n v="1686"/>
    <n v="4653.3599999999997"/>
    <x v="6"/>
    <n v="9"/>
    <s v=" September "/>
    <x v="0"/>
    <n v="0.73404255319148937"/>
    <s v="Low"/>
    <s v="OK"/>
    <s v="Sep-2014"/>
    <s v="Profit"/>
    <s v="Low Sales"/>
    <b v="1"/>
  </r>
  <r>
    <x v="2"/>
    <x v="0"/>
    <x v="0"/>
    <x v="2"/>
    <n v="2299"/>
    <n v="3"/>
    <n v="12"/>
    <n v="27588"/>
    <n v="1655.28"/>
    <n v="25932.720000000001"/>
    <n v="6897"/>
    <n v="19035.72"/>
    <x v="7"/>
    <n v="10"/>
    <s v=" October "/>
    <x v="1"/>
    <n v="0.73404255319148937"/>
    <s v="Low"/>
    <s v="OK"/>
    <s v="Oct-2013"/>
    <s v="Profit"/>
    <s v="Low Sales"/>
    <b v="1"/>
  </r>
  <r>
    <x v="1"/>
    <x v="4"/>
    <x v="0"/>
    <x v="2"/>
    <n v="2030"/>
    <n v="3"/>
    <n v="15"/>
    <n v="30450"/>
    <n v="1827"/>
    <n v="28623"/>
    <n v="20300"/>
    <n v="8323"/>
    <x v="15"/>
    <n v="11"/>
    <s v=" November "/>
    <x v="0"/>
    <n v="0.29078014184397161"/>
    <s v="Low"/>
    <s v="OK"/>
    <s v="Nov-2014"/>
    <s v="Profit"/>
    <s v="Low Sales"/>
    <b v="1"/>
  </r>
  <r>
    <x v="0"/>
    <x v="4"/>
    <x v="0"/>
    <x v="2"/>
    <n v="263"/>
    <n v="3"/>
    <n v="7"/>
    <n v="1841"/>
    <n v="110.46"/>
    <n v="1730.54"/>
    <n v="1315"/>
    <n v="415.54"/>
    <x v="11"/>
    <n v="11"/>
    <s v=" November "/>
    <x v="1"/>
    <n v="0.24012158054711247"/>
    <s v="Low"/>
    <s v="OK"/>
    <s v="Nov-2013"/>
    <s v="Profit"/>
    <s v="Low Sales"/>
    <b v="1"/>
  </r>
  <r>
    <x v="3"/>
    <x v="1"/>
    <x v="0"/>
    <x v="2"/>
    <n v="887"/>
    <n v="3"/>
    <n v="125"/>
    <n v="110875"/>
    <n v="6652.5"/>
    <n v="104222.5"/>
    <n v="106440"/>
    <n v="-2217.5"/>
    <x v="12"/>
    <n v="12"/>
    <s v=" December "/>
    <x v="1"/>
    <n v="-2.1276595744680851E-2"/>
    <s v="High"/>
    <s v="OK"/>
    <s v="Dec-2013"/>
    <s v="Loss"/>
    <s v="High Sales"/>
    <b v="1"/>
  </r>
  <r>
    <x v="0"/>
    <x v="3"/>
    <x v="1"/>
    <x v="2"/>
    <n v="980"/>
    <n v="5"/>
    <n v="350"/>
    <n v="343000"/>
    <n v="20580"/>
    <n v="322420"/>
    <n v="254800"/>
    <n v="67620"/>
    <x v="13"/>
    <n v="4"/>
    <s v=" April "/>
    <x v="0"/>
    <n v="0.20972644376899696"/>
    <s v="High"/>
    <s v="OK"/>
    <s v="Apr-2014"/>
    <s v="Profit"/>
    <s v="High Sales"/>
    <b v="1"/>
  </r>
  <r>
    <x v="0"/>
    <x v="1"/>
    <x v="1"/>
    <x v="2"/>
    <n v="1460"/>
    <n v="5"/>
    <n v="350"/>
    <n v="511000"/>
    <n v="30660"/>
    <n v="480340"/>
    <n v="379600"/>
    <n v="100740"/>
    <x v="14"/>
    <n v="5"/>
    <s v=" May "/>
    <x v="0"/>
    <n v="0.20972644376899696"/>
    <s v="High"/>
    <s v="OK"/>
    <s v="May-2014"/>
    <s v="Profit"/>
    <s v="High Sales"/>
    <b v="1"/>
  </r>
  <r>
    <x v="0"/>
    <x v="2"/>
    <x v="1"/>
    <x v="2"/>
    <n v="1403"/>
    <n v="5"/>
    <n v="7"/>
    <n v="9821"/>
    <n v="589.26"/>
    <n v="9231.74"/>
    <n v="7015"/>
    <n v="2216.7399999999998"/>
    <x v="7"/>
    <n v="10"/>
    <s v=" October "/>
    <x v="1"/>
    <n v="0.24012158054711244"/>
    <s v="Low"/>
    <s v="OK"/>
    <s v="Oct-2013"/>
    <s v="Profit"/>
    <s v="Low Sales"/>
    <b v="1"/>
  </r>
  <r>
    <x v="2"/>
    <x v="4"/>
    <x v="1"/>
    <x v="2"/>
    <n v="2723"/>
    <n v="5"/>
    <n v="12"/>
    <n v="32676"/>
    <n v="1960.56"/>
    <n v="30715.439999999999"/>
    <n v="8169"/>
    <n v="22546.44"/>
    <x v="15"/>
    <n v="11"/>
    <s v=" November "/>
    <x v="0"/>
    <n v="0.73404255319148937"/>
    <s v="Low"/>
    <s v="OK"/>
    <s v="Nov-2014"/>
    <s v="Profit"/>
    <s v="Low Sales"/>
    <b v="1"/>
  </r>
  <r>
    <x v="0"/>
    <x v="2"/>
    <x v="2"/>
    <x v="2"/>
    <n v="1496"/>
    <n v="10"/>
    <n v="350"/>
    <n v="523600"/>
    <n v="31416"/>
    <n v="492184"/>
    <n v="388960"/>
    <n v="103224"/>
    <x v="1"/>
    <n v="6"/>
    <s v=" June "/>
    <x v="0"/>
    <n v="0.20972644376899696"/>
    <s v="High"/>
    <s v="OK"/>
    <s v="Jun-2014"/>
    <s v="Profit"/>
    <s v="High Sales"/>
    <b v="1"/>
  </r>
  <r>
    <x v="2"/>
    <x v="0"/>
    <x v="2"/>
    <x v="2"/>
    <n v="2299"/>
    <n v="10"/>
    <n v="12"/>
    <n v="27588"/>
    <n v="1655.28"/>
    <n v="25932.720000000001"/>
    <n v="6897"/>
    <n v="19035.72"/>
    <x v="7"/>
    <n v="10"/>
    <s v=" October "/>
    <x v="1"/>
    <n v="0.73404255319148937"/>
    <s v="Low"/>
    <s v="OK"/>
    <s v="Oct-2013"/>
    <s v="Profit"/>
    <s v="Low Sales"/>
    <b v="1"/>
  </r>
  <r>
    <x v="0"/>
    <x v="4"/>
    <x v="2"/>
    <x v="2"/>
    <n v="727"/>
    <n v="10"/>
    <n v="350"/>
    <n v="254450"/>
    <n v="15267"/>
    <n v="239183"/>
    <n v="189020"/>
    <n v="50163"/>
    <x v="7"/>
    <n v="10"/>
    <s v=" October "/>
    <x v="1"/>
    <n v="0.20972644376899696"/>
    <s v="High"/>
    <s v="OK"/>
    <s v="Oct-2013"/>
    <s v="Profit"/>
    <s v="High Sales"/>
    <b v="1"/>
  </r>
  <r>
    <x v="3"/>
    <x v="0"/>
    <x v="3"/>
    <x v="2"/>
    <n v="952"/>
    <n v="120"/>
    <n v="125"/>
    <n v="119000"/>
    <n v="7140"/>
    <n v="111860"/>
    <n v="114240"/>
    <n v="-2380"/>
    <x v="8"/>
    <n v="2"/>
    <s v=" February "/>
    <x v="0"/>
    <n v="-2.1276595744680851E-2"/>
    <s v="High"/>
    <s v="OK"/>
    <s v="Feb-2014"/>
    <s v="Loss"/>
    <s v="High Sales"/>
    <b v="1"/>
  </r>
  <r>
    <x v="3"/>
    <x v="4"/>
    <x v="3"/>
    <x v="2"/>
    <n v="2755"/>
    <n v="120"/>
    <n v="125"/>
    <n v="344375"/>
    <n v="20662.5"/>
    <n v="323712.5"/>
    <n v="330600"/>
    <n v="-6887.5"/>
    <x v="8"/>
    <n v="2"/>
    <s v=" February "/>
    <x v="0"/>
    <n v="-2.1276595744680851E-2"/>
    <s v="High"/>
    <s v="OK"/>
    <s v="Feb-2014"/>
    <s v="Loss"/>
    <s v="High Sales"/>
    <b v="1"/>
  </r>
  <r>
    <x v="1"/>
    <x v="1"/>
    <x v="3"/>
    <x v="2"/>
    <n v="1530"/>
    <n v="120"/>
    <n v="15"/>
    <n v="22950"/>
    <n v="1377"/>
    <n v="21573"/>
    <n v="15300"/>
    <n v="6273"/>
    <x v="14"/>
    <n v="5"/>
    <s v=" May "/>
    <x v="0"/>
    <n v="0.29078014184397161"/>
    <s v="Low"/>
    <s v="OK"/>
    <s v="May-2014"/>
    <s v="Profit"/>
    <s v="Low Sales"/>
    <b v="1"/>
  </r>
  <r>
    <x v="0"/>
    <x v="2"/>
    <x v="3"/>
    <x v="2"/>
    <n v="1496"/>
    <n v="120"/>
    <n v="350"/>
    <n v="523600"/>
    <n v="31416"/>
    <n v="492184"/>
    <n v="388960"/>
    <n v="103224"/>
    <x v="1"/>
    <n v="6"/>
    <s v=" June "/>
    <x v="0"/>
    <n v="0.20972644376899696"/>
    <s v="High"/>
    <s v="OK"/>
    <s v="Jun-2014"/>
    <s v="Profit"/>
    <s v="High Sales"/>
    <b v="1"/>
  </r>
  <r>
    <x v="0"/>
    <x v="3"/>
    <x v="3"/>
    <x v="2"/>
    <n v="1498"/>
    <n v="120"/>
    <n v="7"/>
    <n v="10486"/>
    <n v="629.16"/>
    <n v="9856.84"/>
    <n v="7490"/>
    <n v="2366.84"/>
    <x v="1"/>
    <n v="6"/>
    <s v=" June "/>
    <x v="0"/>
    <n v="0.24012158054711247"/>
    <s v="Low"/>
    <s v="OK"/>
    <s v="Jun-2014"/>
    <s v="Profit"/>
    <s v="Low Sales"/>
    <b v="1"/>
  </r>
  <r>
    <x v="4"/>
    <x v="2"/>
    <x v="3"/>
    <x v="2"/>
    <n v="1221"/>
    <n v="120"/>
    <n v="300"/>
    <n v="366300"/>
    <n v="21978"/>
    <n v="344322"/>
    <n v="305250"/>
    <n v="39072"/>
    <x v="7"/>
    <n v="10"/>
    <s v=" October "/>
    <x v="1"/>
    <n v="0.11347517730496454"/>
    <s v="High"/>
    <s v="OK"/>
    <s v="Oct-2013"/>
    <s v="Profit"/>
    <s v="High Sales"/>
    <b v="1"/>
  </r>
  <r>
    <x v="0"/>
    <x v="2"/>
    <x v="3"/>
    <x v="2"/>
    <n v="2076"/>
    <n v="120"/>
    <n v="350"/>
    <n v="726600"/>
    <n v="43596"/>
    <n v="683004"/>
    <n v="539760"/>
    <n v="143244"/>
    <x v="7"/>
    <n v="10"/>
    <s v=" October "/>
    <x v="1"/>
    <n v="0.20972644376899696"/>
    <s v="High"/>
    <s v="OK"/>
    <s v="Oct-2013"/>
    <s v="Profit"/>
    <s v="High Sales"/>
    <b v="1"/>
  </r>
  <r>
    <x v="1"/>
    <x v="0"/>
    <x v="4"/>
    <x v="2"/>
    <n v="2844"/>
    <n v="250"/>
    <n v="15"/>
    <n v="42660"/>
    <n v="2559.6"/>
    <n v="40100.400000000001"/>
    <n v="28440"/>
    <n v="11660.4"/>
    <x v="1"/>
    <n v="6"/>
    <s v=" June "/>
    <x v="0"/>
    <n v="0.29078014184397161"/>
    <s v="Low"/>
    <s v="OK"/>
    <s v="Jun-2014"/>
    <s v="Profit"/>
    <s v="Low Sales"/>
    <b v="1"/>
  </r>
  <r>
    <x v="0"/>
    <x v="3"/>
    <x v="4"/>
    <x v="2"/>
    <n v="1498"/>
    <n v="250"/>
    <n v="7"/>
    <n v="10486"/>
    <n v="629.16"/>
    <n v="9856.84"/>
    <n v="7490"/>
    <n v="2366.84"/>
    <x v="1"/>
    <n v="6"/>
    <s v=" June "/>
    <x v="0"/>
    <n v="0.24012158054711247"/>
    <s v="Low"/>
    <s v="OK"/>
    <s v="Jun-2014"/>
    <s v="Profit"/>
    <s v="Low Sales"/>
    <b v="1"/>
  </r>
  <r>
    <x v="4"/>
    <x v="2"/>
    <x v="4"/>
    <x v="2"/>
    <n v="1221"/>
    <n v="250"/>
    <n v="300"/>
    <n v="366300"/>
    <n v="21978"/>
    <n v="344322"/>
    <n v="305250"/>
    <n v="39072"/>
    <x v="7"/>
    <n v="10"/>
    <s v=" October "/>
    <x v="1"/>
    <n v="0.11347517730496454"/>
    <s v="High"/>
    <s v="OK"/>
    <s v="Oct-2013"/>
    <s v="Profit"/>
    <s v="High Sales"/>
    <b v="1"/>
  </r>
  <r>
    <x v="0"/>
    <x v="3"/>
    <x v="4"/>
    <x v="2"/>
    <n v="1123"/>
    <n v="250"/>
    <n v="20"/>
    <n v="22460"/>
    <n v="1347.6"/>
    <n v="21112.400000000001"/>
    <n v="11230"/>
    <n v="9882.4"/>
    <x v="11"/>
    <n v="11"/>
    <s v=" November "/>
    <x v="1"/>
    <n v="0.46808510638297868"/>
    <s v="Low"/>
    <s v="OK"/>
    <s v="Nov-2013"/>
    <s v="Profit"/>
    <s v="Low Sales"/>
    <b v="1"/>
  </r>
  <r>
    <x v="4"/>
    <x v="0"/>
    <x v="4"/>
    <x v="2"/>
    <n v="2436"/>
    <n v="250"/>
    <n v="300"/>
    <n v="730800"/>
    <n v="43848"/>
    <n v="686952"/>
    <n v="609000"/>
    <n v="77952"/>
    <x v="12"/>
    <n v="12"/>
    <s v=" December "/>
    <x v="1"/>
    <n v="0.11347517730496454"/>
    <s v="High"/>
    <s v="OK"/>
    <s v="Dec-2013"/>
    <s v="Profit"/>
    <s v="High Sales"/>
    <b v="1"/>
  </r>
  <r>
    <x v="3"/>
    <x v="2"/>
    <x v="5"/>
    <x v="2"/>
    <n v="1987.5"/>
    <n v="260"/>
    <n v="125"/>
    <n v="248437.5"/>
    <n v="14906.25"/>
    <n v="233531.25"/>
    <n v="238500"/>
    <n v="-4968.75"/>
    <x v="0"/>
    <n v="1"/>
    <s v=" January "/>
    <x v="0"/>
    <n v="-2.1276595744680851E-2"/>
    <s v="High"/>
    <s v="OK"/>
    <s v="Jan-2014"/>
    <s v="Loss"/>
    <s v="High Sales"/>
    <b v="1"/>
  </r>
  <r>
    <x v="0"/>
    <x v="3"/>
    <x v="5"/>
    <x v="2"/>
    <n v="1679"/>
    <n v="260"/>
    <n v="350"/>
    <n v="587650"/>
    <n v="35259"/>
    <n v="552391"/>
    <n v="436540"/>
    <n v="115851"/>
    <x v="6"/>
    <n v="9"/>
    <s v=" September "/>
    <x v="0"/>
    <n v="0.20972644376899696"/>
    <s v="High"/>
    <s v="OK"/>
    <s v="Sep-2014"/>
    <s v="Profit"/>
    <s v="High Sales"/>
    <b v="1"/>
  </r>
  <r>
    <x v="0"/>
    <x v="4"/>
    <x v="5"/>
    <x v="2"/>
    <n v="727"/>
    <n v="260"/>
    <n v="350"/>
    <n v="254450"/>
    <n v="15267"/>
    <n v="239183"/>
    <n v="189020"/>
    <n v="50163"/>
    <x v="7"/>
    <n v="10"/>
    <s v=" October "/>
    <x v="1"/>
    <n v="0.20972644376899696"/>
    <s v="High"/>
    <s v="OK"/>
    <s v="Oct-2013"/>
    <s v="Profit"/>
    <s v="High Sales"/>
    <b v="1"/>
  </r>
  <r>
    <x v="0"/>
    <x v="2"/>
    <x v="5"/>
    <x v="2"/>
    <n v="1403"/>
    <n v="260"/>
    <n v="7"/>
    <n v="9821"/>
    <n v="589.26"/>
    <n v="9231.74"/>
    <n v="7015"/>
    <n v="2216.7399999999998"/>
    <x v="7"/>
    <n v="10"/>
    <s v=" October "/>
    <x v="1"/>
    <n v="0.24012158054711244"/>
    <s v="Low"/>
    <s v="OK"/>
    <s v="Oct-2013"/>
    <s v="Profit"/>
    <s v="Low Sales"/>
    <b v="1"/>
  </r>
  <r>
    <x v="0"/>
    <x v="2"/>
    <x v="5"/>
    <x v="2"/>
    <n v="2076"/>
    <n v="260"/>
    <n v="350"/>
    <n v="726600"/>
    <n v="43596"/>
    <n v="683004"/>
    <n v="539760"/>
    <n v="143244"/>
    <x v="7"/>
    <n v="10"/>
    <s v=" October "/>
    <x v="1"/>
    <n v="0.20972644376899696"/>
    <s v="High"/>
    <s v="OK"/>
    <s v="Oct-2013"/>
    <s v="Profit"/>
    <s v="High Sales"/>
    <b v="1"/>
  </r>
  <r>
    <x v="0"/>
    <x v="2"/>
    <x v="1"/>
    <x v="2"/>
    <n v="1757"/>
    <n v="5"/>
    <n v="20"/>
    <n v="35140"/>
    <n v="2108.4"/>
    <n v="33031.599999999999"/>
    <n v="17570"/>
    <n v="15461.6"/>
    <x v="7"/>
    <n v="10"/>
    <s v=" October "/>
    <x v="1"/>
    <n v="0.46808510638297873"/>
    <s v="Low"/>
    <s v="OK"/>
    <s v="Oct-2013"/>
    <s v="Profit"/>
    <s v="Low Sales"/>
    <b v="1"/>
  </r>
  <r>
    <x v="1"/>
    <x v="4"/>
    <x v="2"/>
    <x v="2"/>
    <n v="2198"/>
    <n v="10"/>
    <n v="15"/>
    <n v="32970"/>
    <n v="1978.2"/>
    <n v="30991.8"/>
    <n v="21980"/>
    <n v="9011.7999999999993"/>
    <x v="5"/>
    <n v="8"/>
    <s v=" August "/>
    <x v="0"/>
    <n v="0.29078014184397161"/>
    <s v="Low"/>
    <s v="OK"/>
    <s v="Aug-2014"/>
    <s v="Profit"/>
    <s v="Low Sales"/>
    <b v="1"/>
  </r>
  <r>
    <x v="1"/>
    <x v="1"/>
    <x v="2"/>
    <x v="2"/>
    <n v="1743"/>
    <n v="10"/>
    <n v="15"/>
    <n v="26145"/>
    <n v="1568.7"/>
    <n v="24576.3"/>
    <n v="17430"/>
    <n v="7146.3"/>
    <x v="5"/>
    <n v="8"/>
    <s v=" August "/>
    <x v="0"/>
    <n v="0.29078014184397166"/>
    <s v="Low"/>
    <s v="OK"/>
    <s v="Aug-2014"/>
    <s v="Profit"/>
    <s v="Low Sales"/>
    <b v="1"/>
  </r>
  <r>
    <x v="1"/>
    <x v="4"/>
    <x v="2"/>
    <x v="2"/>
    <n v="1153"/>
    <n v="10"/>
    <n v="15"/>
    <n v="17295"/>
    <n v="1037.7"/>
    <n v="16257.3"/>
    <n v="11530"/>
    <n v="4727.3"/>
    <x v="10"/>
    <n v="10"/>
    <s v=" October "/>
    <x v="0"/>
    <n v="0.29078014184397166"/>
    <s v="Low"/>
    <s v="OK"/>
    <s v="Oct-2014"/>
    <s v="Profit"/>
    <s v="Low Sales"/>
    <b v="1"/>
  </r>
  <r>
    <x v="0"/>
    <x v="2"/>
    <x v="2"/>
    <x v="2"/>
    <n v="1757"/>
    <n v="10"/>
    <n v="20"/>
    <n v="35140"/>
    <n v="2108.4"/>
    <n v="33031.599999999999"/>
    <n v="17570"/>
    <n v="15461.6"/>
    <x v="7"/>
    <n v="10"/>
    <s v=" October "/>
    <x v="1"/>
    <n v="0.46808510638297873"/>
    <s v="Low"/>
    <s v="OK"/>
    <s v="Oct-2013"/>
    <s v="Profit"/>
    <s v="Low Sales"/>
    <b v="1"/>
  </r>
  <r>
    <x v="0"/>
    <x v="1"/>
    <x v="3"/>
    <x v="2"/>
    <n v="1001"/>
    <n v="120"/>
    <n v="20"/>
    <n v="20020"/>
    <n v="1201.2"/>
    <n v="18818.8"/>
    <n v="10010"/>
    <n v="8808.7999999999993"/>
    <x v="5"/>
    <n v="8"/>
    <s v=" August "/>
    <x v="0"/>
    <n v="0.46808510638297868"/>
    <s v="Low"/>
    <s v="OK"/>
    <s v="Aug-2014"/>
    <s v="Profit"/>
    <s v="Low Sales"/>
    <b v="1"/>
  </r>
  <r>
    <x v="0"/>
    <x v="3"/>
    <x v="3"/>
    <x v="2"/>
    <n v="1333"/>
    <n v="120"/>
    <n v="7"/>
    <n v="9331"/>
    <n v="559.86"/>
    <n v="8771.14"/>
    <n v="6665"/>
    <n v="2106.14"/>
    <x v="15"/>
    <n v="11"/>
    <s v=" November "/>
    <x v="0"/>
    <n v="0.24012158054711247"/>
    <s v="Low"/>
    <s v="OK"/>
    <s v="Nov-2014"/>
    <s v="Profit"/>
    <s v="Low Sales"/>
    <b v="1"/>
  </r>
  <r>
    <x v="1"/>
    <x v="4"/>
    <x v="4"/>
    <x v="2"/>
    <n v="1153"/>
    <n v="250"/>
    <n v="15"/>
    <n v="17295"/>
    <n v="1037.7"/>
    <n v="16257.3"/>
    <n v="11530"/>
    <n v="4727.3"/>
    <x v="10"/>
    <n v="10"/>
    <s v=" October "/>
    <x v="0"/>
    <n v="0.29078014184397166"/>
    <s v="Low"/>
    <s v="OK"/>
    <s v="Oct-2014"/>
    <s v="Profit"/>
    <s v="Low Sales"/>
    <b v="1"/>
  </r>
  <r>
    <x v="2"/>
    <x v="3"/>
    <x v="0"/>
    <x v="2"/>
    <n v="727"/>
    <n v="3"/>
    <n v="12"/>
    <n v="8724"/>
    <n v="610.67999999999995"/>
    <n v="8113.32"/>
    <n v="2181"/>
    <n v="5932.32"/>
    <x v="8"/>
    <n v="2"/>
    <s v=" February "/>
    <x v="0"/>
    <n v="0.73118279569892475"/>
    <s v="Low"/>
    <s v="OK"/>
    <s v="Feb-2014"/>
    <s v="Profit"/>
    <s v="Low Sales"/>
    <b v="1"/>
  </r>
  <r>
    <x v="2"/>
    <x v="0"/>
    <x v="0"/>
    <x v="2"/>
    <n v="1884"/>
    <n v="3"/>
    <n v="12"/>
    <n v="22608"/>
    <n v="1582.56"/>
    <n v="21025.439999999999"/>
    <n v="5652"/>
    <n v="15373.44"/>
    <x v="5"/>
    <n v="8"/>
    <s v=" August "/>
    <x v="0"/>
    <n v="0.73118279569892475"/>
    <s v="Low"/>
    <s v="OK"/>
    <s v="Aug-2014"/>
    <s v="Profit"/>
    <s v="Low Sales"/>
    <b v="1"/>
  </r>
  <r>
    <x v="0"/>
    <x v="3"/>
    <x v="0"/>
    <x v="2"/>
    <n v="1834"/>
    <n v="3"/>
    <n v="20"/>
    <n v="36680"/>
    <n v="2567.6"/>
    <n v="34112.400000000001"/>
    <n v="18340"/>
    <n v="15772.4"/>
    <x v="9"/>
    <n v="9"/>
    <s v=" September "/>
    <x v="1"/>
    <n v="0.46236559139784944"/>
    <s v="Low"/>
    <s v="OK"/>
    <s v="Sep-2013"/>
    <s v="Profit"/>
    <s v="Low Sales"/>
    <b v="1"/>
  </r>
  <r>
    <x v="2"/>
    <x v="3"/>
    <x v="1"/>
    <x v="2"/>
    <n v="2340"/>
    <n v="5"/>
    <n v="12"/>
    <n v="28080"/>
    <n v="1965.6"/>
    <n v="26114.400000000001"/>
    <n v="7020"/>
    <n v="19094.400000000001"/>
    <x v="0"/>
    <n v="1"/>
    <s v=" January "/>
    <x v="0"/>
    <n v="0.73118279569892475"/>
    <s v="Low"/>
    <s v="OK"/>
    <s v="Jan-2014"/>
    <s v="Profit"/>
    <s v="Low Sales"/>
    <b v="1"/>
  </r>
  <r>
    <x v="2"/>
    <x v="2"/>
    <x v="1"/>
    <x v="2"/>
    <n v="2342"/>
    <n v="5"/>
    <n v="12"/>
    <n v="28104"/>
    <n v="1967.28"/>
    <n v="26136.720000000001"/>
    <n v="7026"/>
    <n v="19110.72"/>
    <x v="15"/>
    <n v="11"/>
    <s v=" November "/>
    <x v="0"/>
    <n v="0.73118279569892475"/>
    <s v="Low"/>
    <s v="OK"/>
    <s v="Nov-2014"/>
    <s v="Profit"/>
    <s v="Low Sales"/>
    <b v="1"/>
  </r>
  <r>
    <x v="0"/>
    <x v="2"/>
    <x v="2"/>
    <x v="2"/>
    <n v="1031"/>
    <n v="10"/>
    <n v="7"/>
    <n v="7217"/>
    <n v="505.19"/>
    <n v="6711.81"/>
    <n v="5155"/>
    <n v="1556.81"/>
    <x v="9"/>
    <n v="9"/>
    <s v=" September "/>
    <x v="1"/>
    <n v="0.23195084485407064"/>
    <s v="Low"/>
    <s v="OK"/>
    <s v="Sep-2013"/>
    <s v="Profit"/>
    <s v="Low Sales"/>
    <b v="1"/>
  </r>
  <r>
    <x v="1"/>
    <x v="0"/>
    <x v="3"/>
    <x v="2"/>
    <n v="1262"/>
    <n v="120"/>
    <n v="15"/>
    <n v="18930"/>
    <n v="1325.1"/>
    <n v="17604.900000000001"/>
    <n v="12620"/>
    <n v="4984.8999999999996"/>
    <x v="14"/>
    <n v="5"/>
    <s v=" May "/>
    <x v="0"/>
    <n v="0.28315412186379924"/>
    <s v="Low"/>
    <s v="OK"/>
    <s v="May-2014"/>
    <s v="Profit"/>
    <s v="Low Sales"/>
    <b v="1"/>
  </r>
  <r>
    <x v="0"/>
    <x v="0"/>
    <x v="3"/>
    <x v="2"/>
    <n v="1135"/>
    <n v="120"/>
    <n v="7"/>
    <n v="7945"/>
    <n v="556.15"/>
    <n v="7388.85"/>
    <n v="5675"/>
    <n v="1713.85"/>
    <x v="1"/>
    <n v="6"/>
    <s v=" June "/>
    <x v="0"/>
    <n v="0.23195084485407064"/>
    <s v="Low"/>
    <s v="OK"/>
    <s v="Jun-2014"/>
    <s v="Profit"/>
    <s v="Low Sales"/>
    <b v="1"/>
  </r>
  <r>
    <x v="0"/>
    <x v="4"/>
    <x v="3"/>
    <x v="2"/>
    <n v="547"/>
    <n v="120"/>
    <n v="7"/>
    <n v="3829"/>
    <n v="268.02999999999997"/>
    <n v="3560.97"/>
    <n v="2735"/>
    <n v="825.97"/>
    <x v="15"/>
    <n v="11"/>
    <s v=" November "/>
    <x v="0"/>
    <n v="0.23195084485407069"/>
    <s v="Low"/>
    <s v="OK"/>
    <s v="Nov-2014"/>
    <s v="Profit"/>
    <s v="Low Sales"/>
    <b v="1"/>
  </r>
  <r>
    <x v="0"/>
    <x v="0"/>
    <x v="3"/>
    <x v="2"/>
    <n v="1582"/>
    <n v="120"/>
    <n v="7"/>
    <n v="11074"/>
    <n v="775.18"/>
    <n v="10298.82"/>
    <n v="7910"/>
    <n v="2388.8200000000002"/>
    <x v="2"/>
    <n v="12"/>
    <s v=" December "/>
    <x v="0"/>
    <n v="0.23195084485407069"/>
    <s v="Low"/>
    <s v="OK"/>
    <s v="Dec-2014"/>
    <s v="Profit"/>
    <s v="Low Sales"/>
    <b v="1"/>
  </r>
  <r>
    <x v="2"/>
    <x v="2"/>
    <x v="4"/>
    <x v="2"/>
    <n v="1738.5"/>
    <n v="250"/>
    <n v="12"/>
    <n v="20862"/>
    <n v="1460.34"/>
    <n v="19401.66"/>
    <n v="5215.5"/>
    <n v="14186.16"/>
    <x v="13"/>
    <n v="4"/>
    <s v=" April "/>
    <x v="0"/>
    <n v="0.73118279569892475"/>
    <s v="Low"/>
    <s v="OK"/>
    <s v="Apr-2014"/>
    <s v="Profit"/>
    <s v="Low Sales"/>
    <b v="1"/>
  </r>
  <r>
    <x v="2"/>
    <x v="1"/>
    <x v="4"/>
    <x v="2"/>
    <n v="2215"/>
    <n v="250"/>
    <n v="12"/>
    <n v="26580"/>
    <n v="1860.6"/>
    <n v="24719.4"/>
    <n v="6645"/>
    <n v="18074.400000000001"/>
    <x v="9"/>
    <n v="9"/>
    <s v=" September "/>
    <x v="1"/>
    <n v="0.73118279569892475"/>
    <s v="Low"/>
    <s v="OK"/>
    <s v="Sep-2013"/>
    <s v="Profit"/>
    <s v="Low Sales"/>
    <b v="1"/>
  </r>
  <r>
    <x v="0"/>
    <x v="0"/>
    <x v="4"/>
    <x v="2"/>
    <n v="1582"/>
    <n v="250"/>
    <n v="7"/>
    <n v="11074"/>
    <n v="775.18"/>
    <n v="10298.82"/>
    <n v="7910"/>
    <n v="2388.8200000000002"/>
    <x v="2"/>
    <n v="12"/>
    <s v=" December "/>
    <x v="0"/>
    <n v="0.23195084485407069"/>
    <s v="Low"/>
    <s v="OK"/>
    <s v="Dec-2014"/>
    <s v="Profit"/>
    <s v="Low Sales"/>
    <b v="1"/>
  </r>
  <r>
    <x v="0"/>
    <x v="0"/>
    <x v="5"/>
    <x v="2"/>
    <n v="1135"/>
    <n v="260"/>
    <n v="7"/>
    <n v="7945"/>
    <n v="556.15"/>
    <n v="7388.85"/>
    <n v="5675"/>
    <n v="1713.85"/>
    <x v="1"/>
    <n v="6"/>
    <s v=" June "/>
    <x v="0"/>
    <n v="0.23195084485407064"/>
    <s v="Low"/>
    <s v="OK"/>
    <s v="Jun-2014"/>
    <s v="Profit"/>
    <s v="Low Sales"/>
    <b v="1"/>
  </r>
  <r>
    <x v="0"/>
    <x v="4"/>
    <x v="0"/>
    <x v="2"/>
    <n v="1761"/>
    <n v="3"/>
    <n v="350"/>
    <n v="616350"/>
    <n v="43144.5"/>
    <n v="573205.5"/>
    <n v="457860"/>
    <n v="115345.5"/>
    <x v="3"/>
    <n v="3"/>
    <s v=" March "/>
    <x v="0"/>
    <n v="0.20122887864823349"/>
    <s v="High"/>
    <s v="OK"/>
    <s v="Mar-2014"/>
    <s v="Profit"/>
    <s v="High Sales"/>
    <b v="1"/>
  </r>
  <r>
    <x v="4"/>
    <x v="2"/>
    <x v="0"/>
    <x v="2"/>
    <n v="448"/>
    <n v="3"/>
    <n v="300"/>
    <n v="134400"/>
    <n v="9408"/>
    <n v="124992"/>
    <n v="112000"/>
    <n v="12992"/>
    <x v="1"/>
    <n v="6"/>
    <s v=" June "/>
    <x v="0"/>
    <n v="0.1039426523297491"/>
    <s v="High"/>
    <s v="OK"/>
    <s v="Jun-2014"/>
    <s v="Profit"/>
    <s v="High Sales"/>
    <b v="1"/>
  </r>
  <r>
    <x v="4"/>
    <x v="2"/>
    <x v="0"/>
    <x v="2"/>
    <n v="2181"/>
    <n v="3"/>
    <n v="300"/>
    <n v="654300"/>
    <n v="45801"/>
    <n v="608499"/>
    <n v="545250"/>
    <n v="63249"/>
    <x v="10"/>
    <n v="10"/>
    <s v=" October "/>
    <x v="0"/>
    <n v="0.1039426523297491"/>
    <s v="High"/>
    <s v="OK"/>
    <s v="Oct-2014"/>
    <s v="Profit"/>
    <s v="High Sales"/>
    <b v="1"/>
  </r>
  <r>
    <x v="0"/>
    <x v="2"/>
    <x v="1"/>
    <x v="2"/>
    <n v="1976"/>
    <n v="5"/>
    <n v="20"/>
    <n v="39520"/>
    <n v="2766.4"/>
    <n v="36753.599999999999"/>
    <n v="19760"/>
    <n v="16993.599999999999"/>
    <x v="10"/>
    <n v="10"/>
    <s v=" October "/>
    <x v="0"/>
    <n v="0.46236559139784944"/>
    <s v="Low"/>
    <s v="OK"/>
    <s v="Oct-2014"/>
    <s v="Profit"/>
    <s v="Low Sales"/>
    <b v="1"/>
  </r>
  <r>
    <x v="4"/>
    <x v="2"/>
    <x v="1"/>
    <x v="2"/>
    <n v="2181"/>
    <n v="5"/>
    <n v="300"/>
    <n v="654300"/>
    <n v="45801"/>
    <n v="608499"/>
    <n v="545250"/>
    <n v="63249"/>
    <x v="10"/>
    <n v="10"/>
    <s v=" October "/>
    <x v="0"/>
    <n v="0.1039426523297491"/>
    <s v="High"/>
    <s v="OK"/>
    <s v="Oct-2014"/>
    <s v="Profit"/>
    <s v="High Sales"/>
    <b v="1"/>
  </r>
  <r>
    <x v="3"/>
    <x v="1"/>
    <x v="1"/>
    <x v="2"/>
    <n v="2500"/>
    <n v="5"/>
    <n v="125"/>
    <n v="312500"/>
    <n v="21875"/>
    <n v="290625"/>
    <n v="300000"/>
    <n v="-9375"/>
    <x v="11"/>
    <n v="11"/>
    <s v=" November "/>
    <x v="1"/>
    <n v="-3.2258064516129031E-2"/>
    <s v="High"/>
    <s v="OK"/>
    <s v="Nov-2013"/>
    <s v="Loss"/>
    <s v="High Sales"/>
    <b v="1"/>
  </r>
  <r>
    <x v="4"/>
    <x v="0"/>
    <x v="2"/>
    <x v="2"/>
    <n v="1702"/>
    <n v="10"/>
    <n v="300"/>
    <n v="510600"/>
    <n v="35742"/>
    <n v="474858"/>
    <n v="425500"/>
    <n v="49358"/>
    <x v="14"/>
    <n v="5"/>
    <s v=" May "/>
    <x v="0"/>
    <n v="0.1039426523297491"/>
    <s v="High"/>
    <s v="OK"/>
    <s v="May-2014"/>
    <s v="Profit"/>
    <s v="High Sales"/>
    <b v="1"/>
  </r>
  <r>
    <x v="4"/>
    <x v="2"/>
    <x v="2"/>
    <x v="2"/>
    <n v="448"/>
    <n v="10"/>
    <n v="300"/>
    <n v="134400"/>
    <n v="9408"/>
    <n v="124992"/>
    <n v="112000"/>
    <n v="12992"/>
    <x v="1"/>
    <n v="6"/>
    <s v=" June "/>
    <x v="0"/>
    <n v="0.1039426523297491"/>
    <s v="High"/>
    <s v="OK"/>
    <s v="Jun-2014"/>
    <s v="Profit"/>
    <s v="High Sales"/>
    <b v="1"/>
  </r>
  <r>
    <x v="3"/>
    <x v="1"/>
    <x v="2"/>
    <x v="2"/>
    <n v="3513"/>
    <n v="10"/>
    <n v="125"/>
    <n v="439125"/>
    <n v="30738.75"/>
    <n v="408386.25"/>
    <n v="421560"/>
    <n v="-13173.75"/>
    <x v="4"/>
    <n v="7"/>
    <s v=" July "/>
    <x v="0"/>
    <n v="-3.2258064516129031E-2"/>
    <s v="High"/>
    <s v="OK"/>
    <s v="Jul-2014"/>
    <s v="Loss"/>
    <s v="High Sales"/>
    <b v="1"/>
  </r>
  <r>
    <x v="1"/>
    <x v="2"/>
    <x v="2"/>
    <x v="2"/>
    <n v="2101"/>
    <n v="10"/>
    <n v="15"/>
    <n v="31515"/>
    <n v="2206.0500000000002"/>
    <n v="29308.95"/>
    <n v="21010"/>
    <n v="8298.9500000000007"/>
    <x v="5"/>
    <n v="8"/>
    <s v=" August "/>
    <x v="0"/>
    <n v="0.28315412186379929"/>
    <s v="Low"/>
    <s v="OK"/>
    <s v="Aug-2014"/>
    <s v="Profit"/>
    <s v="Low Sales"/>
    <b v="1"/>
  </r>
  <r>
    <x v="1"/>
    <x v="4"/>
    <x v="2"/>
    <x v="2"/>
    <n v="2931"/>
    <n v="10"/>
    <n v="15"/>
    <n v="43965"/>
    <n v="3077.55"/>
    <n v="40887.449999999997"/>
    <n v="29310"/>
    <n v="11577.45"/>
    <x v="9"/>
    <n v="9"/>
    <s v=" September "/>
    <x v="1"/>
    <n v="0.28315412186379935"/>
    <s v="Low"/>
    <s v="OK"/>
    <s v="Sep-2013"/>
    <s v="Profit"/>
    <s v="Low Sales"/>
    <b v="1"/>
  </r>
  <r>
    <x v="0"/>
    <x v="2"/>
    <x v="2"/>
    <x v="2"/>
    <n v="1535"/>
    <n v="10"/>
    <n v="20"/>
    <n v="30700"/>
    <n v="2149"/>
    <n v="28551"/>
    <n v="15350"/>
    <n v="13201"/>
    <x v="6"/>
    <n v="9"/>
    <s v=" September "/>
    <x v="0"/>
    <n v="0.46236559139784944"/>
    <s v="Low"/>
    <s v="OK"/>
    <s v="Sep-2014"/>
    <s v="Profit"/>
    <s v="Low Sales"/>
    <b v="1"/>
  </r>
  <r>
    <x v="4"/>
    <x v="1"/>
    <x v="2"/>
    <x v="2"/>
    <n v="1123"/>
    <n v="10"/>
    <n v="300"/>
    <n v="336900"/>
    <n v="23583"/>
    <n v="313317"/>
    <n v="280750"/>
    <n v="32567"/>
    <x v="9"/>
    <n v="9"/>
    <s v=" September "/>
    <x v="1"/>
    <n v="0.1039426523297491"/>
    <s v="High"/>
    <s v="OK"/>
    <s v="Sep-2013"/>
    <s v="Profit"/>
    <s v="High Sales"/>
    <b v="1"/>
  </r>
  <r>
    <x v="4"/>
    <x v="0"/>
    <x v="2"/>
    <x v="2"/>
    <n v="1404"/>
    <n v="10"/>
    <n v="300"/>
    <n v="421200"/>
    <n v="29484"/>
    <n v="391716"/>
    <n v="351000"/>
    <n v="40716"/>
    <x v="11"/>
    <n v="11"/>
    <s v=" November "/>
    <x v="1"/>
    <n v="0.1039426523297491"/>
    <s v="High"/>
    <s v="OK"/>
    <s v="Nov-2013"/>
    <s v="Profit"/>
    <s v="High Sales"/>
    <b v="1"/>
  </r>
  <r>
    <x v="2"/>
    <x v="3"/>
    <x v="2"/>
    <x v="2"/>
    <n v="2763"/>
    <n v="10"/>
    <n v="12"/>
    <n v="33156"/>
    <n v="2320.92"/>
    <n v="30835.08"/>
    <n v="8289"/>
    <n v="22546.080000000002"/>
    <x v="11"/>
    <n v="11"/>
    <s v=" November "/>
    <x v="1"/>
    <n v="0.73118279569892475"/>
    <s v="Low"/>
    <s v="OK"/>
    <s v="Nov-2013"/>
    <s v="Profit"/>
    <s v="Low Sales"/>
    <b v="1"/>
  </r>
  <r>
    <x v="0"/>
    <x v="1"/>
    <x v="2"/>
    <x v="2"/>
    <n v="2125"/>
    <n v="10"/>
    <n v="7"/>
    <n v="14875"/>
    <n v="1041.25"/>
    <n v="13833.75"/>
    <n v="10625"/>
    <n v="3208.75"/>
    <x v="12"/>
    <n v="12"/>
    <s v=" December "/>
    <x v="1"/>
    <n v="0.23195084485407066"/>
    <s v="Low"/>
    <s v="OK"/>
    <s v="Dec-2013"/>
    <s v="Profit"/>
    <s v="Low Sales"/>
    <b v="1"/>
  </r>
  <r>
    <x v="4"/>
    <x v="2"/>
    <x v="3"/>
    <x v="2"/>
    <n v="1659"/>
    <n v="120"/>
    <n v="300"/>
    <n v="497700"/>
    <n v="34839"/>
    <n v="462861"/>
    <n v="414750"/>
    <n v="48111"/>
    <x v="4"/>
    <n v="7"/>
    <s v=" July "/>
    <x v="0"/>
    <n v="0.1039426523297491"/>
    <s v="High"/>
    <s v="OK"/>
    <s v="Jul-2014"/>
    <s v="Profit"/>
    <s v="High Sales"/>
    <b v="1"/>
  </r>
  <r>
    <x v="0"/>
    <x v="3"/>
    <x v="3"/>
    <x v="2"/>
    <n v="609"/>
    <n v="120"/>
    <n v="20"/>
    <n v="12180"/>
    <n v="852.6"/>
    <n v="11327.4"/>
    <n v="6090"/>
    <n v="5237.3999999999996"/>
    <x v="5"/>
    <n v="8"/>
    <s v=" August "/>
    <x v="0"/>
    <n v="0.46236559139784944"/>
    <s v="Low"/>
    <s v="OK"/>
    <s v="Aug-2014"/>
    <s v="Profit"/>
    <s v="Low Sales"/>
    <b v="1"/>
  </r>
  <r>
    <x v="3"/>
    <x v="1"/>
    <x v="3"/>
    <x v="2"/>
    <n v="2087"/>
    <n v="120"/>
    <n v="125"/>
    <n v="260875"/>
    <n v="18261.25"/>
    <n v="242613.75"/>
    <n v="250440"/>
    <n v="-7826.25"/>
    <x v="6"/>
    <n v="9"/>
    <s v=" September "/>
    <x v="0"/>
    <n v="-3.2258064516129031E-2"/>
    <s v="High"/>
    <s v="OK"/>
    <s v="Sep-2014"/>
    <s v="Loss"/>
    <s v="High Sales"/>
    <b v="1"/>
  </r>
  <r>
    <x v="0"/>
    <x v="2"/>
    <x v="3"/>
    <x v="2"/>
    <n v="1976"/>
    <n v="120"/>
    <n v="20"/>
    <n v="39520"/>
    <n v="2766.4"/>
    <n v="36753.599999999999"/>
    <n v="19760"/>
    <n v="16993.599999999999"/>
    <x v="10"/>
    <n v="10"/>
    <s v=" October "/>
    <x v="0"/>
    <n v="0.46236559139784944"/>
    <s v="Low"/>
    <s v="OK"/>
    <s v="Oct-2014"/>
    <s v="Profit"/>
    <s v="Low Sales"/>
    <b v="1"/>
  </r>
  <r>
    <x v="0"/>
    <x v="4"/>
    <x v="3"/>
    <x v="2"/>
    <n v="1421"/>
    <n v="120"/>
    <n v="20"/>
    <n v="28420"/>
    <n v="1989.4"/>
    <n v="26430.6"/>
    <n v="14210"/>
    <n v="12220.6"/>
    <x v="12"/>
    <n v="12"/>
    <s v=" December "/>
    <x v="1"/>
    <n v="0.4623655913978495"/>
    <s v="Low"/>
    <s v="OK"/>
    <s v="Dec-2013"/>
    <s v="Profit"/>
    <s v="Low Sales"/>
    <b v="1"/>
  </r>
  <r>
    <x v="4"/>
    <x v="4"/>
    <x v="3"/>
    <x v="2"/>
    <n v="1372"/>
    <n v="120"/>
    <n v="300"/>
    <n v="411600"/>
    <n v="28812"/>
    <n v="382788"/>
    <n v="343000"/>
    <n v="39788"/>
    <x v="2"/>
    <n v="12"/>
    <s v=" December "/>
    <x v="0"/>
    <n v="0.1039426523297491"/>
    <s v="High"/>
    <s v="OK"/>
    <s v="Dec-2014"/>
    <s v="Profit"/>
    <s v="High Sales"/>
    <b v="1"/>
  </r>
  <r>
    <x v="0"/>
    <x v="1"/>
    <x v="3"/>
    <x v="2"/>
    <n v="588"/>
    <n v="120"/>
    <n v="20"/>
    <n v="11760"/>
    <n v="823.2"/>
    <n v="10936.8"/>
    <n v="5880"/>
    <n v="5056.8"/>
    <x v="12"/>
    <n v="12"/>
    <s v=" December "/>
    <x v="1"/>
    <n v="0.4623655913978495"/>
    <s v="Low"/>
    <s v="OK"/>
    <s v="Dec-2013"/>
    <s v="Profit"/>
    <s v="Low Sales"/>
    <b v="1"/>
  </r>
  <r>
    <x v="2"/>
    <x v="0"/>
    <x v="4"/>
    <x v="2"/>
    <n v="3244.5"/>
    <n v="250"/>
    <n v="12"/>
    <n v="38934"/>
    <n v="2725.38"/>
    <n v="36208.620000000003"/>
    <n v="9733.5"/>
    <n v="26475.119999999999"/>
    <x v="0"/>
    <n v="1"/>
    <s v=" January "/>
    <x v="0"/>
    <n v="0.73118279569892464"/>
    <s v="Low"/>
    <s v="OK"/>
    <s v="Jan-2014"/>
    <s v="Profit"/>
    <s v="Low Sales"/>
    <b v="1"/>
  </r>
  <r>
    <x v="4"/>
    <x v="2"/>
    <x v="4"/>
    <x v="2"/>
    <n v="959"/>
    <n v="250"/>
    <n v="300"/>
    <n v="287700"/>
    <n v="20139"/>
    <n v="267561"/>
    <n v="239750"/>
    <n v="27811"/>
    <x v="8"/>
    <n v="2"/>
    <s v=" February "/>
    <x v="0"/>
    <n v="0.1039426523297491"/>
    <s v="High"/>
    <s v="OK"/>
    <s v="Feb-2014"/>
    <s v="Profit"/>
    <s v="High Sales"/>
    <b v="1"/>
  </r>
  <r>
    <x v="4"/>
    <x v="3"/>
    <x v="4"/>
    <x v="2"/>
    <n v="2747"/>
    <n v="250"/>
    <n v="300"/>
    <n v="824100"/>
    <n v="57687"/>
    <n v="766413"/>
    <n v="686750"/>
    <n v="79663"/>
    <x v="8"/>
    <n v="2"/>
    <s v=" February "/>
    <x v="0"/>
    <n v="0.1039426523297491"/>
    <s v="High"/>
    <s v="OK"/>
    <s v="Feb-2014"/>
    <s v="Profit"/>
    <s v="High Sales"/>
    <b v="1"/>
  </r>
  <r>
    <x v="3"/>
    <x v="0"/>
    <x v="5"/>
    <x v="2"/>
    <n v="1645"/>
    <n v="260"/>
    <n v="125"/>
    <n v="205625"/>
    <n v="14393.75"/>
    <n v="191231.25"/>
    <n v="197400"/>
    <n v="-6168.75"/>
    <x v="14"/>
    <n v="5"/>
    <s v=" May "/>
    <x v="0"/>
    <n v="-3.2258064516129031E-2"/>
    <s v="High"/>
    <s v="OK"/>
    <s v="May-2014"/>
    <s v="Loss"/>
    <s v="High Sales"/>
    <b v="1"/>
  </r>
  <r>
    <x v="0"/>
    <x v="2"/>
    <x v="5"/>
    <x v="2"/>
    <n v="2876"/>
    <n v="260"/>
    <n v="350"/>
    <n v="1006600"/>
    <n v="70462"/>
    <n v="936138"/>
    <n v="747760"/>
    <n v="188378"/>
    <x v="6"/>
    <n v="9"/>
    <s v=" September "/>
    <x v="0"/>
    <n v="0.20122887864823349"/>
    <s v="High"/>
    <s v="OK"/>
    <s v="Sep-2014"/>
    <s v="Profit"/>
    <s v="High Sales"/>
    <b v="1"/>
  </r>
  <r>
    <x v="3"/>
    <x v="1"/>
    <x v="5"/>
    <x v="2"/>
    <n v="994"/>
    <n v="260"/>
    <n v="125"/>
    <n v="124250"/>
    <n v="8697.5"/>
    <n v="115552.5"/>
    <n v="119280"/>
    <n v="-3727.5"/>
    <x v="9"/>
    <n v="9"/>
    <s v=" September "/>
    <x v="1"/>
    <n v="-3.2258064516129031E-2"/>
    <s v="High"/>
    <s v="OK"/>
    <s v="Sep-2013"/>
    <s v="Loss"/>
    <s v="High Sales"/>
    <b v="1"/>
  </r>
  <r>
    <x v="0"/>
    <x v="0"/>
    <x v="5"/>
    <x v="2"/>
    <n v="1118"/>
    <n v="260"/>
    <n v="20"/>
    <n v="22360"/>
    <n v="1565.2"/>
    <n v="20794.8"/>
    <n v="11180"/>
    <n v="9614.7999999999993"/>
    <x v="15"/>
    <n v="11"/>
    <s v=" November "/>
    <x v="0"/>
    <n v="0.46236559139784944"/>
    <s v="Low"/>
    <s v="OK"/>
    <s v="Nov-2014"/>
    <s v="Profit"/>
    <s v="Low Sales"/>
    <b v="1"/>
  </r>
  <r>
    <x v="4"/>
    <x v="4"/>
    <x v="5"/>
    <x v="2"/>
    <n v="1372"/>
    <n v="260"/>
    <n v="300"/>
    <n v="411600"/>
    <n v="28812"/>
    <n v="382788"/>
    <n v="343000"/>
    <n v="39788"/>
    <x v="2"/>
    <n v="12"/>
    <s v=" December "/>
    <x v="0"/>
    <n v="0.1039426523297491"/>
    <s v="High"/>
    <s v="OK"/>
    <s v="Dec-2014"/>
    <s v="Profit"/>
    <s v="High Sales"/>
    <b v="1"/>
  </r>
  <r>
    <x v="0"/>
    <x v="0"/>
    <x v="1"/>
    <x v="2"/>
    <n v="488"/>
    <n v="5"/>
    <n v="7"/>
    <n v="3416"/>
    <n v="273.27999999999997"/>
    <n v="3142.72"/>
    <n v="2440"/>
    <n v="702.72"/>
    <x v="8"/>
    <n v="2"/>
    <s v=" February "/>
    <x v="0"/>
    <n v="0.22360248447204972"/>
    <s v="Low"/>
    <s v="OK"/>
    <s v="Feb-2014"/>
    <s v="Profit"/>
    <s v="Low Sales"/>
    <b v="1"/>
  </r>
  <r>
    <x v="0"/>
    <x v="4"/>
    <x v="1"/>
    <x v="2"/>
    <n v="1282"/>
    <n v="5"/>
    <n v="20"/>
    <n v="25640"/>
    <n v="2051.1999999999998"/>
    <n v="23588.799999999999"/>
    <n v="12820"/>
    <n v="10768.8"/>
    <x v="1"/>
    <n v="6"/>
    <s v=" June "/>
    <x v="0"/>
    <n v="0.45652173913043476"/>
    <s v="Low"/>
    <s v="OK"/>
    <s v="Jun-2014"/>
    <s v="Profit"/>
    <s v="Low Sales"/>
    <b v="1"/>
  </r>
  <r>
    <x v="0"/>
    <x v="0"/>
    <x v="2"/>
    <x v="2"/>
    <n v="257"/>
    <n v="10"/>
    <n v="7"/>
    <n v="1799"/>
    <n v="143.91999999999999"/>
    <n v="1655.08"/>
    <n v="1285"/>
    <n v="370.08"/>
    <x v="14"/>
    <n v="5"/>
    <s v=" May "/>
    <x v="0"/>
    <n v="0.2236024844720497"/>
    <s v="Low"/>
    <s v="OK"/>
    <s v="May-2014"/>
    <s v="Profit"/>
    <s v="Low Sales"/>
    <b v="1"/>
  </r>
  <r>
    <x v="0"/>
    <x v="4"/>
    <x v="5"/>
    <x v="2"/>
    <n v="1282"/>
    <n v="260"/>
    <n v="20"/>
    <n v="25640"/>
    <n v="2051.1999999999998"/>
    <n v="23588.799999999999"/>
    <n v="12820"/>
    <n v="10768.8"/>
    <x v="1"/>
    <n v="6"/>
    <s v=" June "/>
    <x v="0"/>
    <n v="0.45652173913043476"/>
    <s v="Low"/>
    <s v="OK"/>
    <s v="Jun-2014"/>
    <s v="Profit"/>
    <s v="Low Sales"/>
    <b v="1"/>
  </r>
  <r>
    <x v="3"/>
    <x v="3"/>
    <x v="0"/>
    <x v="2"/>
    <n v="1540"/>
    <n v="3"/>
    <n v="125"/>
    <n v="192500"/>
    <n v="15400"/>
    <n v="177100"/>
    <n v="184800"/>
    <n v="-7700"/>
    <x v="5"/>
    <n v="8"/>
    <s v=" August "/>
    <x v="0"/>
    <n v="-4.3478260869565216E-2"/>
    <s v="High"/>
    <s v="OK"/>
    <s v="Aug-2014"/>
    <s v="Loss"/>
    <s v="High Sales"/>
    <b v="1"/>
  </r>
  <r>
    <x v="1"/>
    <x v="2"/>
    <x v="0"/>
    <x v="2"/>
    <n v="490"/>
    <n v="3"/>
    <n v="15"/>
    <n v="7350"/>
    <n v="588"/>
    <n v="6762"/>
    <n v="4900"/>
    <n v="1862"/>
    <x v="15"/>
    <n v="11"/>
    <s v=" November "/>
    <x v="0"/>
    <n v="0.27536231884057971"/>
    <s v="Low"/>
    <s v="OK"/>
    <s v="Nov-2014"/>
    <s v="Profit"/>
    <s v="Low Sales"/>
    <b v="1"/>
  </r>
  <r>
    <x v="0"/>
    <x v="3"/>
    <x v="0"/>
    <x v="2"/>
    <n v="1362"/>
    <n v="3"/>
    <n v="350"/>
    <n v="476700"/>
    <n v="38136"/>
    <n v="438564"/>
    <n v="354120"/>
    <n v="84444"/>
    <x v="2"/>
    <n v="12"/>
    <s v=" December "/>
    <x v="0"/>
    <n v="0.19254658385093168"/>
    <s v="High"/>
    <s v="OK"/>
    <s v="Dec-2014"/>
    <s v="Profit"/>
    <s v="High Sales"/>
    <b v="1"/>
  </r>
  <r>
    <x v="1"/>
    <x v="2"/>
    <x v="1"/>
    <x v="2"/>
    <n v="2501"/>
    <n v="5"/>
    <n v="15"/>
    <n v="37515"/>
    <n v="3001.2"/>
    <n v="34513.800000000003"/>
    <n v="25010"/>
    <n v="9503.7999999999993"/>
    <x v="3"/>
    <n v="3"/>
    <s v=" March "/>
    <x v="0"/>
    <n v="0.27536231884057966"/>
    <s v="Low"/>
    <s v="OK"/>
    <s v="Mar-2014"/>
    <s v="Profit"/>
    <s v="Low Sales"/>
    <b v="1"/>
  </r>
  <r>
    <x v="0"/>
    <x v="0"/>
    <x v="1"/>
    <x v="2"/>
    <n v="708"/>
    <n v="5"/>
    <n v="20"/>
    <n v="14160"/>
    <n v="1132.8"/>
    <n v="13027.2"/>
    <n v="7080"/>
    <n v="5947.2"/>
    <x v="1"/>
    <n v="6"/>
    <s v=" June "/>
    <x v="0"/>
    <n v="0.45652173913043476"/>
    <s v="Low"/>
    <s v="OK"/>
    <s v="Jun-2014"/>
    <s v="Profit"/>
    <s v="Low Sales"/>
    <b v="1"/>
  </r>
  <r>
    <x v="0"/>
    <x v="1"/>
    <x v="1"/>
    <x v="2"/>
    <n v="645"/>
    <n v="5"/>
    <n v="20"/>
    <n v="12900"/>
    <n v="1032"/>
    <n v="11868"/>
    <n v="6450"/>
    <n v="5418"/>
    <x v="4"/>
    <n v="7"/>
    <s v=" July "/>
    <x v="0"/>
    <n v="0.45652173913043476"/>
    <s v="Low"/>
    <s v="OK"/>
    <s v="Jul-2014"/>
    <s v="Profit"/>
    <s v="Low Sales"/>
    <b v="1"/>
  </r>
  <r>
    <x v="4"/>
    <x v="2"/>
    <x v="1"/>
    <x v="2"/>
    <n v="1562"/>
    <n v="5"/>
    <n v="300"/>
    <n v="468600"/>
    <n v="37488"/>
    <n v="431112"/>
    <n v="390500"/>
    <n v="40612"/>
    <x v="5"/>
    <n v="8"/>
    <s v=" August "/>
    <x v="0"/>
    <n v="9.420289855072464E-2"/>
    <s v="High"/>
    <s v="OK"/>
    <s v="Aug-2014"/>
    <s v="Profit"/>
    <s v="High Sales"/>
    <b v="1"/>
  </r>
  <r>
    <x v="4"/>
    <x v="0"/>
    <x v="1"/>
    <x v="2"/>
    <n v="1283"/>
    <n v="5"/>
    <n v="300"/>
    <n v="384900"/>
    <n v="30792"/>
    <n v="354108"/>
    <n v="320750"/>
    <n v="33358"/>
    <x v="9"/>
    <n v="9"/>
    <s v=" September "/>
    <x v="1"/>
    <n v="9.420289855072464E-2"/>
    <s v="High"/>
    <s v="OK"/>
    <s v="Sep-2013"/>
    <s v="Profit"/>
    <s v="High Sales"/>
    <b v="1"/>
  </r>
  <r>
    <x v="1"/>
    <x v="1"/>
    <x v="1"/>
    <x v="2"/>
    <n v="711"/>
    <n v="5"/>
    <n v="15"/>
    <n v="10665"/>
    <n v="853.2"/>
    <n v="9811.7999999999993"/>
    <n v="7110"/>
    <n v="2701.8"/>
    <x v="2"/>
    <n v="12"/>
    <s v=" December "/>
    <x v="0"/>
    <n v="0.27536231884057977"/>
    <s v="Low"/>
    <s v="OK"/>
    <s v="Dec-2014"/>
    <s v="Profit"/>
    <s v="Low Sales"/>
    <b v="1"/>
  </r>
  <r>
    <x v="3"/>
    <x v="3"/>
    <x v="2"/>
    <x v="2"/>
    <n v="1114"/>
    <n v="10"/>
    <n v="125"/>
    <n v="139250"/>
    <n v="11140"/>
    <n v="128110"/>
    <n v="133680"/>
    <n v="-5570"/>
    <x v="3"/>
    <n v="3"/>
    <s v=" March "/>
    <x v="0"/>
    <n v="-4.3478260869565216E-2"/>
    <s v="High"/>
    <s v="OK"/>
    <s v="Mar-2014"/>
    <s v="Loss"/>
    <s v="High Sales"/>
    <b v="1"/>
  </r>
  <r>
    <x v="0"/>
    <x v="1"/>
    <x v="2"/>
    <x v="2"/>
    <n v="1259"/>
    <n v="10"/>
    <n v="7"/>
    <n v="8813"/>
    <n v="705.04"/>
    <n v="8107.96"/>
    <n v="6295"/>
    <n v="1812.96"/>
    <x v="13"/>
    <n v="4"/>
    <s v=" April "/>
    <x v="0"/>
    <n v="0.2236024844720497"/>
    <s v="Low"/>
    <s v="OK"/>
    <s v="Apr-2014"/>
    <s v="Profit"/>
    <s v="Low Sales"/>
    <b v="1"/>
  </r>
  <r>
    <x v="0"/>
    <x v="1"/>
    <x v="2"/>
    <x v="2"/>
    <n v="1095"/>
    <n v="10"/>
    <n v="7"/>
    <n v="7665"/>
    <n v="613.20000000000005"/>
    <n v="7051.8"/>
    <n v="5475"/>
    <n v="1576.8"/>
    <x v="14"/>
    <n v="5"/>
    <s v=" May "/>
    <x v="0"/>
    <n v="0.22360248447204967"/>
    <s v="Low"/>
    <s v="OK"/>
    <s v="May-2014"/>
    <s v="Profit"/>
    <s v="Low Sales"/>
    <b v="1"/>
  </r>
  <r>
    <x v="0"/>
    <x v="1"/>
    <x v="2"/>
    <x v="2"/>
    <n v="1366"/>
    <n v="10"/>
    <n v="20"/>
    <n v="27320"/>
    <n v="2185.6"/>
    <n v="25134.400000000001"/>
    <n v="13660"/>
    <n v="11474.4"/>
    <x v="1"/>
    <n v="6"/>
    <s v=" June "/>
    <x v="0"/>
    <n v="0.45652173913043476"/>
    <s v="Low"/>
    <s v="OK"/>
    <s v="Jun-2014"/>
    <s v="Profit"/>
    <s v="Low Sales"/>
    <b v="1"/>
  </r>
  <r>
    <x v="4"/>
    <x v="3"/>
    <x v="2"/>
    <x v="2"/>
    <n v="2460"/>
    <n v="10"/>
    <n v="300"/>
    <n v="738000"/>
    <n v="59040"/>
    <n v="678960"/>
    <n v="615000"/>
    <n v="63960"/>
    <x v="1"/>
    <n v="6"/>
    <s v=" June "/>
    <x v="0"/>
    <n v="9.420289855072464E-2"/>
    <s v="High"/>
    <s v="OK"/>
    <s v="Jun-2014"/>
    <s v="Profit"/>
    <s v="High Sales"/>
    <b v="1"/>
  </r>
  <r>
    <x v="0"/>
    <x v="4"/>
    <x v="2"/>
    <x v="2"/>
    <n v="678"/>
    <n v="10"/>
    <n v="7"/>
    <n v="4746"/>
    <n v="379.68"/>
    <n v="4366.32"/>
    <n v="3390"/>
    <n v="976.32"/>
    <x v="5"/>
    <n v="8"/>
    <s v=" August "/>
    <x v="0"/>
    <n v="0.22360248447204972"/>
    <s v="Low"/>
    <s v="OK"/>
    <s v="Aug-2014"/>
    <s v="Profit"/>
    <s v="Low Sales"/>
    <b v="1"/>
  </r>
  <r>
    <x v="0"/>
    <x v="1"/>
    <x v="2"/>
    <x v="2"/>
    <n v="1598"/>
    <n v="10"/>
    <n v="7"/>
    <n v="11186"/>
    <n v="894.88"/>
    <n v="10291.120000000001"/>
    <n v="7990"/>
    <n v="2301.12"/>
    <x v="5"/>
    <n v="8"/>
    <s v=" August "/>
    <x v="0"/>
    <n v="0.22360248447204967"/>
    <s v="Low"/>
    <s v="OK"/>
    <s v="Aug-2014"/>
    <s v="Profit"/>
    <s v="Low Sales"/>
    <b v="1"/>
  </r>
  <r>
    <x v="0"/>
    <x v="1"/>
    <x v="2"/>
    <x v="2"/>
    <n v="2409"/>
    <n v="10"/>
    <n v="7"/>
    <n v="16863"/>
    <n v="1349.04"/>
    <n v="15513.96"/>
    <n v="12045"/>
    <n v="3468.96"/>
    <x v="9"/>
    <n v="9"/>
    <s v=" September "/>
    <x v="1"/>
    <n v="0.2236024844720497"/>
    <s v="Low"/>
    <s v="OK"/>
    <s v="Sep-2013"/>
    <s v="Profit"/>
    <s v="Low Sales"/>
    <b v="1"/>
  </r>
  <r>
    <x v="0"/>
    <x v="1"/>
    <x v="2"/>
    <x v="2"/>
    <n v="1934"/>
    <n v="10"/>
    <n v="20"/>
    <n v="38680"/>
    <n v="3094.4"/>
    <n v="35585.599999999999"/>
    <n v="19340"/>
    <n v="16245.6"/>
    <x v="6"/>
    <n v="9"/>
    <s v=" September "/>
    <x v="0"/>
    <n v="0.45652173913043481"/>
    <s v="Low"/>
    <s v="OK"/>
    <s v="Sep-2014"/>
    <s v="Profit"/>
    <s v="Low Sales"/>
    <b v="1"/>
  </r>
  <r>
    <x v="0"/>
    <x v="3"/>
    <x v="2"/>
    <x v="2"/>
    <n v="2993"/>
    <n v="10"/>
    <n v="20"/>
    <n v="59860"/>
    <n v="4788.8"/>
    <n v="55071.199999999997"/>
    <n v="29930"/>
    <n v="25141.200000000001"/>
    <x v="6"/>
    <n v="9"/>
    <s v=" September "/>
    <x v="0"/>
    <n v="0.45652173913043481"/>
    <s v="Medium"/>
    <s v="OK"/>
    <s v="Sep-2014"/>
    <s v="Profit"/>
    <s v="High Sales"/>
    <b v="1"/>
  </r>
  <r>
    <x v="0"/>
    <x v="1"/>
    <x v="2"/>
    <x v="2"/>
    <n v="2146"/>
    <n v="10"/>
    <n v="350"/>
    <n v="751100"/>
    <n v="60088"/>
    <n v="691012"/>
    <n v="557960"/>
    <n v="133052"/>
    <x v="11"/>
    <n v="11"/>
    <s v=" November "/>
    <x v="1"/>
    <n v="0.19254658385093168"/>
    <s v="High"/>
    <s v="OK"/>
    <s v="Nov-2013"/>
    <s v="Profit"/>
    <s v="High Sales"/>
    <b v="1"/>
  </r>
  <r>
    <x v="0"/>
    <x v="3"/>
    <x v="2"/>
    <x v="2"/>
    <n v="1946"/>
    <n v="10"/>
    <n v="7"/>
    <n v="13622"/>
    <n v="1089.76"/>
    <n v="12532.24"/>
    <n v="9730"/>
    <n v="2802.24"/>
    <x v="12"/>
    <n v="12"/>
    <s v=" December "/>
    <x v="1"/>
    <n v="0.22360248447204967"/>
    <s v="Low"/>
    <s v="OK"/>
    <s v="Dec-2013"/>
    <s v="Profit"/>
    <s v="Low Sales"/>
    <b v="1"/>
  </r>
  <r>
    <x v="0"/>
    <x v="3"/>
    <x v="2"/>
    <x v="2"/>
    <n v="1362"/>
    <n v="10"/>
    <n v="350"/>
    <n v="476700"/>
    <n v="38136"/>
    <n v="438564"/>
    <n v="354120"/>
    <n v="84444"/>
    <x v="2"/>
    <n v="12"/>
    <s v=" December "/>
    <x v="0"/>
    <n v="0.19254658385093168"/>
    <s v="High"/>
    <s v="OK"/>
    <s v="Dec-2014"/>
    <s v="Profit"/>
    <s v="High Sales"/>
    <b v="1"/>
  </r>
  <r>
    <x v="2"/>
    <x v="0"/>
    <x v="3"/>
    <x v="2"/>
    <n v="598"/>
    <n v="120"/>
    <n v="12"/>
    <n v="7176"/>
    <n v="574.08000000000004"/>
    <n v="6601.92"/>
    <n v="1794"/>
    <n v="4807.92"/>
    <x v="3"/>
    <n v="3"/>
    <s v=" March "/>
    <x v="0"/>
    <n v="0.72826086956521741"/>
    <s v="Low"/>
    <s v="OK"/>
    <s v="Mar-2014"/>
    <s v="Profit"/>
    <s v="Low Sales"/>
    <b v="1"/>
  </r>
  <r>
    <x v="0"/>
    <x v="4"/>
    <x v="3"/>
    <x v="2"/>
    <n v="2907"/>
    <n v="120"/>
    <n v="7"/>
    <n v="20349"/>
    <n v="1627.92"/>
    <n v="18721.080000000002"/>
    <n v="14535"/>
    <n v="4186.08"/>
    <x v="1"/>
    <n v="6"/>
    <s v=" June "/>
    <x v="0"/>
    <n v="0.22360248447204967"/>
    <s v="Low"/>
    <s v="OK"/>
    <s v="Jun-2014"/>
    <s v="Profit"/>
    <s v="Low Sales"/>
    <b v="1"/>
  </r>
  <r>
    <x v="0"/>
    <x v="1"/>
    <x v="3"/>
    <x v="2"/>
    <n v="2338"/>
    <n v="120"/>
    <n v="7"/>
    <n v="16366"/>
    <n v="1309.28"/>
    <n v="15056.72"/>
    <n v="11690"/>
    <n v="3366.72"/>
    <x v="1"/>
    <n v="6"/>
    <s v=" June "/>
    <x v="0"/>
    <n v="0.2236024844720497"/>
    <s v="Low"/>
    <s v="OK"/>
    <s v="Jun-2014"/>
    <s v="Profit"/>
    <s v="Low Sales"/>
    <b v="1"/>
  </r>
  <r>
    <x v="4"/>
    <x v="2"/>
    <x v="3"/>
    <x v="2"/>
    <n v="386"/>
    <n v="120"/>
    <n v="300"/>
    <n v="115800"/>
    <n v="9264"/>
    <n v="106536"/>
    <n v="96500"/>
    <n v="10036"/>
    <x v="11"/>
    <n v="11"/>
    <s v=" November "/>
    <x v="1"/>
    <n v="9.420289855072464E-2"/>
    <s v="High"/>
    <s v="OK"/>
    <s v="Nov-2013"/>
    <s v="Profit"/>
    <s v="High Sales"/>
    <b v="1"/>
  </r>
  <r>
    <x v="4"/>
    <x v="3"/>
    <x v="3"/>
    <x v="2"/>
    <n v="635"/>
    <n v="120"/>
    <n v="300"/>
    <n v="190500"/>
    <n v="15240"/>
    <n v="175260"/>
    <n v="158750"/>
    <n v="16510"/>
    <x v="2"/>
    <n v="12"/>
    <s v=" December "/>
    <x v="0"/>
    <n v="9.420289855072464E-2"/>
    <s v="High"/>
    <s v="OK"/>
    <s v="Dec-2014"/>
    <s v="Profit"/>
    <s v="High Sales"/>
    <b v="1"/>
  </r>
  <r>
    <x v="0"/>
    <x v="2"/>
    <x v="4"/>
    <x v="2"/>
    <n v="574.5"/>
    <n v="250"/>
    <n v="350"/>
    <n v="201075"/>
    <n v="16086"/>
    <n v="184989"/>
    <n v="149370"/>
    <n v="35619"/>
    <x v="13"/>
    <n v="4"/>
    <s v=" April "/>
    <x v="0"/>
    <n v="0.19254658385093168"/>
    <s v="High"/>
    <s v="OK"/>
    <s v="Apr-2014"/>
    <s v="Profit"/>
    <s v="High Sales"/>
    <b v="1"/>
  </r>
  <r>
    <x v="0"/>
    <x v="1"/>
    <x v="4"/>
    <x v="2"/>
    <n v="2338"/>
    <n v="250"/>
    <n v="7"/>
    <n v="16366"/>
    <n v="1309.28"/>
    <n v="15056.72"/>
    <n v="11690"/>
    <n v="3366.72"/>
    <x v="1"/>
    <n v="6"/>
    <s v=" June "/>
    <x v="0"/>
    <n v="0.2236024844720497"/>
    <s v="Low"/>
    <s v="OK"/>
    <s v="Jun-2014"/>
    <s v="Profit"/>
    <s v="Low Sales"/>
    <b v="1"/>
  </r>
  <r>
    <x v="0"/>
    <x v="2"/>
    <x v="4"/>
    <x v="2"/>
    <n v="381"/>
    <n v="250"/>
    <n v="350"/>
    <n v="133350"/>
    <n v="10668"/>
    <n v="122682"/>
    <n v="99060"/>
    <n v="23622"/>
    <x v="5"/>
    <n v="8"/>
    <s v=" August "/>
    <x v="0"/>
    <n v="0.19254658385093168"/>
    <s v="High"/>
    <s v="OK"/>
    <s v="Aug-2014"/>
    <s v="Profit"/>
    <s v="High Sales"/>
    <b v="1"/>
  </r>
  <r>
    <x v="0"/>
    <x v="1"/>
    <x v="4"/>
    <x v="2"/>
    <n v="422"/>
    <n v="250"/>
    <n v="350"/>
    <n v="147700"/>
    <n v="11816"/>
    <n v="135884"/>
    <n v="109720"/>
    <n v="26164"/>
    <x v="5"/>
    <n v="8"/>
    <s v=" August "/>
    <x v="0"/>
    <n v="0.19254658385093168"/>
    <s v="High"/>
    <s v="OK"/>
    <s v="Aug-2014"/>
    <s v="Profit"/>
    <s v="High Sales"/>
    <b v="1"/>
  </r>
  <r>
    <x v="4"/>
    <x v="0"/>
    <x v="4"/>
    <x v="2"/>
    <n v="2134"/>
    <n v="250"/>
    <n v="300"/>
    <n v="640200"/>
    <n v="51216"/>
    <n v="588984"/>
    <n v="533500"/>
    <n v="55484"/>
    <x v="6"/>
    <n v="9"/>
    <s v=" September "/>
    <x v="0"/>
    <n v="9.420289855072464E-2"/>
    <s v="High"/>
    <s v="OK"/>
    <s v="Sep-2014"/>
    <s v="Profit"/>
    <s v="High Sales"/>
    <b v="1"/>
  </r>
  <r>
    <x v="4"/>
    <x v="4"/>
    <x v="4"/>
    <x v="2"/>
    <n v="808"/>
    <n v="250"/>
    <n v="300"/>
    <n v="242400"/>
    <n v="19392"/>
    <n v="223008"/>
    <n v="202000"/>
    <n v="21008"/>
    <x v="12"/>
    <n v="12"/>
    <s v=" December "/>
    <x v="1"/>
    <n v="9.420289855072464E-2"/>
    <s v="High"/>
    <s v="OK"/>
    <s v="Dec-2013"/>
    <s v="Profit"/>
    <s v="High Sales"/>
    <b v="1"/>
  </r>
  <r>
    <x v="0"/>
    <x v="0"/>
    <x v="5"/>
    <x v="2"/>
    <n v="708"/>
    <n v="260"/>
    <n v="20"/>
    <n v="14160"/>
    <n v="1132.8"/>
    <n v="13027.2"/>
    <n v="7080"/>
    <n v="5947.2"/>
    <x v="1"/>
    <n v="6"/>
    <s v=" June "/>
    <x v="0"/>
    <n v="0.45652173913043476"/>
    <s v="Low"/>
    <s v="OK"/>
    <s v="Jun-2014"/>
    <s v="Profit"/>
    <s v="Low Sales"/>
    <b v="1"/>
  </r>
  <r>
    <x v="0"/>
    <x v="4"/>
    <x v="5"/>
    <x v="2"/>
    <n v="2907"/>
    <n v="260"/>
    <n v="7"/>
    <n v="20349"/>
    <n v="1627.92"/>
    <n v="18721.080000000002"/>
    <n v="14535"/>
    <n v="4186.08"/>
    <x v="1"/>
    <n v="6"/>
    <s v=" June "/>
    <x v="0"/>
    <n v="0.22360248447204967"/>
    <s v="Low"/>
    <s v="OK"/>
    <s v="Jun-2014"/>
    <s v="Profit"/>
    <s v="Low Sales"/>
    <b v="1"/>
  </r>
  <r>
    <x v="0"/>
    <x v="1"/>
    <x v="5"/>
    <x v="2"/>
    <n v="1366"/>
    <n v="260"/>
    <n v="20"/>
    <n v="27320"/>
    <n v="2185.6"/>
    <n v="25134.400000000001"/>
    <n v="13660"/>
    <n v="11474.4"/>
    <x v="1"/>
    <n v="6"/>
    <s v=" June "/>
    <x v="0"/>
    <n v="0.45652173913043476"/>
    <s v="Low"/>
    <s v="OK"/>
    <s v="Jun-2014"/>
    <s v="Profit"/>
    <s v="Low Sales"/>
    <b v="1"/>
  </r>
  <r>
    <x v="4"/>
    <x v="3"/>
    <x v="5"/>
    <x v="2"/>
    <n v="2460"/>
    <n v="260"/>
    <n v="300"/>
    <n v="738000"/>
    <n v="59040"/>
    <n v="678960"/>
    <n v="615000"/>
    <n v="63960"/>
    <x v="1"/>
    <n v="6"/>
    <s v=" June "/>
    <x v="0"/>
    <n v="9.420289855072464E-2"/>
    <s v="High"/>
    <s v="OK"/>
    <s v="Jun-2014"/>
    <s v="Profit"/>
    <s v="High Sales"/>
    <b v="1"/>
  </r>
  <r>
    <x v="0"/>
    <x v="1"/>
    <x v="5"/>
    <x v="2"/>
    <n v="1520"/>
    <n v="260"/>
    <n v="20"/>
    <n v="30400"/>
    <n v="2432"/>
    <n v="27968"/>
    <n v="15200"/>
    <n v="12768"/>
    <x v="15"/>
    <n v="11"/>
    <s v=" November "/>
    <x v="0"/>
    <n v="0.45652173913043476"/>
    <s v="Low"/>
    <s v="OK"/>
    <s v="Nov-2014"/>
    <s v="Profit"/>
    <s v="Low Sales"/>
    <b v="1"/>
  </r>
  <r>
    <x v="1"/>
    <x v="1"/>
    <x v="5"/>
    <x v="2"/>
    <n v="711"/>
    <n v="260"/>
    <n v="15"/>
    <n v="10665"/>
    <n v="853.2"/>
    <n v="9811.7999999999993"/>
    <n v="7110"/>
    <n v="2701.8"/>
    <x v="2"/>
    <n v="12"/>
    <s v=" December "/>
    <x v="0"/>
    <n v="0.27536231884057977"/>
    <s v="Low"/>
    <s v="OK"/>
    <s v="Dec-2014"/>
    <s v="Profit"/>
    <s v="Low Sales"/>
    <b v="1"/>
  </r>
  <r>
    <x v="2"/>
    <x v="3"/>
    <x v="5"/>
    <x v="2"/>
    <n v="1375"/>
    <n v="260"/>
    <n v="12"/>
    <n v="16500"/>
    <n v="1320"/>
    <n v="15180"/>
    <n v="4125"/>
    <n v="11055"/>
    <x v="12"/>
    <n v="12"/>
    <s v=" December "/>
    <x v="1"/>
    <n v="0.72826086956521741"/>
    <s v="Low"/>
    <s v="OK"/>
    <s v="Dec-2013"/>
    <s v="Profit"/>
    <s v="Low Sales"/>
    <b v="1"/>
  </r>
  <r>
    <x v="4"/>
    <x v="3"/>
    <x v="5"/>
    <x v="2"/>
    <n v="635"/>
    <n v="260"/>
    <n v="300"/>
    <n v="190500"/>
    <n v="15240"/>
    <n v="175260"/>
    <n v="158750"/>
    <n v="16510"/>
    <x v="2"/>
    <n v="12"/>
    <s v=" December "/>
    <x v="0"/>
    <n v="9.420289855072464E-2"/>
    <s v="High"/>
    <s v="OK"/>
    <s v="Dec-2014"/>
    <s v="Profit"/>
    <s v="High Sales"/>
    <b v="1"/>
  </r>
  <r>
    <x v="0"/>
    <x v="4"/>
    <x v="4"/>
    <x v="2"/>
    <n v="436.5"/>
    <n v="250"/>
    <n v="20"/>
    <n v="8730"/>
    <n v="698.4"/>
    <n v="8031.6"/>
    <n v="4365"/>
    <n v="3666.6"/>
    <x v="4"/>
    <n v="7"/>
    <s v=" July "/>
    <x v="0"/>
    <n v="0.45652173913043476"/>
    <s v="Low"/>
    <s v="OK"/>
    <s v="Jul-2014"/>
    <s v="Profit"/>
    <s v="Low Sales"/>
    <b v="1"/>
  </r>
  <r>
    <x v="4"/>
    <x v="0"/>
    <x v="0"/>
    <x v="2"/>
    <n v="1094"/>
    <n v="3"/>
    <n v="300"/>
    <n v="328200"/>
    <n v="29538"/>
    <n v="298662"/>
    <n v="273500"/>
    <n v="25162"/>
    <x v="1"/>
    <n v="6"/>
    <s v=" June "/>
    <x v="0"/>
    <n v="8.4249084249084255E-2"/>
    <s v="High"/>
    <s v="OK"/>
    <s v="Jun-2014"/>
    <s v="Profit"/>
    <s v="High Sales"/>
    <b v="1"/>
  </r>
  <r>
    <x v="2"/>
    <x v="3"/>
    <x v="0"/>
    <x v="2"/>
    <n v="367"/>
    <n v="3"/>
    <n v="12"/>
    <n v="4404"/>
    <n v="396.36"/>
    <n v="4007.64"/>
    <n v="1101"/>
    <n v="2906.64"/>
    <x v="7"/>
    <n v="10"/>
    <s v=" October "/>
    <x v="1"/>
    <n v="0.72527472527472525"/>
    <s v="Low"/>
    <s v="OK"/>
    <s v="Oct-2013"/>
    <s v="Profit"/>
    <s v="Low Sales"/>
    <b v="1"/>
  </r>
  <r>
    <x v="4"/>
    <x v="0"/>
    <x v="1"/>
    <x v="2"/>
    <n v="3802.5"/>
    <n v="5"/>
    <n v="300"/>
    <n v="1140750"/>
    <n v="102667.5"/>
    <n v="1038082.5"/>
    <n v="950625"/>
    <n v="87457.5"/>
    <x v="13"/>
    <n v="4"/>
    <s v=" April "/>
    <x v="0"/>
    <n v="8.4249084249084255E-2"/>
    <s v="High"/>
    <s v="OK"/>
    <s v="Apr-2014"/>
    <s v="Profit"/>
    <s v="High Sales"/>
    <b v="1"/>
  </r>
  <r>
    <x v="0"/>
    <x v="2"/>
    <x v="1"/>
    <x v="2"/>
    <n v="1666"/>
    <n v="5"/>
    <n v="350"/>
    <n v="583100"/>
    <n v="52479"/>
    <n v="530621"/>
    <n v="433160"/>
    <n v="97461"/>
    <x v="14"/>
    <n v="5"/>
    <s v=" May "/>
    <x v="0"/>
    <n v="0.18367346938775511"/>
    <s v="High"/>
    <s v="OK"/>
    <s v="May-2014"/>
    <s v="Profit"/>
    <s v="High Sales"/>
    <b v="1"/>
  </r>
  <r>
    <x v="4"/>
    <x v="2"/>
    <x v="1"/>
    <x v="2"/>
    <n v="322"/>
    <n v="5"/>
    <n v="300"/>
    <n v="96600"/>
    <n v="8694"/>
    <n v="87906"/>
    <n v="80500"/>
    <n v="7406"/>
    <x v="9"/>
    <n v="9"/>
    <s v=" September "/>
    <x v="1"/>
    <n v="8.4249084249084255E-2"/>
    <s v="Medium"/>
    <s v="OK"/>
    <s v="Sep-2013"/>
    <s v="Profit"/>
    <s v="High Sales"/>
    <b v="1"/>
  </r>
  <r>
    <x v="2"/>
    <x v="0"/>
    <x v="1"/>
    <x v="2"/>
    <n v="2321"/>
    <n v="5"/>
    <n v="12"/>
    <n v="27852"/>
    <n v="2506.6799999999998"/>
    <n v="25345.32"/>
    <n v="6963"/>
    <n v="18382.32"/>
    <x v="15"/>
    <n v="11"/>
    <s v=" November "/>
    <x v="0"/>
    <n v="0.72527472527472525"/>
    <s v="Low"/>
    <s v="OK"/>
    <s v="Nov-2014"/>
    <s v="Profit"/>
    <s v="Low Sales"/>
    <b v="1"/>
  </r>
  <r>
    <x v="3"/>
    <x v="2"/>
    <x v="1"/>
    <x v="2"/>
    <n v="1857"/>
    <n v="5"/>
    <n v="125"/>
    <n v="232125"/>
    <n v="20891.25"/>
    <n v="211233.75"/>
    <n v="222840"/>
    <n v="-11606.25"/>
    <x v="11"/>
    <n v="11"/>
    <s v=" November "/>
    <x v="1"/>
    <n v="-5.4945054945054944E-2"/>
    <s v="High"/>
    <s v="OK"/>
    <s v="Nov-2013"/>
    <s v="Loss"/>
    <s v="High Sales"/>
    <b v="1"/>
  </r>
  <r>
    <x v="0"/>
    <x v="0"/>
    <x v="1"/>
    <x v="2"/>
    <n v="1611"/>
    <n v="5"/>
    <n v="7"/>
    <n v="11277"/>
    <n v="1014.93"/>
    <n v="10262.07"/>
    <n v="8055"/>
    <n v="2207.0700000000002"/>
    <x v="12"/>
    <n v="12"/>
    <s v=" December "/>
    <x v="1"/>
    <n v="0.21507064364207223"/>
    <s v="Low"/>
    <s v="OK"/>
    <s v="Dec-2013"/>
    <s v="Profit"/>
    <s v="Low Sales"/>
    <b v="1"/>
  </r>
  <r>
    <x v="3"/>
    <x v="4"/>
    <x v="1"/>
    <x v="2"/>
    <n v="2797"/>
    <n v="5"/>
    <n v="125"/>
    <n v="349625"/>
    <n v="31466.25"/>
    <n v="318158.75"/>
    <n v="335640"/>
    <n v="-17481.25"/>
    <x v="2"/>
    <n v="12"/>
    <s v=" December "/>
    <x v="0"/>
    <n v="-5.4945054945054944E-2"/>
    <s v="High"/>
    <s v="OK"/>
    <s v="Dec-2014"/>
    <s v="Loss"/>
    <s v="High Sales"/>
    <b v="1"/>
  </r>
  <r>
    <x v="4"/>
    <x v="1"/>
    <x v="1"/>
    <x v="2"/>
    <n v="334"/>
    <n v="5"/>
    <n v="300"/>
    <n v="100200"/>
    <n v="9018"/>
    <n v="91182"/>
    <n v="83500"/>
    <n v="7682"/>
    <x v="12"/>
    <n v="12"/>
    <s v=" December "/>
    <x v="1"/>
    <n v="8.4249084249084255E-2"/>
    <s v="Medium"/>
    <s v="OK"/>
    <s v="Dec-2013"/>
    <s v="Profit"/>
    <s v="High Sales"/>
    <b v="1"/>
  </r>
  <r>
    <x v="4"/>
    <x v="3"/>
    <x v="2"/>
    <x v="2"/>
    <n v="2565"/>
    <n v="10"/>
    <n v="300"/>
    <n v="769500"/>
    <n v="69255"/>
    <n v="700245"/>
    <n v="641250"/>
    <n v="58995"/>
    <x v="0"/>
    <n v="1"/>
    <s v=" January "/>
    <x v="0"/>
    <n v="8.4249084249084255E-2"/>
    <s v="High"/>
    <s v="OK"/>
    <s v="Jan-2014"/>
    <s v="Profit"/>
    <s v="High Sales"/>
    <b v="1"/>
  </r>
  <r>
    <x v="0"/>
    <x v="3"/>
    <x v="2"/>
    <x v="2"/>
    <n v="2417"/>
    <n v="10"/>
    <n v="350"/>
    <n v="845950"/>
    <n v="76135.5"/>
    <n v="769814.5"/>
    <n v="628420"/>
    <n v="141394.5"/>
    <x v="0"/>
    <n v="1"/>
    <s v=" January "/>
    <x v="0"/>
    <n v="0.18367346938775511"/>
    <s v="High"/>
    <s v="OK"/>
    <s v="Jan-2014"/>
    <s v="Profit"/>
    <s v="High Sales"/>
    <b v="1"/>
  </r>
  <r>
    <x v="1"/>
    <x v="4"/>
    <x v="2"/>
    <x v="2"/>
    <n v="3675"/>
    <n v="10"/>
    <n v="15"/>
    <n v="55125"/>
    <n v="4961.25"/>
    <n v="50163.75"/>
    <n v="36750"/>
    <n v="13413.75"/>
    <x v="13"/>
    <n v="4"/>
    <s v=" April "/>
    <x v="0"/>
    <n v="0.26739926739926739"/>
    <s v="Medium"/>
    <s v="OK"/>
    <s v="Apr-2014"/>
    <s v="Profit"/>
    <s v="High Sales"/>
    <b v="1"/>
  </r>
  <r>
    <x v="4"/>
    <x v="0"/>
    <x v="2"/>
    <x v="2"/>
    <n v="1094"/>
    <n v="10"/>
    <n v="300"/>
    <n v="328200"/>
    <n v="29538"/>
    <n v="298662"/>
    <n v="273500"/>
    <n v="25162"/>
    <x v="1"/>
    <n v="6"/>
    <s v=" June "/>
    <x v="0"/>
    <n v="8.4249084249084255E-2"/>
    <s v="High"/>
    <s v="OK"/>
    <s v="Jun-2014"/>
    <s v="Profit"/>
    <s v="High Sales"/>
    <b v="1"/>
  </r>
  <r>
    <x v="1"/>
    <x v="2"/>
    <x v="2"/>
    <x v="2"/>
    <n v="1227"/>
    <n v="10"/>
    <n v="15"/>
    <n v="18405"/>
    <n v="1656.45"/>
    <n v="16748.55"/>
    <n v="12270"/>
    <n v="4478.55"/>
    <x v="10"/>
    <n v="10"/>
    <s v=" October "/>
    <x v="0"/>
    <n v="0.26739926739926745"/>
    <s v="Low"/>
    <s v="OK"/>
    <s v="Oct-2014"/>
    <s v="Profit"/>
    <s v="Low Sales"/>
    <b v="1"/>
  </r>
  <r>
    <x v="2"/>
    <x v="3"/>
    <x v="2"/>
    <x v="2"/>
    <n v="367"/>
    <n v="10"/>
    <n v="12"/>
    <n v="4404"/>
    <n v="396.36"/>
    <n v="4007.64"/>
    <n v="1101"/>
    <n v="2906.64"/>
    <x v="7"/>
    <n v="10"/>
    <s v=" October "/>
    <x v="1"/>
    <n v="0.72527472527472525"/>
    <s v="Low"/>
    <s v="OK"/>
    <s v="Oct-2013"/>
    <s v="Profit"/>
    <s v="Low Sales"/>
    <b v="1"/>
  </r>
  <r>
    <x v="4"/>
    <x v="2"/>
    <x v="2"/>
    <x v="2"/>
    <n v="1324"/>
    <n v="10"/>
    <n v="300"/>
    <n v="397200"/>
    <n v="35748"/>
    <n v="361452"/>
    <n v="331000"/>
    <n v="30452"/>
    <x v="15"/>
    <n v="11"/>
    <s v=" November "/>
    <x v="0"/>
    <n v="8.4249084249084255E-2"/>
    <s v="High"/>
    <s v="OK"/>
    <s v="Nov-2014"/>
    <s v="Profit"/>
    <s v="High Sales"/>
    <b v="1"/>
  </r>
  <r>
    <x v="2"/>
    <x v="1"/>
    <x v="2"/>
    <x v="2"/>
    <n v="1775"/>
    <n v="10"/>
    <n v="12"/>
    <n v="21300"/>
    <n v="1917"/>
    <n v="19383"/>
    <n v="5325"/>
    <n v="14058"/>
    <x v="11"/>
    <n v="11"/>
    <s v=" November "/>
    <x v="1"/>
    <n v="0.72527472527472525"/>
    <s v="Low"/>
    <s v="OK"/>
    <s v="Nov-2013"/>
    <s v="Profit"/>
    <s v="Low Sales"/>
    <b v="1"/>
  </r>
  <r>
    <x v="3"/>
    <x v="4"/>
    <x v="2"/>
    <x v="2"/>
    <n v="2797"/>
    <n v="10"/>
    <n v="125"/>
    <n v="349625"/>
    <n v="31466.25"/>
    <n v="318158.75"/>
    <n v="335640"/>
    <n v="-17481.25"/>
    <x v="2"/>
    <n v="12"/>
    <s v=" December "/>
    <x v="0"/>
    <n v="-5.4945054945054944E-2"/>
    <s v="High"/>
    <s v="OK"/>
    <s v="Dec-2014"/>
    <s v="Loss"/>
    <s v="High Sales"/>
    <b v="1"/>
  </r>
  <r>
    <x v="1"/>
    <x v="3"/>
    <x v="3"/>
    <x v="2"/>
    <n v="245"/>
    <n v="120"/>
    <n v="15"/>
    <n v="3675"/>
    <n v="330.75"/>
    <n v="3344.25"/>
    <n v="2450"/>
    <n v="894.25"/>
    <x v="14"/>
    <n v="5"/>
    <s v=" May "/>
    <x v="0"/>
    <n v="0.26739926739926739"/>
    <s v="Low"/>
    <s v="OK"/>
    <s v="May-2014"/>
    <s v="Profit"/>
    <s v="Low Sales"/>
    <b v="1"/>
  </r>
  <r>
    <x v="4"/>
    <x v="0"/>
    <x v="3"/>
    <x v="2"/>
    <n v="3793.5"/>
    <n v="120"/>
    <n v="300"/>
    <n v="1138050"/>
    <n v="102424.5"/>
    <n v="1035625.5"/>
    <n v="948375"/>
    <n v="87250.5"/>
    <x v="4"/>
    <n v="7"/>
    <s v=" July "/>
    <x v="0"/>
    <n v="8.4249084249084255E-2"/>
    <s v="High"/>
    <s v="OK"/>
    <s v="Jul-2014"/>
    <s v="Profit"/>
    <s v="High Sales"/>
    <b v="1"/>
  </r>
  <r>
    <x v="0"/>
    <x v="1"/>
    <x v="3"/>
    <x v="2"/>
    <n v="1307"/>
    <n v="120"/>
    <n v="350"/>
    <n v="457450"/>
    <n v="41170.5"/>
    <n v="416279.5"/>
    <n v="339820"/>
    <n v="76459.5"/>
    <x v="4"/>
    <n v="7"/>
    <s v=" July "/>
    <x v="0"/>
    <n v="0.18367346938775511"/>
    <s v="High"/>
    <s v="OK"/>
    <s v="Jul-2014"/>
    <s v="Profit"/>
    <s v="High Sales"/>
    <b v="1"/>
  </r>
  <r>
    <x v="3"/>
    <x v="0"/>
    <x v="3"/>
    <x v="2"/>
    <n v="567"/>
    <n v="120"/>
    <n v="125"/>
    <n v="70875"/>
    <n v="6378.75"/>
    <n v="64496.25"/>
    <n v="68040"/>
    <n v="-3543.75"/>
    <x v="6"/>
    <n v="9"/>
    <s v=" September "/>
    <x v="0"/>
    <n v="-5.4945054945054944E-2"/>
    <s v="Medium"/>
    <s v="OK"/>
    <s v="Sep-2014"/>
    <s v="Loss"/>
    <s v="High Sales"/>
    <b v="1"/>
  </r>
  <r>
    <x v="3"/>
    <x v="3"/>
    <x v="3"/>
    <x v="2"/>
    <n v="2110"/>
    <n v="120"/>
    <n v="125"/>
    <n v="263750"/>
    <n v="23737.5"/>
    <n v="240012.5"/>
    <n v="253200"/>
    <n v="-13187.5"/>
    <x v="6"/>
    <n v="9"/>
    <s v=" September "/>
    <x v="0"/>
    <n v="-5.4945054945054944E-2"/>
    <s v="High"/>
    <s v="OK"/>
    <s v="Sep-2014"/>
    <s v="Loss"/>
    <s v="High Sales"/>
    <b v="1"/>
  </r>
  <r>
    <x v="0"/>
    <x v="0"/>
    <x v="3"/>
    <x v="2"/>
    <n v="1269"/>
    <n v="120"/>
    <n v="350"/>
    <n v="444150"/>
    <n v="39973.5"/>
    <n v="404176.5"/>
    <n v="329940"/>
    <n v="74236.5"/>
    <x v="10"/>
    <n v="10"/>
    <s v=" October "/>
    <x v="0"/>
    <n v="0.18367346938775511"/>
    <s v="High"/>
    <s v="OK"/>
    <s v="Oct-2014"/>
    <s v="Profit"/>
    <s v="High Sales"/>
    <b v="1"/>
  </r>
  <r>
    <x v="2"/>
    <x v="4"/>
    <x v="4"/>
    <x v="2"/>
    <n v="1956"/>
    <n v="250"/>
    <n v="12"/>
    <n v="23472"/>
    <n v="2112.48"/>
    <n v="21359.52"/>
    <n v="5868"/>
    <n v="15491.52"/>
    <x v="0"/>
    <n v="1"/>
    <s v=" January "/>
    <x v="0"/>
    <n v="0.72527472527472525"/>
    <s v="Low"/>
    <s v="OK"/>
    <s v="Jan-2014"/>
    <s v="Profit"/>
    <s v="Low Sales"/>
    <b v="1"/>
  </r>
  <r>
    <x v="4"/>
    <x v="1"/>
    <x v="4"/>
    <x v="2"/>
    <n v="2659"/>
    <n v="250"/>
    <n v="300"/>
    <n v="797700"/>
    <n v="71793"/>
    <n v="725907"/>
    <n v="664750"/>
    <n v="61157"/>
    <x v="8"/>
    <n v="2"/>
    <s v=" February "/>
    <x v="0"/>
    <n v="8.4249084249084255E-2"/>
    <s v="High"/>
    <s v="OK"/>
    <s v="Feb-2014"/>
    <s v="Profit"/>
    <s v="High Sales"/>
    <b v="1"/>
  </r>
  <r>
    <x v="0"/>
    <x v="4"/>
    <x v="4"/>
    <x v="2"/>
    <n v="1351.5"/>
    <n v="250"/>
    <n v="350"/>
    <n v="473025"/>
    <n v="42572.25"/>
    <n v="430452.75"/>
    <n v="351390"/>
    <n v="79062.75"/>
    <x v="13"/>
    <n v="4"/>
    <s v=" April "/>
    <x v="0"/>
    <n v="0.18367346938775511"/>
    <s v="High"/>
    <s v="OK"/>
    <s v="Apr-2014"/>
    <s v="Profit"/>
    <s v="High Sales"/>
    <b v="1"/>
  </r>
  <r>
    <x v="2"/>
    <x v="1"/>
    <x v="4"/>
    <x v="2"/>
    <n v="880"/>
    <n v="250"/>
    <n v="12"/>
    <n v="10560"/>
    <n v="950.4"/>
    <n v="9609.6"/>
    <n v="2640"/>
    <n v="6969.6"/>
    <x v="14"/>
    <n v="5"/>
    <s v=" May "/>
    <x v="0"/>
    <n v="0.72527472527472525"/>
    <s v="Low"/>
    <s v="OK"/>
    <s v="May-2014"/>
    <s v="Profit"/>
    <s v="Low Sales"/>
    <b v="1"/>
  </r>
  <r>
    <x v="4"/>
    <x v="4"/>
    <x v="4"/>
    <x v="2"/>
    <n v="1867"/>
    <n v="250"/>
    <n v="300"/>
    <n v="560100"/>
    <n v="50409"/>
    <n v="509691"/>
    <n v="466750"/>
    <n v="42941"/>
    <x v="6"/>
    <n v="9"/>
    <s v=" September "/>
    <x v="0"/>
    <n v="8.4249084249084255E-2"/>
    <s v="High"/>
    <s v="OK"/>
    <s v="Sep-2014"/>
    <s v="Profit"/>
    <s v="High Sales"/>
    <b v="1"/>
  </r>
  <r>
    <x v="2"/>
    <x v="2"/>
    <x v="4"/>
    <x v="2"/>
    <n v="2234"/>
    <n v="250"/>
    <n v="12"/>
    <n v="26808"/>
    <n v="2412.7199999999998"/>
    <n v="24395.279999999999"/>
    <n v="6702"/>
    <n v="17693.28"/>
    <x v="9"/>
    <n v="9"/>
    <s v=" September "/>
    <x v="1"/>
    <n v="0.72527472527472525"/>
    <s v="Low"/>
    <s v="OK"/>
    <s v="Sep-2013"/>
    <s v="Profit"/>
    <s v="Low Sales"/>
    <b v="1"/>
  </r>
  <r>
    <x v="1"/>
    <x v="2"/>
    <x v="4"/>
    <x v="2"/>
    <n v="1227"/>
    <n v="250"/>
    <n v="15"/>
    <n v="18405"/>
    <n v="1656.45"/>
    <n v="16748.55"/>
    <n v="12270"/>
    <n v="4478.55"/>
    <x v="10"/>
    <n v="10"/>
    <s v=" October "/>
    <x v="0"/>
    <n v="0.26739926739926745"/>
    <s v="Low"/>
    <s v="OK"/>
    <s v="Oct-2014"/>
    <s v="Profit"/>
    <s v="Low Sales"/>
    <b v="1"/>
  </r>
  <r>
    <x v="3"/>
    <x v="3"/>
    <x v="4"/>
    <x v="2"/>
    <n v="877"/>
    <n v="250"/>
    <n v="125"/>
    <n v="109625"/>
    <n v="9866.25"/>
    <n v="99758.75"/>
    <n v="105240"/>
    <n v="-5481.25"/>
    <x v="15"/>
    <n v="11"/>
    <s v=" November "/>
    <x v="0"/>
    <n v="-5.4945054945054944E-2"/>
    <s v="Medium"/>
    <s v="OK"/>
    <s v="Nov-2014"/>
    <s v="Loss"/>
    <s v="High Sales"/>
    <b v="1"/>
  </r>
  <r>
    <x v="0"/>
    <x v="4"/>
    <x v="5"/>
    <x v="2"/>
    <n v="2071"/>
    <n v="260"/>
    <n v="350"/>
    <n v="724850"/>
    <n v="65236.5"/>
    <n v="659613.5"/>
    <n v="538460"/>
    <n v="121153.5"/>
    <x v="6"/>
    <n v="9"/>
    <s v=" September "/>
    <x v="0"/>
    <n v="0.18367346938775511"/>
    <s v="High"/>
    <s v="OK"/>
    <s v="Sep-2014"/>
    <s v="Profit"/>
    <s v="High Sales"/>
    <b v="1"/>
  </r>
  <r>
    <x v="0"/>
    <x v="0"/>
    <x v="5"/>
    <x v="2"/>
    <n v="1269"/>
    <n v="260"/>
    <n v="350"/>
    <n v="444150"/>
    <n v="39973.5"/>
    <n v="404176.5"/>
    <n v="329940"/>
    <n v="74236.5"/>
    <x v="10"/>
    <n v="10"/>
    <s v=" October "/>
    <x v="0"/>
    <n v="0.18367346938775511"/>
    <s v="High"/>
    <s v="OK"/>
    <s v="Oct-2014"/>
    <s v="Profit"/>
    <s v="High Sales"/>
    <b v="1"/>
  </r>
  <r>
    <x v="1"/>
    <x v="1"/>
    <x v="5"/>
    <x v="2"/>
    <n v="970"/>
    <n v="260"/>
    <n v="15"/>
    <n v="14550"/>
    <n v="1309.5"/>
    <n v="13240.5"/>
    <n v="9700"/>
    <n v="3540.5"/>
    <x v="11"/>
    <n v="11"/>
    <s v=" November "/>
    <x v="1"/>
    <n v="0.26739926739926739"/>
    <s v="Low"/>
    <s v="OK"/>
    <s v="Nov-2013"/>
    <s v="Profit"/>
    <s v="Low Sales"/>
    <b v="1"/>
  </r>
  <r>
    <x v="0"/>
    <x v="3"/>
    <x v="5"/>
    <x v="2"/>
    <n v="1694"/>
    <n v="260"/>
    <n v="20"/>
    <n v="33880"/>
    <n v="3049.2"/>
    <n v="30830.799999999999"/>
    <n v="16940"/>
    <n v="13890.8"/>
    <x v="15"/>
    <n v="11"/>
    <s v=" November "/>
    <x v="0"/>
    <n v="0.45054945054945056"/>
    <s v="Low"/>
    <s v="OK"/>
    <s v="Nov-2014"/>
    <s v="Profit"/>
    <s v="Low Sales"/>
    <b v="1"/>
  </r>
  <r>
    <x v="0"/>
    <x v="1"/>
    <x v="0"/>
    <x v="2"/>
    <n v="663"/>
    <n v="3"/>
    <n v="20"/>
    <n v="13260"/>
    <n v="1193.4000000000001"/>
    <n v="12066.6"/>
    <n v="6630"/>
    <n v="5436.6"/>
    <x v="14"/>
    <n v="5"/>
    <s v=" May "/>
    <x v="0"/>
    <n v="0.45054945054945056"/>
    <s v="Low"/>
    <s v="OK"/>
    <s v="May-2014"/>
    <s v="Profit"/>
    <s v="Low Sales"/>
    <b v="1"/>
  </r>
  <r>
    <x v="0"/>
    <x v="0"/>
    <x v="0"/>
    <x v="2"/>
    <n v="819"/>
    <n v="3"/>
    <n v="7"/>
    <n v="5733"/>
    <n v="515.97"/>
    <n v="5217.03"/>
    <n v="4095"/>
    <n v="1122.03"/>
    <x v="4"/>
    <n v="7"/>
    <s v=" July "/>
    <x v="0"/>
    <n v="0.21507064364207221"/>
    <s v="Low"/>
    <s v="OK"/>
    <s v="Jul-2014"/>
    <s v="Profit"/>
    <s v="Low Sales"/>
    <b v="1"/>
  </r>
  <r>
    <x v="2"/>
    <x v="1"/>
    <x v="0"/>
    <x v="2"/>
    <n v="1580"/>
    <n v="3"/>
    <n v="12"/>
    <n v="18960"/>
    <n v="1706.4"/>
    <n v="17253.599999999999"/>
    <n v="4740"/>
    <n v="12513.6"/>
    <x v="6"/>
    <n v="9"/>
    <s v=" September "/>
    <x v="0"/>
    <n v="0.72527472527472536"/>
    <s v="Low"/>
    <s v="OK"/>
    <s v="Sep-2014"/>
    <s v="Profit"/>
    <s v="Low Sales"/>
    <b v="1"/>
  </r>
  <r>
    <x v="0"/>
    <x v="3"/>
    <x v="0"/>
    <x v="2"/>
    <n v="521"/>
    <n v="3"/>
    <n v="7"/>
    <n v="3647"/>
    <n v="328.23"/>
    <n v="3318.77"/>
    <n v="2605"/>
    <n v="713.77"/>
    <x v="2"/>
    <n v="12"/>
    <s v=" December "/>
    <x v="0"/>
    <n v="0.21507064364207221"/>
    <s v="Low"/>
    <s v="OK"/>
    <s v="Dec-2014"/>
    <s v="Profit"/>
    <s v="Low Sales"/>
    <b v="1"/>
  </r>
  <r>
    <x v="0"/>
    <x v="4"/>
    <x v="2"/>
    <x v="2"/>
    <n v="973"/>
    <n v="10"/>
    <n v="20"/>
    <n v="19460"/>
    <n v="1751.4"/>
    <n v="17708.599999999999"/>
    <n v="9730"/>
    <n v="7978.6"/>
    <x v="3"/>
    <n v="3"/>
    <s v=" March "/>
    <x v="0"/>
    <n v="0.45054945054945061"/>
    <s v="Low"/>
    <s v="OK"/>
    <s v="Mar-2014"/>
    <s v="Profit"/>
    <s v="Low Sales"/>
    <b v="1"/>
  </r>
  <r>
    <x v="0"/>
    <x v="3"/>
    <x v="2"/>
    <x v="2"/>
    <n v="1038"/>
    <n v="10"/>
    <n v="20"/>
    <n v="20760"/>
    <n v="1868.4"/>
    <n v="18891.599999999999"/>
    <n v="10380"/>
    <n v="8511.6"/>
    <x v="1"/>
    <n v="6"/>
    <s v=" June "/>
    <x v="0"/>
    <n v="0.45054945054945061"/>
    <s v="Low"/>
    <s v="OK"/>
    <s v="Jun-2014"/>
    <s v="Profit"/>
    <s v="Low Sales"/>
    <b v="1"/>
  </r>
  <r>
    <x v="0"/>
    <x v="1"/>
    <x v="2"/>
    <x v="2"/>
    <n v="360"/>
    <n v="10"/>
    <n v="7"/>
    <n v="2520"/>
    <n v="226.8"/>
    <n v="2293.1999999999998"/>
    <n v="1800"/>
    <n v="493.2"/>
    <x v="10"/>
    <n v="10"/>
    <s v=" October "/>
    <x v="0"/>
    <n v="0.21507064364207223"/>
    <s v="Low"/>
    <s v="OK"/>
    <s v="Oct-2014"/>
    <s v="Profit"/>
    <s v="Low Sales"/>
    <b v="1"/>
  </r>
  <r>
    <x v="2"/>
    <x v="2"/>
    <x v="3"/>
    <x v="2"/>
    <n v="1967"/>
    <n v="120"/>
    <n v="12"/>
    <n v="23604"/>
    <n v="2124.36"/>
    <n v="21479.64"/>
    <n v="5901"/>
    <n v="15578.64"/>
    <x v="3"/>
    <n v="3"/>
    <s v=" March "/>
    <x v="0"/>
    <n v="0.72527472527472525"/>
    <s v="Low"/>
    <s v="OK"/>
    <s v="Mar-2014"/>
    <s v="Profit"/>
    <s v="Low Sales"/>
    <b v="1"/>
  </r>
  <r>
    <x v="1"/>
    <x v="3"/>
    <x v="3"/>
    <x v="2"/>
    <n v="2628"/>
    <n v="120"/>
    <n v="15"/>
    <n v="39420"/>
    <n v="3547.8"/>
    <n v="35872.199999999997"/>
    <n v="26280"/>
    <n v="9592.2000000000007"/>
    <x v="13"/>
    <n v="4"/>
    <s v=" April "/>
    <x v="0"/>
    <n v="0.26739926739926745"/>
    <s v="Low"/>
    <s v="OK"/>
    <s v="Apr-2014"/>
    <s v="Profit"/>
    <s v="Low Sales"/>
    <b v="1"/>
  </r>
  <r>
    <x v="0"/>
    <x v="1"/>
    <x v="4"/>
    <x v="2"/>
    <n v="360"/>
    <n v="250"/>
    <n v="7"/>
    <n v="2520"/>
    <n v="226.8"/>
    <n v="2293.1999999999998"/>
    <n v="1800"/>
    <n v="493.2"/>
    <x v="10"/>
    <n v="10"/>
    <s v=" October "/>
    <x v="0"/>
    <n v="0.21507064364207223"/>
    <s v="Low"/>
    <s v="OK"/>
    <s v="Oct-2014"/>
    <s v="Profit"/>
    <s v="Low Sales"/>
    <b v="1"/>
  </r>
  <r>
    <x v="0"/>
    <x v="2"/>
    <x v="4"/>
    <x v="2"/>
    <n v="2682"/>
    <n v="250"/>
    <n v="20"/>
    <n v="53640"/>
    <n v="4827.6000000000004"/>
    <n v="48812.4"/>
    <n v="26820"/>
    <n v="21992.400000000001"/>
    <x v="11"/>
    <n v="11"/>
    <s v=" November "/>
    <x v="1"/>
    <n v="0.45054945054945056"/>
    <s v="Low"/>
    <s v="OK"/>
    <s v="Nov-2013"/>
    <s v="Profit"/>
    <s v="Low Sales"/>
    <b v="1"/>
  </r>
  <r>
    <x v="0"/>
    <x v="3"/>
    <x v="4"/>
    <x v="2"/>
    <n v="521"/>
    <n v="250"/>
    <n v="7"/>
    <n v="3647"/>
    <n v="328.23"/>
    <n v="3318.77"/>
    <n v="2605"/>
    <n v="713.77"/>
    <x v="2"/>
    <n v="12"/>
    <s v=" December "/>
    <x v="0"/>
    <n v="0.21507064364207221"/>
    <s v="Low"/>
    <s v="OK"/>
    <s v="Dec-2014"/>
    <s v="Profit"/>
    <s v="Low Sales"/>
    <b v="1"/>
  </r>
  <r>
    <x v="0"/>
    <x v="3"/>
    <x v="5"/>
    <x v="2"/>
    <n v="1038"/>
    <n v="260"/>
    <n v="20"/>
    <n v="20760"/>
    <n v="1868.4"/>
    <n v="18891.599999999999"/>
    <n v="10380"/>
    <n v="8511.6"/>
    <x v="1"/>
    <n v="6"/>
    <s v=" June "/>
    <x v="0"/>
    <n v="0.45054945054945061"/>
    <s v="Low"/>
    <s v="OK"/>
    <s v="Jun-2014"/>
    <s v="Profit"/>
    <s v="Low Sales"/>
    <b v="1"/>
  </r>
  <r>
    <x v="1"/>
    <x v="0"/>
    <x v="5"/>
    <x v="2"/>
    <n v="1630.5"/>
    <n v="260"/>
    <n v="15"/>
    <n v="24457.5"/>
    <n v="2201.1799999999998"/>
    <n v="22256.32"/>
    <n v="16305"/>
    <n v="5951.32"/>
    <x v="4"/>
    <n v="7"/>
    <s v=" July "/>
    <x v="0"/>
    <n v="0.26739910281663815"/>
    <s v="Low"/>
    <s v="OK"/>
    <s v="Jul-2014"/>
    <s v="Profit"/>
    <s v="Low Sales"/>
    <b v="1"/>
  </r>
  <r>
    <x v="2"/>
    <x v="2"/>
    <x v="5"/>
    <x v="2"/>
    <n v="306"/>
    <n v="260"/>
    <n v="12"/>
    <n v="3672"/>
    <n v="330.48"/>
    <n v="3341.52"/>
    <n v="918"/>
    <n v="2423.52"/>
    <x v="12"/>
    <n v="12"/>
    <s v=" December "/>
    <x v="1"/>
    <n v="0.72527472527472525"/>
    <s v="Low"/>
    <s v="OK"/>
    <s v="Dec-2013"/>
    <s v="Profit"/>
    <s v="Low Sales"/>
    <b v="1"/>
  </r>
  <r>
    <x v="2"/>
    <x v="4"/>
    <x v="0"/>
    <x v="3"/>
    <n v="386"/>
    <n v="3"/>
    <n v="12"/>
    <n v="4632"/>
    <n v="463.2"/>
    <n v="4168.8"/>
    <n v="1158"/>
    <n v="3010.8"/>
    <x v="7"/>
    <n v="10"/>
    <s v=" October "/>
    <x v="1"/>
    <n v="0.72222222222222221"/>
    <s v="Low"/>
    <s v="OK"/>
    <s v="Oct-2013"/>
    <s v="Profit"/>
    <s v="Low Sales"/>
    <b v="1"/>
  </r>
  <r>
    <x v="0"/>
    <x v="4"/>
    <x v="1"/>
    <x v="3"/>
    <n v="2328"/>
    <n v="5"/>
    <n v="7"/>
    <n v="16296"/>
    <n v="1629.6"/>
    <n v="14666.4"/>
    <n v="11640"/>
    <n v="3026.4"/>
    <x v="6"/>
    <n v="9"/>
    <s v=" September "/>
    <x v="0"/>
    <n v="0.20634920634920637"/>
    <s v="Low"/>
    <s v="OK"/>
    <s v="Sep-2014"/>
    <s v="Profit"/>
    <s v="Low Sales"/>
    <b v="1"/>
  </r>
  <r>
    <x v="2"/>
    <x v="4"/>
    <x v="2"/>
    <x v="3"/>
    <n v="386"/>
    <n v="10"/>
    <n v="12"/>
    <n v="4632"/>
    <n v="463.2"/>
    <n v="4168.8"/>
    <n v="1158"/>
    <n v="3010.8"/>
    <x v="7"/>
    <n v="10"/>
    <s v=" October "/>
    <x v="1"/>
    <n v="0.72222222222222221"/>
    <s v="Low"/>
    <s v="OK"/>
    <s v="Oct-2013"/>
    <s v="Profit"/>
    <s v="Low Sales"/>
    <b v="1"/>
  </r>
  <r>
    <x v="3"/>
    <x v="4"/>
    <x v="0"/>
    <x v="3"/>
    <n v="3445.5"/>
    <n v="3"/>
    <n v="125"/>
    <n v="430687.5"/>
    <n v="43068.75"/>
    <n v="387618.75"/>
    <n v="413460"/>
    <n v="-25841.25"/>
    <x v="13"/>
    <n v="4"/>
    <s v=" April "/>
    <x v="0"/>
    <n v="-6.6666666666666666E-2"/>
    <s v="High"/>
    <s v="OK"/>
    <s v="Apr-2014"/>
    <s v="Loss"/>
    <s v="High Sales"/>
    <b v="1"/>
  </r>
  <r>
    <x v="3"/>
    <x v="2"/>
    <x v="0"/>
    <x v="3"/>
    <n v="1482"/>
    <n v="3"/>
    <n v="125"/>
    <n v="185250"/>
    <n v="18525"/>
    <n v="166725"/>
    <n v="177840"/>
    <n v="-11115"/>
    <x v="12"/>
    <n v="12"/>
    <s v=" December "/>
    <x v="1"/>
    <n v="-6.6666666666666666E-2"/>
    <s v="High"/>
    <s v="OK"/>
    <s v="Dec-2013"/>
    <s v="Loss"/>
    <s v="High Sales"/>
    <b v="1"/>
  </r>
  <r>
    <x v="0"/>
    <x v="4"/>
    <x v="1"/>
    <x v="3"/>
    <n v="2313"/>
    <n v="5"/>
    <n v="350"/>
    <n v="809550"/>
    <n v="80955"/>
    <n v="728595"/>
    <n v="601380"/>
    <n v="127215"/>
    <x v="14"/>
    <n v="5"/>
    <s v=" May "/>
    <x v="0"/>
    <n v="0.17460317460317459"/>
    <s v="High"/>
    <s v="OK"/>
    <s v="May-2014"/>
    <s v="Profit"/>
    <s v="High Sales"/>
    <b v="1"/>
  </r>
  <r>
    <x v="3"/>
    <x v="4"/>
    <x v="1"/>
    <x v="3"/>
    <n v="1804"/>
    <n v="5"/>
    <n v="125"/>
    <n v="225500"/>
    <n v="22550"/>
    <n v="202950"/>
    <n v="216480"/>
    <n v="-13530"/>
    <x v="11"/>
    <n v="11"/>
    <s v=" November "/>
    <x v="1"/>
    <n v="-6.6666666666666666E-2"/>
    <s v="High"/>
    <s v="OK"/>
    <s v="Nov-2013"/>
    <s v="Loss"/>
    <s v="High Sales"/>
    <b v="1"/>
  </r>
  <r>
    <x v="1"/>
    <x v="2"/>
    <x v="1"/>
    <x v="3"/>
    <n v="2072"/>
    <n v="5"/>
    <n v="15"/>
    <n v="31080"/>
    <n v="3108"/>
    <n v="27972"/>
    <n v="20720"/>
    <n v="7252"/>
    <x v="2"/>
    <n v="12"/>
    <s v=" December "/>
    <x v="0"/>
    <n v="0.25925925925925924"/>
    <s v="Low"/>
    <s v="OK"/>
    <s v="Dec-2014"/>
    <s v="Profit"/>
    <s v="Low Sales"/>
    <b v="1"/>
  </r>
  <r>
    <x v="0"/>
    <x v="2"/>
    <x v="2"/>
    <x v="3"/>
    <n v="1954"/>
    <n v="10"/>
    <n v="20"/>
    <n v="39080"/>
    <n v="3908"/>
    <n v="35172"/>
    <n v="19540"/>
    <n v="15632"/>
    <x v="3"/>
    <n v="3"/>
    <s v=" March "/>
    <x v="0"/>
    <n v="0.44444444444444442"/>
    <s v="Low"/>
    <s v="OK"/>
    <s v="Mar-2014"/>
    <s v="Profit"/>
    <s v="Low Sales"/>
    <b v="1"/>
  </r>
  <r>
    <x v="4"/>
    <x v="3"/>
    <x v="2"/>
    <x v="3"/>
    <n v="591"/>
    <n v="10"/>
    <n v="300"/>
    <n v="177300"/>
    <n v="17730"/>
    <n v="159570"/>
    <n v="147750"/>
    <n v="11820"/>
    <x v="14"/>
    <n v="5"/>
    <s v=" May "/>
    <x v="0"/>
    <n v="7.407407407407407E-2"/>
    <s v="High"/>
    <s v="OK"/>
    <s v="May-2014"/>
    <s v="Profit"/>
    <s v="High Sales"/>
    <b v="1"/>
  </r>
  <r>
    <x v="1"/>
    <x v="2"/>
    <x v="2"/>
    <x v="3"/>
    <n v="2167"/>
    <n v="10"/>
    <n v="15"/>
    <n v="32505"/>
    <n v="3250.5"/>
    <n v="29254.5"/>
    <n v="21670"/>
    <n v="7584.5"/>
    <x v="7"/>
    <n v="10"/>
    <s v=" October "/>
    <x v="1"/>
    <n v="0.25925925925925924"/>
    <s v="Low"/>
    <s v="OK"/>
    <s v="Oct-2013"/>
    <s v="Profit"/>
    <s v="Low Sales"/>
    <b v="1"/>
  </r>
  <r>
    <x v="0"/>
    <x v="1"/>
    <x v="2"/>
    <x v="3"/>
    <n v="241"/>
    <n v="10"/>
    <n v="20"/>
    <n v="4820"/>
    <n v="482"/>
    <n v="4338"/>
    <n v="2410"/>
    <n v="1928"/>
    <x v="10"/>
    <n v="10"/>
    <s v=" October "/>
    <x v="0"/>
    <n v="0.44444444444444442"/>
    <s v="Low"/>
    <s v="OK"/>
    <s v="Oct-2014"/>
    <s v="Profit"/>
    <s v="Low Sales"/>
    <b v="1"/>
  </r>
  <r>
    <x v="1"/>
    <x v="1"/>
    <x v="3"/>
    <x v="3"/>
    <n v="681"/>
    <n v="120"/>
    <n v="15"/>
    <n v="10215"/>
    <n v="1021.5"/>
    <n v="9193.5"/>
    <n v="6810"/>
    <n v="2383.5"/>
    <x v="0"/>
    <n v="1"/>
    <s v=" January "/>
    <x v="0"/>
    <n v="0.25925925925925924"/>
    <s v="Low"/>
    <s v="OK"/>
    <s v="Jan-2014"/>
    <s v="Profit"/>
    <s v="Low Sales"/>
    <b v="1"/>
  </r>
  <r>
    <x v="1"/>
    <x v="1"/>
    <x v="3"/>
    <x v="3"/>
    <n v="510"/>
    <n v="120"/>
    <n v="15"/>
    <n v="7650"/>
    <n v="765"/>
    <n v="6885"/>
    <n v="5100"/>
    <n v="1785"/>
    <x v="13"/>
    <n v="4"/>
    <s v=" April "/>
    <x v="0"/>
    <n v="0.25925925925925924"/>
    <s v="Low"/>
    <s v="OK"/>
    <s v="Apr-2014"/>
    <s v="Profit"/>
    <s v="Low Sales"/>
    <b v="1"/>
  </r>
  <r>
    <x v="1"/>
    <x v="4"/>
    <x v="3"/>
    <x v="3"/>
    <n v="790"/>
    <n v="120"/>
    <n v="15"/>
    <n v="11850"/>
    <n v="1185"/>
    <n v="10665"/>
    <n v="7900"/>
    <n v="2765"/>
    <x v="14"/>
    <n v="5"/>
    <s v=" May "/>
    <x v="0"/>
    <n v="0.25925925925925924"/>
    <s v="Low"/>
    <s v="OK"/>
    <s v="May-2014"/>
    <s v="Profit"/>
    <s v="Low Sales"/>
    <b v="1"/>
  </r>
  <r>
    <x v="0"/>
    <x v="2"/>
    <x v="3"/>
    <x v="3"/>
    <n v="639"/>
    <n v="120"/>
    <n v="350"/>
    <n v="223650"/>
    <n v="22365"/>
    <n v="201285"/>
    <n v="166140"/>
    <n v="35145"/>
    <x v="4"/>
    <n v="7"/>
    <s v=" July "/>
    <x v="0"/>
    <n v="0.17460317460317459"/>
    <s v="High"/>
    <s v="OK"/>
    <s v="Jul-2014"/>
    <s v="Profit"/>
    <s v="High Sales"/>
    <b v="1"/>
  </r>
  <r>
    <x v="3"/>
    <x v="4"/>
    <x v="3"/>
    <x v="3"/>
    <n v="1596"/>
    <n v="120"/>
    <n v="125"/>
    <n v="199500"/>
    <n v="19950"/>
    <n v="179550"/>
    <n v="191520"/>
    <n v="-11970"/>
    <x v="6"/>
    <n v="9"/>
    <s v=" September "/>
    <x v="0"/>
    <n v="-6.6666666666666666E-2"/>
    <s v="High"/>
    <s v="OK"/>
    <s v="Sep-2014"/>
    <s v="Loss"/>
    <s v="High Sales"/>
    <b v="1"/>
  </r>
  <r>
    <x v="4"/>
    <x v="4"/>
    <x v="3"/>
    <x v="3"/>
    <n v="2294"/>
    <n v="120"/>
    <n v="300"/>
    <n v="688200"/>
    <n v="68820"/>
    <n v="619380"/>
    <n v="573500"/>
    <n v="45880"/>
    <x v="7"/>
    <n v="10"/>
    <s v=" October "/>
    <x v="1"/>
    <n v="7.407407407407407E-2"/>
    <s v="High"/>
    <s v="OK"/>
    <s v="Oct-2013"/>
    <s v="Profit"/>
    <s v="High Sales"/>
    <b v="1"/>
  </r>
  <r>
    <x v="0"/>
    <x v="1"/>
    <x v="3"/>
    <x v="3"/>
    <n v="241"/>
    <n v="120"/>
    <n v="20"/>
    <n v="4820"/>
    <n v="482"/>
    <n v="4338"/>
    <n v="2410"/>
    <n v="1928"/>
    <x v="10"/>
    <n v="10"/>
    <s v=" October "/>
    <x v="0"/>
    <n v="0.44444444444444442"/>
    <s v="Low"/>
    <s v="OK"/>
    <s v="Oct-2014"/>
    <s v="Profit"/>
    <s v="Low Sales"/>
    <b v="1"/>
  </r>
  <r>
    <x v="0"/>
    <x v="1"/>
    <x v="3"/>
    <x v="3"/>
    <n v="2665"/>
    <n v="120"/>
    <n v="7"/>
    <n v="18655"/>
    <n v="1865.5"/>
    <n v="16789.5"/>
    <n v="13325"/>
    <n v="3464.5"/>
    <x v="15"/>
    <n v="11"/>
    <s v=" November "/>
    <x v="0"/>
    <n v="0.20634920634920634"/>
    <s v="Low"/>
    <s v="OK"/>
    <s v="Nov-2014"/>
    <s v="Profit"/>
    <s v="Low Sales"/>
    <b v="1"/>
  </r>
  <r>
    <x v="3"/>
    <x v="0"/>
    <x v="3"/>
    <x v="3"/>
    <n v="1916"/>
    <n v="120"/>
    <n v="125"/>
    <n v="239500"/>
    <n v="23950"/>
    <n v="215550"/>
    <n v="229920"/>
    <n v="-14370"/>
    <x v="12"/>
    <n v="12"/>
    <s v=" December "/>
    <x v="1"/>
    <n v="-6.6666666666666666E-2"/>
    <s v="High"/>
    <s v="OK"/>
    <s v="Dec-2013"/>
    <s v="Loss"/>
    <s v="High Sales"/>
    <b v="1"/>
  </r>
  <r>
    <x v="4"/>
    <x v="2"/>
    <x v="3"/>
    <x v="3"/>
    <n v="853"/>
    <n v="120"/>
    <n v="300"/>
    <n v="255900"/>
    <n v="25590"/>
    <n v="230310"/>
    <n v="213250"/>
    <n v="17060"/>
    <x v="2"/>
    <n v="12"/>
    <s v=" December "/>
    <x v="0"/>
    <n v="7.407407407407407E-2"/>
    <s v="High"/>
    <s v="OK"/>
    <s v="Dec-2014"/>
    <s v="Profit"/>
    <s v="High Sales"/>
    <b v="1"/>
  </r>
  <r>
    <x v="3"/>
    <x v="3"/>
    <x v="4"/>
    <x v="3"/>
    <n v="341"/>
    <n v="250"/>
    <n v="125"/>
    <n v="42625"/>
    <n v="4262.5"/>
    <n v="38362.5"/>
    <n v="40920"/>
    <n v="-2557.5"/>
    <x v="14"/>
    <n v="5"/>
    <s v=" May "/>
    <x v="0"/>
    <n v="-6.6666666666666666E-2"/>
    <s v="Low"/>
    <s v="OK"/>
    <s v="May-2014"/>
    <s v="Loss"/>
    <s v="Low Sales"/>
    <b v="1"/>
  </r>
  <r>
    <x v="1"/>
    <x v="3"/>
    <x v="4"/>
    <x v="3"/>
    <n v="641"/>
    <n v="250"/>
    <n v="15"/>
    <n v="9615"/>
    <n v="961.5"/>
    <n v="8653.5"/>
    <n v="6410"/>
    <n v="2243.5"/>
    <x v="4"/>
    <n v="7"/>
    <s v=" July "/>
    <x v="0"/>
    <n v="0.25925925925925924"/>
    <s v="Low"/>
    <s v="OK"/>
    <s v="Jul-2014"/>
    <s v="Profit"/>
    <s v="Low Sales"/>
    <b v="1"/>
  </r>
  <r>
    <x v="0"/>
    <x v="4"/>
    <x v="4"/>
    <x v="3"/>
    <n v="2807"/>
    <n v="250"/>
    <n v="350"/>
    <n v="982450"/>
    <n v="98245"/>
    <n v="884205"/>
    <n v="729820"/>
    <n v="154385"/>
    <x v="5"/>
    <n v="8"/>
    <s v=" August "/>
    <x v="0"/>
    <n v="0.17460317460317459"/>
    <s v="High"/>
    <s v="OK"/>
    <s v="Aug-2014"/>
    <s v="Profit"/>
    <s v="High Sales"/>
    <b v="1"/>
  </r>
  <r>
    <x v="4"/>
    <x v="3"/>
    <x v="4"/>
    <x v="3"/>
    <n v="432"/>
    <n v="250"/>
    <n v="300"/>
    <n v="129600"/>
    <n v="12960"/>
    <n v="116640"/>
    <n v="108000"/>
    <n v="8640"/>
    <x v="6"/>
    <n v="9"/>
    <s v=" September "/>
    <x v="0"/>
    <n v="7.407407407407407E-2"/>
    <s v="High"/>
    <s v="OK"/>
    <s v="Sep-2014"/>
    <s v="Profit"/>
    <s v="High Sales"/>
    <b v="1"/>
  </r>
  <r>
    <x v="4"/>
    <x v="4"/>
    <x v="4"/>
    <x v="3"/>
    <n v="2294"/>
    <n v="250"/>
    <n v="300"/>
    <n v="688200"/>
    <n v="68820"/>
    <n v="619380"/>
    <n v="573500"/>
    <n v="45880"/>
    <x v="7"/>
    <n v="10"/>
    <s v=" October "/>
    <x v="1"/>
    <n v="7.407407407407407E-2"/>
    <s v="High"/>
    <s v="OK"/>
    <s v="Oct-2013"/>
    <s v="Profit"/>
    <s v="High Sales"/>
    <b v="1"/>
  </r>
  <r>
    <x v="1"/>
    <x v="2"/>
    <x v="4"/>
    <x v="3"/>
    <n v="2167"/>
    <n v="250"/>
    <n v="15"/>
    <n v="32505"/>
    <n v="3250.5"/>
    <n v="29254.5"/>
    <n v="21670"/>
    <n v="7584.5"/>
    <x v="7"/>
    <n v="10"/>
    <s v=" October "/>
    <x v="1"/>
    <n v="0.25925925925925924"/>
    <s v="Low"/>
    <s v="OK"/>
    <s v="Oct-2013"/>
    <s v="Profit"/>
    <s v="Low Sales"/>
    <b v="1"/>
  </r>
  <r>
    <x v="3"/>
    <x v="0"/>
    <x v="4"/>
    <x v="3"/>
    <n v="2529"/>
    <n v="250"/>
    <n v="125"/>
    <n v="316125"/>
    <n v="31612.5"/>
    <n v="284512.5"/>
    <n v="303480"/>
    <n v="-18967.5"/>
    <x v="15"/>
    <n v="11"/>
    <s v=" November "/>
    <x v="0"/>
    <n v="-6.6666666666666666E-2"/>
    <s v="High"/>
    <s v="OK"/>
    <s v="Nov-2014"/>
    <s v="Loss"/>
    <s v="High Sales"/>
    <b v="1"/>
  </r>
  <r>
    <x v="0"/>
    <x v="1"/>
    <x v="4"/>
    <x v="3"/>
    <n v="1870"/>
    <n v="250"/>
    <n v="350"/>
    <n v="654500"/>
    <n v="65450"/>
    <n v="589050"/>
    <n v="486200"/>
    <n v="102850"/>
    <x v="12"/>
    <n v="12"/>
    <s v=" December "/>
    <x v="1"/>
    <n v="0.17460317460317459"/>
    <s v="High"/>
    <s v="OK"/>
    <s v="Dec-2013"/>
    <s v="Profit"/>
    <s v="High Sales"/>
    <b v="1"/>
  </r>
  <r>
    <x v="3"/>
    <x v="4"/>
    <x v="5"/>
    <x v="3"/>
    <n v="579"/>
    <n v="260"/>
    <n v="125"/>
    <n v="72375"/>
    <n v="7237.5"/>
    <n v="65137.5"/>
    <n v="69480"/>
    <n v="-4342.5"/>
    <x v="0"/>
    <n v="1"/>
    <s v=" January "/>
    <x v="0"/>
    <n v="-6.6666666666666666E-2"/>
    <s v="Medium"/>
    <s v="OK"/>
    <s v="Jan-2014"/>
    <s v="Loss"/>
    <s v="High Sales"/>
    <b v="1"/>
  </r>
  <r>
    <x v="0"/>
    <x v="0"/>
    <x v="5"/>
    <x v="3"/>
    <n v="2240"/>
    <n v="260"/>
    <n v="350"/>
    <n v="784000"/>
    <n v="78400"/>
    <n v="705600"/>
    <n v="582400"/>
    <n v="123200"/>
    <x v="8"/>
    <n v="2"/>
    <s v=" February "/>
    <x v="0"/>
    <n v="0.17460317460317459"/>
    <s v="High"/>
    <s v="OK"/>
    <s v="Feb-2014"/>
    <s v="Profit"/>
    <s v="High Sales"/>
    <b v="1"/>
  </r>
  <r>
    <x v="4"/>
    <x v="4"/>
    <x v="5"/>
    <x v="3"/>
    <n v="2993"/>
    <n v="260"/>
    <n v="300"/>
    <n v="897900"/>
    <n v="89790"/>
    <n v="808110"/>
    <n v="748250"/>
    <n v="59860"/>
    <x v="3"/>
    <n v="3"/>
    <s v=" March "/>
    <x v="0"/>
    <n v="7.407407407407407E-2"/>
    <s v="High"/>
    <s v="OK"/>
    <s v="Mar-2014"/>
    <s v="Profit"/>
    <s v="High Sales"/>
    <b v="1"/>
  </r>
  <r>
    <x v="2"/>
    <x v="0"/>
    <x v="5"/>
    <x v="3"/>
    <n v="3520.5"/>
    <n v="260"/>
    <n v="12"/>
    <n v="42246"/>
    <n v="4224.6000000000004"/>
    <n v="38021.4"/>
    <n v="10561.5"/>
    <n v="27459.9"/>
    <x v="13"/>
    <n v="4"/>
    <s v=" April "/>
    <x v="0"/>
    <n v="0.72222222222222221"/>
    <s v="Low"/>
    <s v="OK"/>
    <s v="Apr-2014"/>
    <s v="Profit"/>
    <s v="Low Sales"/>
    <b v="1"/>
  </r>
  <r>
    <x v="0"/>
    <x v="3"/>
    <x v="5"/>
    <x v="3"/>
    <n v="2039"/>
    <n v="260"/>
    <n v="20"/>
    <n v="40780"/>
    <n v="4078"/>
    <n v="36702"/>
    <n v="20390"/>
    <n v="16312"/>
    <x v="14"/>
    <n v="5"/>
    <s v=" May "/>
    <x v="0"/>
    <n v="0.44444444444444442"/>
    <s v="Low"/>
    <s v="OK"/>
    <s v="May-2014"/>
    <s v="Profit"/>
    <s v="Low Sales"/>
    <b v="1"/>
  </r>
  <r>
    <x v="2"/>
    <x v="1"/>
    <x v="5"/>
    <x v="3"/>
    <n v="2574"/>
    <n v="260"/>
    <n v="12"/>
    <n v="30888"/>
    <n v="3088.8"/>
    <n v="27799.200000000001"/>
    <n v="7722"/>
    <n v="20077.2"/>
    <x v="5"/>
    <n v="8"/>
    <s v=" August "/>
    <x v="0"/>
    <n v="0.72222222222222221"/>
    <s v="Low"/>
    <s v="OK"/>
    <s v="Aug-2014"/>
    <s v="Profit"/>
    <s v="Low Sales"/>
    <b v="1"/>
  </r>
  <r>
    <x v="0"/>
    <x v="0"/>
    <x v="5"/>
    <x v="3"/>
    <n v="707"/>
    <n v="260"/>
    <n v="350"/>
    <n v="247450"/>
    <n v="24745"/>
    <n v="222705"/>
    <n v="183820"/>
    <n v="38885"/>
    <x v="6"/>
    <n v="9"/>
    <s v=" September "/>
    <x v="0"/>
    <n v="0.17460317460317459"/>
    <s v="High"/>
    <s v="OK"/>
    <s v="Sep-2014"/>
    <s v="Profit"/>
    <s v="High Sales"/>
    <b v="1"/>
  </r>
  <r>
    <x v="1"/>
    <x v="2"/>
    <x v="5"/>
    <x v="3"/>
    <n v="2072"/>
    <n v="260"/>
    <n v="15"/>
    <n v="31080"/>
    <n v="3108"/>
    <n v="27972"/>
    <n v="20720"/>
    <n v="7252"/>
    <x v="2"/>
    <n v="12"/>
    <s v=" December "/>
    <x v="0"/>
    <n v="0.25925925925925924"/>
    <s v="Low"/>
    <s v="OK"/>
    <s v="Dec-2014"/>
    <s v="Profit"/>
    <s v="Low Sales"/>
    <b v="1"/>
  </r>
  <r>
    <x v="4"/>
    <x v="2"/>
    <x v="5"/>
    <x v="3"/>
    <n v="853"/>
    <n v="260"/>
    <n v="300"/>
    <n v="255900"/>
    <n v="25590"/>
    <n v="230310"/>
    <n v="213250"/>
    <n v="17060"/>
    <x v="2"/>
    <n v="12"/>
    <s v=" December "/>
    <x v="0"/>
    <n v="7.407407407407407E-2"/>
    <s v="High"/>
    <s v="OK"/>
    <s v="Dec-2014"/>
    <s v="Profit"/>
    <s v="High Sales"/>
    <b v="1"/>
  </r>
  <r>
    <x v="2"/>
    <x v="2"/>
    <x v="0"/>
    <x v="3"/>
    <n v="1198"/>
    <n v="3"/>
    <n v="12"/>
    <n v="14376"/>
    <n v="1581.36"/>
    <n v="12794.64"/>
    <n v="3594"/>
    <n v="9200.64"/>
    <x v="7"/>
    <n v="10"/>
    <s v=" October "/>
    <x v="1"/>
    <n v="0.7191011235955056"/>
    <s v="Low"/>
    <s v="OK"/>
    <s v="Oct-2013"/>
    <s v="Profit"/>
    <s v="Low Sales"/>
    <b v="1"/>
  </r>
  <r>
    <x v="0"/>
    <x v="2"/>
    <x v="2"/>
    <x v="3"/>
    <n v="2532"/>
    <n v="10"/>
    <n v="7"/>
    <n v="17724"/>
    <n v="1949.64"/>
    <n v="15774.36"/>
    <n v="12660"/>
    <n v="3114.36"/>
    <x v="13"/>
    <n v="4"/>
    <s v=" April "/>
    <x v="0"/>
    <n v="0.19743178170144463"/>
    <s v="Low"/>
    <s v="OK"/>
    <s v="Apr-2014"/>
    <s v="Profit"/>
    <s v="Low Sales"/>
    <b v="1"/>
  </r>
  <r>
    <x v="2"/>
    <x v="2"/>
    <x v="2"/>
    <x v="3"/>
    <n v="1198"/>
    <n v="10"/>
    <n v="12"/>
    <n v="14376"/>
    <n v="1581.36"/>
    <n v="12794.64"/>
    <n v="3594"/>
    <n v="9200.64"/>
    <x v="7"/>
    <n v="10"/>
    <s v=" October "/>
    <x v="1"/>
    <n v="0.7191011235955056"/>
    <s v="Low"/>
    <s v="OK"/>
    <s v="Oct-2013"/>
    <s v="Profit"/>
    <s v="Low Sales"/>
    <b v="1"/>
  </r>
  <r>
    <x v="1"/>
    <x v="0"/>
    <x v="3"/>
    <x v="3"/>
    <n v="384"/>
    <n v="120"/>
    <n v="15"/>
    <n v="5760"/>
    <n v="633.6"/>
    <n v="5126.3999999999996"/>
    <n v="3840"/>
    <n v="1286.4000000000001"/>
    <x v="0"/>
    <n v="1"/>
    <s v=" January "/>
    <x v="0"/>
    <n v="0.25093632958801504"/>
    <s v="Low"/>
    <s v="OK"/>
    <s v="Jan-2014"/>
    <s v="Profit"/>
    <s v="Low Sales"/>
    <b v="1"/>
  </r>
  <r>
    <x v="2"/>
    <x v="1"/>
    <x v="3"/>
    <x v="3"/>
    <n v="472"/>
    <n v="120"/>
    <n v="12"/>
    <n v="5664"/>
    <n v="623.04"/>
    <n v="5040.96"/>
    <n v="1416"/>
    <n v="3624.96"/>
    <x v="10"/>
    <n v="10"/>
    <s v=" October "/>
    <x v="0"/>
    <n v="0.7191011235955056"/>
    <s v="Low"/>
    <s v="OK"/>
    <s v="Oct-2014"/>
    <s v="Profit"/>
    <s v="Low Sales"/>
    <b v="1"/>
  </r>
  <r>
    <x v="0"/>
    <x v="4"/>
    <x v="4"/>
    <x v="3"/>
    <n v="1579"/>
    <n v="250"/>
    <n v="7"/>
    <n v="11053"/>
    <n v="1215.83"/>
    <n v="9837.17"/>
    <n v="7895"/>
    <n v="1942.17"/>
    <x v="3"/>
    <n v="3"/>
    <s v=" March "/>
    <x v="0"/>
    <n v="0.19743178170144463"/>
    <s v="Low"/>
    <s v="OK"/>
    <s v="Mar-2014"/>
    <s v="Profit"/>
    <s v="Low Sales"/>
    <b v="1"/>
  </r>
  <r>
    <x v="2"/>
    <x v="3"/>
    <x v="4"/>
    <x v="3"/>
    <n v="1005"/>
    <n v="250"/>
    <n v="12"/>
    <n v="12060"/>
    <n v="1326.6"/>
    <n v="10733.4"/>
    <n v="3015"/>
    <n v="7718.4"/>
    <x v="9"/>
    <n v="9"/>
    <s v=" September "/>
    <x v="1"/>
    <n v="0.7191011235955056"/>
    <s v="Low"/>
    <s v="OK"/>
    <s v="Sep-2013"/>
    <s v="Profit"/>
    <s v="Low Sales"/>
    <b v="1"/>
  </r>
  <r>
    <x v="1"/>
    <x v="4"/>
    <x v="5"/>
    <x v="3"/>
    <n v="3199.5"/>
    <n v="260"/>
    <n v="15"/>
    <n v="47992.5"/>
    <n v="5279.17"/>
    <n v="42713.33"/>
    <n v="31995"/>
    <n v="10718.32"/>
    <x v="4"/>
    <n v="7"/>
    <s v=" July "/>
    <x v="0"/>
    <n v="0.25093618315406452"/>
    <s v="Low"/>
    <s v="OK"/>
    <s v="Jul-2014"/>
    <s v="Profit"/>
    <s v="Low Sales"/>
    <b v="1"/>
  </r>
  <r>
    <x v="2"/>
    <x v="1"/>
    <x v="5"/>
    <x v="3"/>
    <n v="472"/>
    <n v="260"/>
    <n v="12"/>
    <n v="5664"/>
    <n v="623.04"/>
    <n v="5040.96"/>
    <n v="1416"/>
    <n v="3624.96"/>
    <x v="10"/>
    <n v="10"/>
    <s v=" October "/>
    <x v="0"/>
    <n v="0.7191011235955056"/>
    <s v="Low"/>
    <s v="OK"/>
    <s v="Oct-2014"/>
    <s v="Profit"/>
    <s v="Low Sales"/>
    <b v="1"/>
  </r>
  <r>
    <x v="2"/>
    <x v="0"/>
    <x v="0"/>
    <x v="3"/>
    <n v="1937"/>
    <n v="3"/>
    <n v="12"/>
    <n v="23244"/>
    <n v="2556.84"/>
    <n v="20687.16"/>
    <n v="5811"/>
    <n v="14876.16"/>
    <x v="8"/>
    <n v="2"/>
    <s v=" February "/>
    <x v="0"/>
    <n v="0.7191011235955056"/>
    <s v="Low"/>
    <s v="OK"/>
    <s v="Feb-2014"/>
    <s v="Profit"/>
    <s v="Low Sales"/>
    <b v="1"/>
  </r>
  <r>
    <x v="0"/>
    <x v="1"/>
    <x v="0"/>
    <x v="3"/>
    <n v="792"/>
    <n v="3"/>
    <n v="350"/>
    <n v="277200"/>
    <n v="30492"/>
    <n v="246708"/>
    <n v="205920"/>
    <n v="40788"/>
    <x v="3"/>
    <n v="3"/>
    <s v=" March "/>
    <x v="0"/>
    <n v="0.1653290529695024"/>
    <s v="High"/>
    <s v="OK"/>
    <s v="Mar-2014"/>
    <s v="Profit"/>
    <s v="High Sales"/>
    <b v="1"/>
  </r>
  <r>
    <x v="4"/>
    <x v="1"/>
    <x v="0"/>
    <x v="3"/>
    <n v="2811"/>
    <n v="3"/>
    <n v="300"/>
    <n v="843300"/>
    <n v="92763"/>
    <n v="750537"/>
    <n v="702750"/>
    <n v="47787"/>
    <x v="4"/>
    <n v="7"/>
    <s v=" July "/>
    <x v="0"/>
    <n v="6.3670411985018729E-2"/>
    <s v="High"/>
    <s v="OK"/>
    <s v="Jul-2014"/>
    <s v="Profit"/>
    <s v="High Sales"/>
    <b v="1"/>
  </r>
  <r>
    <x v="3"/>
    <x v="2"/>
    <x v="0"/>
    <x v="3"/>
    <n v="2441"/>
    <n v="3"/>
    <n v="125"/>
    <n v="305125"/>
    <n v="33563.75"/>
    <n v="271561.25"/>
    <n v="292920"/>
    <n v="-21358.75"/>
    <x v="10"/>
    <n v="10"/>
    <s v=" October "/>
    <x v="0"/>
    <n v="-7.8651685393258425E-2"/>
    <s v="High"/>
    <s v="OK"/>
    <s v="Oct-2014"/>
    <s v="Loss"/>
    <s v="High Sales"/>
    <b v="1"/>
  </r>
  <r>
    <x v="1"/>
    <x v="0"/>
    <x v="0"/>
    <x v="3"/>
    <n v="1560"/>
    <n v="3"/>
    <n v="15"/>
    <n v="23400"/>
    <n v="2574"/>
    <n v="20826"/>
    <n v="15600"/>
    <n v="5226"/>
    <x v="11"/>
    <n v="11"/>
    <s v=" November "/>
    <x v="1"/>
    <n v="0.25093632958801498"/>
    <s v="Low"/>
    <s v="OK"/>
    <s v="Nov-2013"/>
    <s v="Profit"/>
    <s v="Low Sales"/>
    <b v="1"/>
  </r>
  <r>
    <x v="0"/>
    <x v="3"/>
    <x v="0"/>
    <x v="3"/>
    <n v="2706"/>
    <n v="3"/>
    <n v="7"/>
    <n v="18942"/>
    <n v="2083.62"/>
    <n v="16858.38"/>
    <n v="13530"/>
    <n v="3328.38"/>
    <x v="11"/>
    <n v="11"/>
    <s v=" November "/>
    <x v="1"/>
    <n v="0.19743178170144463"/>
    <s v="Low"/>
    <s v="OK"/>
    <s v="Nov-2013"/>
    <s v="Profit"/>
    <s v="Low Sales"/>
    <b v="1"/>
  </r>
  <r>
    <x v="0"/>
    <x v="1"/>
    <x v="1"/>
    <x v="3"/>
    <n v="766"/>
    <n v="5"/>
    <n v="350"/>
    <n v="268100"/>
    <n v="29491"/>
    <n v="238609"/>
    <n v="199160"/>
    <n v="39449"/>
    <x v="0"/>
    <n v="1"/>
    <s v=" January "/>
    <x v="0"/>
    <n v="0.1653290529695024"/>
    <s v="High"/>
    <s v="OK"/>
    <s v="Jan-2014"/>
    <s v="Profit"/>
    <s v="High Sales"/>
    <b v="1"/>
  </r>
  <r>
    <x v="0"/>
    <x v="1"/>
    <x v="1"/>
    <x v="3"/>
    <n v="2992"/>
    <n v="5"/>
    <n v="20"/>
    <n v="59840"/>
    <n v="6582.4"/>
    <n v="53257.599999999999"/>
    <n v="29920"/>
    <n v="23337.599999999999"/>
    <x v="7"/>
    <n v="10"/>
    <s v=" October "/>
    <x v="1"/>
    <n v="0.4382022471910112"/>
    <s v="Medium"/>
    <s v="OK"/>
    <s v="Oct-2013"/>
    <s v="Profit"/>
    <s v="High Sales"/>
    <b v="1"/>
  </r>
  <r>
    <x v="1"/>
    <x v="3"/>
    <x v="1"/>
    <x v="3"/>
    <n v="2157"/>
    <n v="5"/>
    <n v="15"/>
    <n v="32355"/>
    <n v="3559.05"/>
    <n v="28795.95"/>
    <n v="21570"/>
    <n v="7225.95"/>
    <x v="2"/>
    <n v="12"/>
    <s v=" December "/>
    <x v="0"/>
    <n v="0.25093632958801498"/>
    <s v="Low"/>
    <s v="OK"/>
    <s v="Dec-2014"/>
    <s v="Profit"/>
    <s v="Low Sales"/>
    <b v="1"/>
  </r>
  <r>
    <x v="4"/>
    <x v="0"/>
    <x v="2"/>
    <x v="3"/>
    <n v="873"/>
    <n v="10"/>
    <n v="300"/>
    <n v="261900"/>
    <n v="28809"/>
    <n v="233091"/>
    <n v="218250"/>
    <n v="14841"/>
    <x v="0"/>
    <n v="1"/>
    <s v=" January "/>
    <x v="0"/>
    <n v="6.3670411985018729E-2"/>
    <s v="High"/>
    <s v="OK"/>
    <s v="Jan-2014"/>
    <s v="Profit"/>
    <s v="High Sales"/>
    <b v="1"/>
  </r>
  <r>
    <x v="0"/>
    <x v="3"/>
    <x v="2"/>
    <x v="3"/>
    <n v="1122"/>
    <n v="10"/>
    <n v="20"/>
    <n v="22440"/>
    <n v="2468.4"/>
    <n v="19971.599999999999"/>
    <n v="11220"/>
    <n v="8751.6"/>
    <x v="3"/>
    <n v="3"/>
    <s v=" March "/>
    <x v="0"/>
    <n v="0.43820224719101131"/>
    <s v="Low"/>
    <s v="OK"/>
    <s v="Mar-2014"/>
    <s v="Profit"/>
    <s v="Low Sales"/>
    <b v="1"/>
  </r>
  <r>
    <x v="0"/>
    <x v="0"/>
    <x v="2"/>
    <x v="3"/>
    <n v="2104.5"/>
    <n v="10"/>
    <n v="350"/>
    <n v="736575"/>
    <n v="81023.25"/>
    <n v="655551.75"/>
    <n v="547170"/>
    <n v="108381.75"/>
    <x v="4"/>
    <n v="7"/>
    <s v=" July "/>
    <x v="0"/>
    <n v="0.1653290529695024"/>
    <s v="High"/>
    <s v="OK"/>
    <s v="Jul-2014"/>
    <s v="Profit"/>
    <s v="High Sales"/>
    <b v="1"/>
  </r>
  <r>
    <x v="2"/>
    <x v="0"/>
    <x v="2"/>
    <x v="3"/>
    <n v="4026"/>
    <n v="10"/>
    <n v="12"/>
    <n v="48312"/>
    <n v="5314.32"/>
    <n v="42997.68"/>
    <n v="12078"/>
    <n v="30919.68"/>
    <x v="4"/>
    <n v="7"/>
    <s v=" July "/>
    <x v="0"/>
    <n v="0.7191011235955056"/>
    <s v="Low"/>
    <s v="OK"/>
    <s v="Jul-2014"/>
    <s v="Profit"/>
    <s v="Low Sales"/>
    <b v="1"/>
  </r>
  <r>
    <x v="2"/>
    <x v="2"/>
    <x v="2"/>
    <x v="3"/>
    <n v="2425.5"/>
    <n v="10"/>
    <n v="12"/>
    <n v="29106"/>
    <n v="3201.66"/>
    <n v="25904.34"/>
    <n v="7276.5"/>
    <n v="18627.84"/>
    <x v="4"/>
    <n v="7"/>
    <s v=" July "/>
    <x v="0"/>
    <n v="0.7191011235955056"/>
    <s v="Low"/>
    <s v="OK"/>
    <s v="Jul-2014"/>
    <s v="Profit"/>
    <s v="Low Sales"/>
    <b v="1"/>
  </r>
  <r>
    <x v="0"/>
    <x v="0"/>
    <x v="2"/>
    <x v="3"/>
    <n v="2394"/>
    <n v="10"/>
    <n v="20"/>
    <n v="47880"/>
    <n v="5266.8"/>
    <n v="42613.2"/>
    <n v="23940"/>
    <n v="18673.2"/>
    <x v="5"/>
    <n v="8"/>
    <s v=" August "/>
    <x v="0"/>
    <n v="0.43820224719101131"/>
    <s v="Low"/>
    <s v="OK"/>
    <s v="Aug-2014"/>
    <s v="Profit"/>
    <s v="Low Sales"/>
    <b v="1"/>
  </r>
  <r>
    <x v="1"/>
    <x v="3"/>
    <x v="2"/>
    <x v="3"/>
    <n v="1984"/>
    <n v="10"/>
    <n v="15"/>
    <n v="29760"/>
    <n v="3273.6"/>
    <n v="26486.400000000001"/>
    <n v="19840"/>
    <n v="6646.4"/>
    <x v="5"/>
    <n v="8"/>
    <s v=" August "/>
    <x v="0"/>
    <n v="0.25093632958801493"/>
    <s v="Low"/>
    <s v="OK"/>
    <s v="Aug-2014"/>
    <s v="Profit"/>
    <s v="Low Sales"/>
    <b v="1"/>
  </r>
  <r>
    <x v="3"/>
    <x v="2"/>
    <x v="2"/>
    <x v="3"/>
    <n v="2441"/>
    <n v="10"/>
    <n v="125"/>
    <n v="305125"/>
    <n v="33563.75"/>
    <n v="271561.25"/>
    <n v="292920"/>
    <n v="-21358.75"/>
    <x v="10"/>
    <n v="10"/>
    <s v=" October "/>
    <x v="0"/>
    <n v="-7.8651685393258425E-2"/>
    <s v="High"/>
    <s v="OK"/>
    <s v="Oct-2014"/>
    <s v="Loss"/>
    <s v="High Sales"/>
    <b v="1"/>
  </r>
  <r>
    <x v="0"/>
    <x v="1"/>
    <x v="2"/>
    <x v="3"/>
    <n v="2992"/>
    <n v="10"/>
    <n v="20"/>
    <n v="59840"/>
    <n v="6582.4"/>
    <n v="53257.599999999999"/>
    <n v="29920"/>
    <n v="23337.599999999999"/>
    <x v="7"/>
    <n v="10"/>
    <s v=" October "/>
    <x v="1"/>
    <n v="0.4382022471910112"/>
    <s v="Medium"/>
    <s v="OK"/>
    <s v="Oct-2013"/>
    <s v="Profit"/>
    <s v="High Sales"/>
    <b v="1"/>
  </r>
  <r>
    <x v="4"/>
    <x v="0"/>
    <x v="2"/>
    <x v="3"/>
    <n v="1366"/>
    <n v="10"/>
    <n v="300"/>
    <n v="409800"/>
    <n v="45078"/>
    <n v="364722"/>
    <n v="341500"/>
    <n v="23222"/>
    <x v="15"/>
    <n v="11"/>
    <s v=" November "/>
    <x v="0"/>
    <n v="6.3670411985018729E-2"/>
    <s v="High"/>
    <s v="OK"/>
    <s v="Nov-2014"/>
    <s v="Profit"/>
    <s v="High Sales"/>
    <b v="1"/>
  </r>
  <r>
    <x v="0"/>
    <x v="2"/>
    <x v="3"/>
    <x v="3"/>
    <n v="2805"/>
    <n v="120"/>
    <n v="20"/>
    <n v="56100"/>
    <n v="6171"/>
    <n v="49929"/>
    <n v="28050"/>
    <n v="21879"/>
    <x v="9"/>
    <n v="9"/>
    <s v=" September "/>
    <x v="1"/>
    <n v="0.43820224719101125"/>
    <s v="Low"/>
    <s v="OK"/>
    <s v="Sep-2013"/>
    <s v="Profit"/>
    <s v="Low Sales"/>
    <b v="1"/>
  </r>
  <r>
    <x v="1"/>
    <x v="3"/>
    <x v="3"/>
    <x v="3"/>
    <n v="655"/>
    <n v="120"/>
    <n v="15"/>
    <n v="9825"/>
    <n v="1080.75"/>
    <n v="8744.25"/>
    <n v="6550"/>
    <n v="2194.25"/>
    <x v="9"/>
    <n v="9"/>
    <s v=" September "/>
    <x v="1"/>
    <n v="0.25093632958801498"/>
    <s v="Low"/>
    <s v="OK"/>
    <s v="Sep-2013"/>
    <s v="Profit"/>
    <s v="Low Sales"/>
    <b v="1"/>
  </r>
  <r>
    <x v="0"/>
    <x v="3"/>
    <x v="3"/>
    <x v="3"/>
    <n v="344"/>
    <n v="120"/>
    <n v="350"/>
    <n v="120400"/>
    <n v="13244"/>
    <n v="107156"/>
    <n v="89440"/>
    <n v="17716"/>
    <x v="7"/>
    <n v="10"/>
    <s v=" October "/>
    <x v="1"/>
    <n v="0.1653290529695024"/>
    <s v="High"/>
    <s v="OK"/>
    <s v="Oct-2013"/>
    <s v="Profit"/>
    <s v="High Sales"/>
    <b v="1"/>
  </r>
  <r>
    <x v="0"/>
    <x v="0"/>
    <x v="3"/>
    <x v="3"/>
    <n v="1808"/>
    <n v="120"/>
    <n v="7"/>
    <n v="12656"/>
    <n v="1392.16"/>
    <n v="11263.84"/>
    <n v="9040"/>
    <n v="2223.84"/>
    <x v="15"/>
    <n v="11"/>
    <s v=" November "/>
    <x v="0"/>
    <n v="0.19743178170144463"/>
    <s v="Low"/>
    <s v="OK"/>
    <s v="Nov-2014"/>
    <s v="Profit"/>
    <s v="Low Sales"/>
    <b v="1"/>
  </r>
  <r>
    <x v="2"/>
    <x v="2"/>
    <x v="4"/>
    <x v="3"/>
    <n v="1734"/>
    <n v="250"/>
    <n v="12"/>
    <n v="20808"/>
    <n v="2288.88"/>
    <n v="18519.12"/>
    <n v="5202"/>
    <n v="13317.12"/>
    <x v="0"/>
    <n v="1"/>
    <s v=" January "/>
    <x v="0"/>
    <n v="0.71910112359550571"/>
    <s v="Low"/>
    <s v="OK"/>
    <s v="Jan-2014"/>
    <s v="Profit"/>
    <s v="Low Sales"/>
    <b v="1"/>
  </r>
  <r>
    <x v="3"/>
    <x v="3"/>
    <x v="4"/>
    <x v="3"/>
    <n v="554"/>
    <n v="250"/>
    <n v="125"/>
    <n v="69250"/>
    <n v="7617.5"/>
    <n v="61632.5"/>
    <n v="66480"/>
    <n v="-4847.5"/>
    <x v="0"/>
    <n v="1"/>
    <s v=" January "/>
    <x v="0"/>
    <n v="-7.8651685393258425E-2"/>
    <s v="Medium"/>
    <s v="OK"/>
    <s v="Jan-2014"/>
    <s v="Loss"/>
    <s v="High Sales"/>
    <b v="1"/>
  </r>
  <r>
    <x v="0"/>
    <x v="0"/>
    <x v="4"/>
    <x v="3"/>
    <n v="2935"/>
    <n v="250"/>
    <n v="20"/>
    <n v="58700"/>
    <n v="6457"/>
    <n v="52243"/>
    <n v="29350"/>
    <n v="22893"/>
    <x v="11"/>
    <n v="11"/>
    <s v=" November "/>
    <x v="1"/>
    <n v="0.43820224719101125"/>
    <s v="Medium"/>
    <s v="OK"/>
    <s v="Nov-2013"/>
    <s v="Profit"/>
    <s v="High Sales"/>
    <b v="1"/>
  </r>
  <r>
    <x v="3"/>
    <x v="1"/>
    <x v="5"/>
    <x v="3"/>
    <n v="3165"/>
    <n v="260"/>
    <n v="125"/>
    <n v="395625"/>
    <n v="43518.75"/>
    <n v="352106.25"/>
    <n v="379800"/>
    <n v="-27693.75"/>
    <x v="0"/>
    <n v="1"/>
    <s v=" January "/>
    <x v="0"/>
    <n v="-7.8651685393258425E-2"/>
    <s v="High"/>
    <s v="OK"/>
    <s v="Jan-2014"/>
    <s v="Loss"/>
    <s v="High Sales"/>
    <b v="1"/>
  </r>
  <r>
    <x v="0"/>
    <x v="3"/>
    <x v="5"/>
    <x v="3"/>
    <n v="2629"/>
    <n v="260"/>
    <n v="20"/>
    <n v="52580"/>
    <n v="5783.8"/>
    <n v="46796.2"/>
    <n v="26290"/>
    <n v="20506.2"/>
    <x v="0"/>
    <n v="1"/>
    <s v=" January "/>
    <x v="0"/>
    <n v="0.43820224719101125"/>
    <s v="Low"/>
    <s v="OK"/>
    <s v="Jan-2014"/>
    <s v="Profit"/>
    <s v="Low Sales"/>
    <b v="1"/>
  </r>
  <r>
    <x v="3"/>
    <x v="2"/>
    <x v="5"/>
    <x v="3"/>
    <n v="1433"/>
    <n v="260"/>
    <n v="125"/>
    <n v="179125"/>
    <n v="19703.75"/>
    <n v="159421.25"/>
    <n v="171960"/>
    <n v="-12538.75"/>
    <x v="14"/>
    <n v="5"/>
    <s v=" May "/>
    <x v="0"/>
    <n v="-7.8651685393258425E-2"/>
    <s v="High"/>
    <s v="OK"/>
    <s v="May-2014"/>
    <s v="Loss"/>
    <s v="High Sales"/>
    <b v="1"/>
  </r>
  <r>
    <x v="3"/>
    <x v="3"/>
    <x v="5"/>
    <x v="3"/>
    <n v="947"/>
    <n v="260"/>
    <n v="125"/>
    <n v="118375"/>
    <n v="13021.25"/>
    <n v="105353.75"/>
    <n v="113640"/>
    <n v="-8286.25"/>
    <x v="9"/>
    <n v="9"/>
    <s v=" September "/>
    <x v="1"/>
    <n v="-7.8651685393258425E-2"/>
    <s v="High"/>
    <s v="OK"/>
    <s v="Sep-2013"/>
    <s v="Loss"/>
    <s v="High Sales"/>
    <b v="1"/>
  </r>
  <r>
    <x v="0"/>
    <x v="3"/>
    <x v="5"/>
    <x v="3"/>
    <n v="344"/>
    <n v="260"/>
    <n v="350"/>
    <n v="120400"/>
    <n v="13244"/>
    <n v="107156"/>
    <n v="89440"/>
    <n v="17716"/>
    <x v="7"/>
    <n v="10"/>
    <s v=" October "/>
    <x v="1"/>
    <n v="0.1653290529695024"/>
    <s v="High"/>
    <s v="OK"/>
    <s v="Oct-2013"/>
    <s v="Profit"/>
    <s v="High Sales"/>
    <b v="1"/>
  </r>
  <r>
    <x v="1"/>
    <x v="3"/>
    <x v="5"/>
    <x v="3"/>
    <n v="2157"/>
    <n v="260"/>
    <n v="15"/>
    <n v="32355"/>
    <n v="3559.05"/>
    <n v="28795.95"/>
    <n v="21570"/>
    <n v="7225.95"/>
    <x v="2"/>
    <n v="12"/>
    <s v=" December "/>
    <x v="0"/>
    <n v="0.25093632958801498"/>
    <s v="Low"/>
    <s v="OK"/>
    <s v="Dec-2014"/>
    <s v="Profit"/>
    <s v="Low Sales"/>
    <b v="1"/>
  </r>
  <r>
    <x v="0"/>
    <x v="4"/>
    <x v="2"/>
    <x v="3"/>
    <n v="380"/>
    <n v="10"/>
    <n v="7"/>
    <n v="2660"/>
    <n v="292.60000000000002"/>
    <n v="2367.4"/>
    <n v="1900"/>
    <n v="467.4"/>
    <x v="9"/>
    <n v="9"/>
    <s v=" September "/>
    <x v="1"/>
    <n v="0.1974317817014446"/>
    <s v="Low"/>
    <s v="OK"/>
    <s v="Sep-2013"/>
    <s v="Profit"/>
    <s v="Low Sales"/>
    <b v="1"/>
  </r>
  <r>
    <x v="0"/>
    <x v="3"/>
    <x v="0"/>
    <x v="3"/>
    <n v="886"/>
    <n v="3"/>
    <n v="350"/>
    <n v="310100"/>
    <n v="37212"/>
    <n v="272888"/>
    <n v="230360"/>
    <n v="42528"/>
    <x v="1"/>
    <n v="6"/>
    <s v=" June "/>
    <x v="0"/>
    <n v="0.15584415584415584"/>
    <s v="High"/>
    <s v="OK"/>
    <s v="Jun-2014"/>
    <s v="Profit"/>
    <s v="High Sales"/>
    <b v="1"/>
  </r>
  <r>
    <x v="3"/>
    <x v="0"/>
    <x v="0"/>
    <x v="3"/>
    <n v="2416"/>
    <n v="3"/>
    <n v="125"/>
    <n v="302000"/>
    <n v="36240"/>
    <n v="265760"/>
    <n v="289920"/>
    <n v="-24160"/>
    <x v="9"/>
    <n v="9"/>
    <s v=" September "/>
    <x v="1"/>
    <n v="-9.0909090909090912E-2"/>
    <s v="High"/>
    <s v="OK"/>
    <s v="Sep-2013"/>
    <s v="Loss"/>
    <s v="High Sales"/>
    <b v="1"/>
  </r>
  <r>
    <x v="3"/>
    <x v="3"/>
    <x v="0"/>
    <x v="3"/>
    <n v="2156"/>
    <n v="3"/>
    <n v="125"/>
    <n v="269500"/>
    <n v="32340"/>
    <n v="237160"/>
    <n v="258720"/>
    <n v="-21560"/>
    <x v="10"/>
    <n v="10"/>
    <s v=" October "/>
    <x v="0"/>
    <n v="-9.0909090909090912E-2"/>
    <s v="High"/>
    <s v="OK"/>
    <s v="Oct-2014"/>
    <s v="Loss"/>
    <s v="High Sales"/>
    <b v="1"/>
  </r>
  <r>
    <x v="1"/>
    <x v="0"/>
    <x v="0"/>
    <x v="3"/>
    <n v="2689"/>
    <n v="3"/>
    <n v="15"/>
    <n v="40335"/>
    <n v="4840.2"/>
    <n v="35494.800000000003"/>
    <n v="26890"/>
    <n v="8604.7999999999993"/>
    <x v="15"/>
    <n v="11"/>
    <s v=" November "/>
    <x v="0"/>
    <n v="0.24242424242424238"/>
    <s v="Low"/>
    <s v="OK"/>
    <s v="Nov-2014"/>
    <s v="Profit"/>
    <s v="Low Sales"/>
    <b v="1"/>
  </r>
  <r>
    <x v="1"/>
    <x v="4"/>
    <x v="1"/>
    <x v="3"/>
    <n v="677"/>
    <n v="5"/>
    <n v="15"/>
    <n v="10155"/>
    <n v="1218.5999999999999"/>
    <n v="8936.4"/>
    <n v="6770"/>
    <n v="2166.4"/>
    <x v="3"/>
    <n v="3"/>
    <s v=" March "/>
    <x v="0"/>
    <n v="0.24242424242424243"/>
    <s v="Low"/>
    <s v="OK"/>
    <s v="Mar-2014"/>
    <s v="Profit"/>
    <s v="Low Sales"/>
    <b v="1"/>
  </r>
  <r>
    <x v="4"/>
    <x v="2"/>
    <x v="1"/>
    <x v="3"/>
    <n v="1773"/>
    <n v="5"/>
    <n v="300"/>
    <n v="531900"/>
    <n v="63828"/>
    <n v="468072"/>
    <n v="443250"/>
    <n v="24822"/>
    <x v="13"/>
    <n v="4"/>
    <s v=" April "/>
    <x v="0"/>
    <n v="5.3030303030303032E-2"/>
    <s v="High"/>
    <s v="OK"/>
    <s v="Apr-2014"/>
    <s v="Profit"/>
    <s v="High Sales"/>
    <b v="1"/>
  </r>
  <r>
    <x v="0"/>
    <x v="3"/>
    <x v="1"/>
    <x v="3"/>
    <n v="2420"/>
    <n v="5"/>
    <n v="7"/>
    <n v="16940"/>
    <n v="2032.8"/>
    <n v="14907.2"/>
    <n v="12100"/>
    <n v="2807.2"/>
    <x v="6"/>
    <n v="9"/>
    <s v=" September "/>
    <x v="0"/>
    <n v="0.18831168831168829"/>
    <s v="Low"/>
    <s v="OK"/>
    <s v="Sep-2014"/>
    <s v="Profit"/>
    <s v="Low Sales"/>
    <b v="1"/>
  </r>
  <r>
    <x v="0"/>
    <x v="0"/>
    <x v="1"/>
    <x v="3"/>
    <n v="2734"/>
    <n v="5"/>
    <n v="7"/>
    <n v="19138"/>
    <n v="2296.56"/>
    <n v="16841.439999999999"/>
    <n v="13670"/>
    <n v="3171.44"/>
    <x v="10"/>
    <n v="10"/>
    <s v=" October "/>
    <x v="0"/>
    <n v="0.18831168831168832"/>
    <s v="Low"/>
    <s v="OK"/>
    <s v="Oct-2014"/>
    <s v="Profit"/>
    <s v="Low Sales"/>
    <b v="1"/>
  </r>
  <r>
    <x v="0"/>
    <x v="3"/>
    <x v="1"/>
    <x v="3"/>
    <n v="1715"/>
    <n v="5"/>
    <n v="20"/>
    <n v="34300"/>
    <n v="4116"/>
    <n v="30184"/>
    <n v="17150"/>
    <n v="13034"/>
    <x v="7"/>
    <n v="10"/>
    <s v=" October "/>
    <x v="1"/>
    <n v="0.43181818181818182"/>
    <s v="Low"/>
    <s v="OK"/>
    <s v="Oct-2013"/>
    <s v="Profit"/>
    <s v="Low Sales"/>
    <b v="1"/>
  </r>
  <r>
    <x v="4"/>
    <x v="2"/>
    <x v="1"/>
    <x v="3"/>
    <n v="1186"/>
    <n v="5"/>
    <n v="300"/>
    <n v="355800"/>
    <n v="42696"/>
    <n v="313104"/>
    <n v="296500"/>
    <n v="16604"/>
    <x v="12"/>
    <n v="12"/>
    <s v=" December "/>
    <x v="1"/>
    <n v="5.3030303030303032E-2"/>
    <s v="High"/>
    <s v="OK"/>
    <s v="Dec-2013"/>
    <s v="Profit"/>
    <s v="High Sales"/>
    <b v="1"/>
  </r>
  <r>
    <x v="4"/>
    <x v="4"/>
    <x v="2"/>
    <x v="3"/>
    <n v="3495"/>
    <n v="10"/>
    <n v="300"/>
    <n v="1048500"/>
    <n v="125820"/>
    <n v="922680"/>
    <n v="873750"/>
    <n v="48930"/>
    <x v="0"/>
    <n v="1"/>
    <s v=" January "/>
    <x v="0"/>
    <n v="5.3030303030303032E-2"/>
    <s v="High"/>
    <s v="OK"/>
    <s v="Jan-2014"/>
    <s v="Profit"/>
    <s v="High Sales"/>
    <b v="1"/>
  </r>
  <r>
    <x v="0"/>
    <x v="3"/>
    <x v="2"/>
    <x v="3"/>
    <n v="886"/>
    <n v="10"/>
    <n v="350"/>
    <n v="310100"/>
    <n v="37212"/>
    <n v="272888"/>
    <n v="230360"/>
    <n v="42528"/>
    <x v="1"/>
    <n v="6"/>
    <s v=" June "/>
    <x v="0"/>
    <n v="0.15584415584415584"/>
    <s v="High"/>
    <s v="OK"/>
    <s v="Jun-2014"/>
    <s v="Profit"/>
    <s v="High Sales"/>
    <b v="1"/>
  </r>
  <r>
    <x v="3"/>
    <x v="3"/>
    <x v="2"/>
    <x v="3"/>
    <n v="2156"/>
    <n v="10"/>
    <n v="125"/>
    <n v="269500"/>
    <n v="32340"/>
    <n v="237160"/>
    <n v="258720"/>
    <n v="-21560"/>
    <x v="10"/>
    <n v="10"/>
    <s v=" October "/>
    <x v="0"/>
    <n v="-9.0909090909090912E-2"/>
    <s v="High"/>
    <s v="OK"/>
    <s v="Oct-2014"/>
    <s v="Loss"/>
    <s v="High Sales"/>
    <b v="1"/>
  </r>
  <r>
    <x v="0"/>
    <x v="3"/>
    <x v="2"/>
    <x v="3"/>
    <n v="905"/>
    <n v="10"/>
    <n v="20"/>
    <n v="18100"/>
    <n v="2172"/>
    <n v="15928"/>
    <n v="9050"/>
    <n v="6878"/>
    <x v="10"/>
    <n v="10"/>
    <s v=" October "/>
    <x v="0"/>
    <n v="0.43181818181818182"/>
    <s v="Low"/>
    <s v="OK"/>
    <s v="Oct-2014"/>
    <s v="Profit"/>
    <s v="Low Sales"/>
    <b v="1"/>
  </r>
  <r>
    <x v="0"/>
    <x v="3"/>
    <x v="2"/>
    <x v="3"/>
    <n v="1715"/>
    <n v="10"/>
    <n v="20"/>
    <n v="34300"/>
    <n v="4116"/>
    <n v="30184"/>
    <n v="17150"/>
    <n v="13034"/>
    <x v="7"/>
    <n v="10"/>
    <s v=" October "/>
    <x v="1"/>
    <n v="0.43181818181818182"/>
    <s v="Low"/>
    <s v="OK"/>
    <s v="Oct-2013"/>
    <s v="Profit"/>
    <s v="Low Sales"/>
    <b v="1"/>
  </r>
  <r>
    <x v="0"/>
    <x v="2"/>
    <x v="2"/>
    <x v="3"/>
    <n v="1594"/>
    <n v="10"/>
    <n v="350"/>
    <n v="557900"/>
    <n v="66948"/>
    <n v="490952"/>
    <n v="414440"/>
    <n v="76512"/>
    <x v="15"/>
    <n v="11"/>
    <s v=" November "/>
    <x v="0"/>
    <n v="0.15584415584415584"/>
    <s v="High"/>
    <s v="OK"/>
    <s v="Nov-2014"/>
    <s v="Profit"/>
    <s v="High Sales"/>
    <b v="1"/>
  </r>
  <r>
    <x v="4"/>
    <x v="1"/>
    <x v="2"/>
    <x v="3"/>
    <n v="1359"/>
    <n v="10"/>
    <n v="300"/>
    <n v="407700"/>
    <n v="48924"/>
    <n v="358776"/>
    <n v="339750"/>
    <n v="19026"/>
    <x v="15"/>
    <n v="11"/>
    <s v=" November "/>
    <x v="0"/>
    <n v="5.3030303030303032E-2"/>
    <s v="High"/>
    <s v="OK"/>
    <s v="Nov-2014"/>
    <s v="Profit"/>
    <s v="High Sales"/>
    <b v="1"/>
  </r>
  <r>
    <x v="4"/>
    <x v="3"/>
    <x v="2"/>
    <x v="3"/>
    <n v="2150"/>
    <n v="10"/>
    <n v="300"/>
    <n v="645000"/>
    <n v="77400"/>
    <n v="567600"/>
    <n v="537500"/>
    <n v="30100"/>
    <x v="15"/>
    <n v="11"/>
    <s v=" November "/>
    <x v="0"/>
    <n v="5.3030303030303032E-2"/>
    <s v="High"/>
    <s v="OK"/>
    <s v="Nov-2014"/>
    <s v="Profit"/>
    <s v="High Sales"/>
    <b v="1"/>
  </r>
  <r>
    <x v="0"/>
    <x v="3"/>
    <x v="2"/>
    <x v="3"/>
    <n v="1197"/>
    <n v="10"/>
    <n v="350"/>
    <n v="418950"/>
    <n v="50274"/>
    <n v="368676"/>
    <n v="311220"/>
    <n v="57456"/>
    <x v="15"/>
    <n v="11"/>
    <s v=" November "/>
    <x v="0"/>
    <n v="0.15584415584415584"/>
    <s v="High"/>
    <s v="OK"/>
    <s v="Nov-2014"/>
    <s v="Profit"/>
    <s v="High Sales"/>
    <b v="1"/>
  </r>
  <r>
    <x v="1"/>
    <x v="3"/>
    <x v="2"/>
    <x v="3"/>
    <n v="380"/>
    <n v="10"/>
    <n v="15"/>
    <n v="5700"/>
    <n v="684"/>
    <n v="5016"/>
    <n v="3800"/>
    <n v="1216"/>
    <x v="12"/>
    <n v="12"/>
    <s v=" December "/>
    <x v="1"/>
    <n v="0.24242424242424243"/>
    <s v="Low"/>
    <s v="OK"/>
    <s v="Dec-2013"/>
    <s v="Profit"/>
    <s v="Low Sales"/>
    <b v="1"/>
  </r>
  <r>
    <x v="0"/>
    <x v="3"/>
    <x v="2"/>
    <x v="3"/>
    <n v="1233"/>
    <n v="10"/>
    <n v="20"/>
    <n v="24660"/>
    <n v="2959.2"/>
    <n v="21700.799999999999"/>
    <n v="12330"/>
    <n v="9370.7999999999993"/>
    <x v="2"/>
    <n v="12"/>
    <s v=" December "/>
    <x v="0"/>
    <n v="0.43181818181818182"/>
    <s v="Low"/>
    <s v="OK"/>
    <s v="Dec-2014"/>
    <s v="Profit"/>
    <s v="Low Sales"/>
    <b v="1"/>
  </r>
  <r>
    <x v="0"/>
    <x v="3"/>
    <x v="3"/>
    <x v="3"/>
    <n v="1395"/>
    <n v="120"/>
    <n v="350"/>
    <n v="488250"/>
    <n v="58590"/>
    <n v="429660"/>
    <n v="362700"/>
    <n v="66960"/>
    <x v="4"/>
    <n v="7"/>
    <s v=" July "/>
    <x v="0"/>
    <n v="0.15584415584415584"/>
    <s v="High"/>
    <s v="OK"/>
    <s v="Jul-2014"/>
    <s v="Profit"/>
    <s v="High Sales"/>
    <b v="1"/>
  </r>
  <r>
    <x v="0"/>
    <x v="4"/>
    <x v="3"/>
    <x v="3"/>
    <n v="986"/>
    <n v="120"/>
    <n v="350"/>
    <n v="345100"/>
    <n v="41412"/>
    <n v="303688"/>
    <n v="256360"/>
    <n v="47328"/>
    <x v="10"/>
    <n v="10"/>
    <s v=" October "/>
    <x v="0"/>
    <n v="0.15584415584415584"/>
    <s v="High"/>
    <s v="OK"/>
    <s v="Oct-2014"/>
    <s v="Profit"/>
    <s v="High Sales"/>
    <b v="1"/>
  </r>
  <r>
    <x v="0"/>
    <x v="3"/>
    <x v="3"/>
    <x v="3"/>
    <n v="905"/>
    <n v="120"/>
    <n v="20"/>
    <n v="18100"/>
    <n v="2172"/>
    <n v="15928"/>
    <n v="9050"/>
    <n v="6878"/>
    <x v="10"/>
    <n v="10"/>
    <s v=" October "/>
    <x v="0"/>
    <n v="0.43181818181818182"/>
    <s v="Low"/>
    <s v="OK"/>
    <s v="Oct-2014"/>
    <s v="Profit"/>
    <s v="Low Sales"/>
    <b v="1"/>
  </r>
  <r>
    <x v="2"/>
    <x v="0"/>
    <x v="4"/>
    <x v="3"/>
    <n v="2109"/>
    <n v="250"/>
    <n v="12"/>
    <n v="25308"/>
    <n v="3036.96"/>
    <n v="22271.040000000001"/>
    <n v="6327"/>
    <n v="15944.04"/>
    <x v="14"/>
    <n v="5"/>
    <s v=" May "/>
    <x v="0"/>
    <n v="0.71590909090909094"/>
    <s v="Low"/>
    <s v="OK"/>
    <s v="May-2014"/>
    <s v="Profit"/>
    <s v="Low Sales"/>
    <b v="1"/>
  </r>
  <r>
    <x v="1"/>
    <x v="2"/>
    <x v="4"/>
    <x v="3"/>
    <n v="3874.5"/>
    <n v="250"/>
    <n v="15"/>
    <n v="58117.5"/>
    <n v="6974.1"/>
    <n v="51143.4"/>
    <n v="38745"/>
    <n v="12398.4"/>
    <x v="4"/>
    <n v="7"/>
    <s v=" July "/>
    <x v="0"/>
    <n v="0.2424242424242424"/>
    <s v="Medium"/>
    <s v="OK"/>
    <s v="Jul-2014"/>
    <s v="Profit"/>
    <s v="High Sales"/>
    <b v="1"/>
  </r>
  <r>
    <x v="0"/>
    <x v="0"/>
    <x v="4"/>
    <x v="3"/>
    <n v="623"/>
    <n v="250"/>
    <n v="350"/>
    <n v="218050"/>
    <n v="26166"/>
    <n v="191884"/>
    <n v="161980"/>
    <n v="29904"/>
    <x v="9"/>
    <n v="9"/>
    <s v=" September "/>
    <x v="1"/>
    <n v="0.15584415584415584"/>
    <s v="High"/>
    <s v="OK"/>
    <s v="Sep-2013"/>
    <s v="Profit"/>
    <s v="High Sales"/>
    <b v="1"/>
  </r>
  <r>
    <x v="0"/>
    <x v="4"/>
    <x v="4"/>
    <x v="3"/>
    <n v="986"/>
    <n v="250"/>
    <n v="350"/>
    <n v="345100"/>
    <n v="41412"/>
    <n v="303688"/>
    <n v="256360"/>
    <n v="47328"/>
    <x v="10"/>
    <n v="10"/>
    <s v=" October "/>
    <x v="0"/>
    <n v="0.15584415584415584"/>
    <s v="High"/>
    <s v="OK"/>
    <s v="Oct-2014"/>
    <s v="Profit"/>
    <s v="High Sales"/>
    <b v="1"/>
  </r>
  <r>
    <x v="3"/>
    <x v="4"/>
    <x v="4"/>
    <x v="3"/>
    <n v="2387"/>
    <n v="250"/>
    <n v="125"/>
    <n v="298375"/>
    <n v="35805"/>
    <n v="262570"/>
    <n v="286440"/>
    <n v="-23870"/>
    <x v="15"/>
    <n v="11"/>
    <s v=" November "/>
    <x v="0"/>
    <n v="-9.0909090909090912E-2"/>
    <s v="High"/>
    <s v="OK"/>
    <s v="Nov-2014"/>
    <s v="Loss"/>
    <s v="High Sales"/>
    <b v="1"/>
  </r>
  <r>
    <x v="0"/>
    <x v="3"/>
    <x v="4"/>
    <x v="3"/>
    <n v="1233"/>
    <n v="250"/>
    <n v="20"/>
    <n v="24660"/>
    <n v="2959.2"/>
    <n v="21700.799999999999"/>
    <n v="12330"/>
    <n v="9370.7999999999993"/>
    <x v="2"/>
    <n v="12"/>
    <s v=" December "/>
    <x v="0"/>
    <n v="0.43181818181818182"/>
    <s v="Low"/>
    <s v="OK"/>
    <s v="Dec-2014"/>
    <s v="Profit"/>
    <s v="Low Sales"/>
    <b v="1"/>
  </r>
  <r>
    <x v="0"/>
    <x v="4"/>
    <x v="5"/>
    <x v="3"/>
    <n v="270"/>
    <n v="260"/>
    <n v="350"/>
    <n v="94500"/>
    <n v="11340"/>
    <n v="83160"/>
    <n v="70200"/>
    <n v="12960"/>
    <x v="8"/>
    <n v="2"/>
    <s v=" February "/>
    <x v="0"/>
    <n v="0.15584415584415584"/>
    <s v="Medium"/>
    <s v="OK"/>
    <s v="Feb-2014"/>
    <s v="Profit"/>
    <s v="High Sales"/>
    <b v="1"/>
  </r>
  <r>
    <x v="0"/>
    <x v="2"/>
    <x v="5"/>
    <x v="3"/>
    <n v="3421.5"/>
    <n v="260"/>
    <n v="7"/>
    <n v="23950.5"/>
    <n v="2874.06"/>
    <n v="21076.44"/>
    <n v="17107.5"/>
    <n v="3968.94"/>
    <x v="4"/>
    <n v="7"/>
    <s v=" July "/>
    <x v="0"/>
    <n v="0.18831168831168832"/>
    <s v="Low"/>
    <s v="OK"/>
    <s v="Jul-2014"/>
    <s v="Profit"/>
    <s v="Low Sales"/>
    <b v="1"/>
  </r>
  <r>
    <x v="0"/>
    <x v="0"/>
    <x v="5"/>
    <x v="3"/>
    <n v="2734"/>
    <n v="260"/>
    <n v="7"/>
    <n v="19138"/>
    <n v="2296.56"/>
    <n v="16841.439999999999"/>
    <n v="13670"/>
    <n v="3171.44"/>
    <x v="10"/>
    <n v="10"/>
    <s v=" October "/>
    <x v="0"/>
    <n v="0.18831168831168832"/>
    <s v="Low"/>
    <s v="OK"/>
    <s v="Oct-2014"/>
    <s v="Profit"/>
    <s v="Low Sales"/>
    <b v="1"/>
  </r>
  <r>
    <x v="1"/>
    <x v="4"/>
    <x v="5"/>
    <x v="3"/>
    <n v="2548"/>
    <n v="260"/>
    <n v="15"/>
    <n v="38220"/>
    <n v="4586.3999999999996"/>
    <n v="33633.599999999999"/>
    <n v="25480"/>
    <n v="8153.6"/>
    <x v="11"/>
    <n v="11"/>
    <s v=" November "/>
    <x v="1"/>
    <n v="0.24242424242424246"/>
    <s v="Low"/>
    <s v="OK"/>
    <s v="Nov-2013"/>
    <s v="Profit"/>
    <s v="Low Sales"/>
    <b v="1"/>
  </r>
  <r>
    <x v="0"/>
    <x v="2"/>
    <x v="0"/>
    <x v="3"/>
    <n v="2521.5"/>
    <n v="3"/>
    <n v="20"/>
    <n v="50430"/>
    <n v="6051.6"/>
    <n v="44378.400000000001"/>
    <n v="25215"/>
    <n v="19163.400000000001"/>
    <x v="0"/>
    <n v="1"/>
    <s v=" January "/>
    <x v="0"/>
    <n v="0.43181818181818182"/>
    <s v="Low"/>
    <s v="OK"/>
    <s v="Jan-2014"/>
    <s v="Profit"/>
    <s v="Low Sales"/>
    <b v="1"/>
  </r>
  <r>
    <x v="2"/>
    <x v="3"/>
    <x v="1"/>
    <x v="3"/>
    <n v="2661"/>
    <n v="5"/>
    <n v="12"/>
    <n v="31932"/>
    <n v="3831.84"/>
    <n v="28100.16"/>
    <n v="7983"/>
    <n v="20117.16"/>
    <x v="14"/>
    <n v="5"/>
    <s v=" May "/>
    <x v="0"/>
    <n v="0.71590909090909094"/>
    <s v="Low"/>
    <s v="OK"/>
    <s v="May-2014"/>
    <s v="Profit"/>
    <s v="Low Sales"/>
    <b v="1"/>
  </r>
  <r>
    <x v="0"/>
    <x v="1"/>
    <x v="2"/>
    <x v="3"/>
    <n v="1531"/>
    <n v="10"/>
    <n v="20"/>
    <n v="30620"/>
    <n v="3674.4"/>
    <n v="26945.599999999999"/>
    <n v="15310"/>
    <n v="11635.6"/>
    <x v="2"/>
    <n v="12"/>
    <s v=" December "/>
    <x v="0"/>
    <n v="0.43181818181818188"/>
    <s v="Low"/>
    <s v="OK"/>
    <s v="Dec-2014"/>
    <s v="Profit"/>
    <s v="Low Sales"/>
    <b v="1"/>
  </r>
  <r>
    <x v="0"/>
    <x v="2"/>
    <x v="4"/>
    <x v="3"/>
    <n v="1491"/>
    <n v="250"/>
    <n v="7"/>
    <n v="10437"/>
    <n v="1252.44"/>
    <n v="9184.56"/>
    <n v="7455"/>
    <n v="1729.56"/>
    <x v="3"/>
    <n v="3"/>
    <s v=" March "/>
    <x v="0"/>
    <n v="0.18831168831168832"/>
    <s v="Low"/>
    <s v="OK"/>
    <s v="Mar-2014"/>
    <s v="Profit"/>
    <s v="Low Sales"/>
    <b v="1"/>
  </r>
  <r>
    <x v="0"/>
    <x v="1"/>
    <x v="4"/>
    <x v="3"/>
    <n v="1531"/>
    <n v="250"/>
    <n v="20"/>
    <n v="30620"/>
    <n v="3674.4"/>
    <n v="26945.599999999999"/>
    <n v="15310"/>
    <n v="11635.6"/>
    <x v="2"/>
    <n v="12"/>
    <s v=" December "/>
    <x v="0"/>
    <n v="0.43181818181818188"/>
    <s v="Low"/>
    <s v="OK"/>
    <s v="Dec-2014"/>
    <s v="Profit"/>
    <s v="Low Sales"/>
    <b v="1"/>
  </r>
  <r>
    <x v="2"/>
    <x v="0"/>
    <x v="5"/>
    <x v="3"/>
    <n v="2761"/>
    <n v="260"/>
    <n v="12"/>
    <n v="33132"/>
    <n v="3975.84"/>
    <n v="29156.16"/>
    <n v="8283"/>
    <n v="20873.16"/>
    <x v="9"/>
    <n v="9"/>
    <s v=" September "/>
    <x v="1"/>
    <n v="0.71590909090909094"/>
    <s v="Low"/>
    <s v="OK"/>
    <s v="Sep-2013"/>
    <s v="Profit"/>
    <s v="Low Sales"/>
    <b v="1"/>
  </r>
  <r>
    <x v="1"/>
    <x v="4"/>
    <x v="0"/>
    <x v="3"/>
    <n v="2567"/>
    <n v="3"/>
    <n v="15"/>
    <n v="38505"/>
    <n v="5005.6499999999996"/>
    <n v="33499.35"/>
    <n v="25670"/>
    <n v="7829.35"/>
    <x v="1"/>
    <n v="6"/>
    <s v=" June "/>
    <x v="0"/>
    <n v="0.23371647509578547"/>
    <s v="Low"/>
    <s v="OK"/>
    <s v="Jun-2014"/>
    <s v="Profit"/>
    <s v="Low Sales"/>
    <b v="1"/>
  </r>
  <r>
    <x v="1"/>
    <x v="4"/>
    <x v="4"/>
    <x v="3"/>
    <n v="2567"/>
    <n v="250"/>
    <n v="15"/>
    <n v="38505"/>
    <n v="5005.6499999999996"/>
    <n v="33499.35"/>
    <n v="25670"/>
    <n v="7829.35"/>
    <x v="1"/>
    <n v="6"/>
    <s v=" June "/>
    <x v="0"/>
    <n v="0.23371647509578547"/>
    <s v="Low"/>
    <s v="OK"/>
    <s v="Jun-2014"/>
    <s v="Profit"/>
    <s v="Low Sales"/>
    <b v="1"/>
  </r>
  <r>
    <x v="0"/>
    <x v="0"/>
    <x v="0"/>
    <x v="3"/>
    <n v="923"/>
    <n v="3"/>
    <n v="350"/>
    <n v="323050"/>
    <n v="41996.5"/>
    <n v="281053.5"/>
    <n v="239980"/>
    <n v="41073.5"/>
    <x v="3"/>
    <n v="3"/>
    <s v=" March "/>
    <x v="0"/>
    <n v="0.14614121510673234"/>
    <s v="High"/>
    <s v="OK"/>
    <s v="Mar-2014"/>
    <s v="Profit"/>
    <s v="High Sales"/>
    <b v="1"/>
  </r>
  <r>
    <x v="0"/>
    <x v="2"/>
    <x v="0"/>
    <x v="3"/>
    <n v="1790"/>
    <n v="3"/>
    <n v="350"/>
    <n v="626500"/>
    <n v="81445"/>
    <n v="545055"/>
    <n v="465400"/>
    <n v="79655"/>
    <x v="3"/>
    <n v="3"/>
    <s v=" March "/>
    <x v="0"/>
    <n v="0.14614121510673234"/>
    <s v="High"/>
    <s v="OK"/>
    <s v="Mar-2014"/>
    <s v="Profit"/>
    <s v="High Sales"/>
    <b v="1"/>
  </r>
  <r>
    <x v="0"/>
    <x v="1"/>
    <x v="0"/>
    <x v="3"/>
    <n v="442"/>
    <n v="3"/>
    <n v="20"/>
    <n v="8840"/>
    <n v="1149.2"/>
    <n v="7690.8"/>
    <n v="4420"/>
    <n v="3270.8"/>
    <x v="9"/>
    <n v="9"/>
    <s v=" September "/>
    <x v="1"/>
    <n v="0.42528735632183912"/>
    <s v="Low"/>
    <s v="OK"/>
    <s v="Sep-2013"/>
    <s v="Profit"/>
    <s v="Low Sales"/>
    <b v="1"/>
  </r>
  <r>
    <x v="0"/>
    <x v="4"/>
    <x v="1"/>
    <x v="3"/>
    <n v="982.5"/>
    <n v="5"/>
    <n v="350"/>
    <n v="343875"/>
    <n v="44703.75"/>
    <n v="299171.25"/>
    <n v="255450"/>
    <n v="43721.25"/>
    <x v="0"/>
    <n v="1"/>
    <s v=" January "/>
    <x v="0"/>
    <n v="0.14614121510673234"/>
    <s v="High"/>
    <s v="OK"/>
    <s v="Jan-2014"/>
    <s v="Profit"/>
    <s v="High Sales"/>
    <b v="1"/>
  </r>
  <r>
    <x v="0"/>
    <x v="4"/>
    <x v="1"/>
    <x v="3"/>
    <n v="1298"/>
    <n v="5"/>
    <n v="7"/>
    <n v="9086"/>
    <n v="1181.18"/>
    <n v="7904.82"/>
    <n v="6490"/>
    <n v="1414.82"/>
    <x v="8"/>
    <n v="2"/>
    <s v=" February "/>
    <x v="0"/>
    <n v="0.17898193760262726"/>
    <s v="Low"/>
    <s v="OK"/>
    <s v="Feb-2014"/>
    <s v="Profit"/>
    <s v="Low Sales"/>
    <b v="1"/>
  </r>
  <r>
    <x v="2"/>
    <x v="3"/>
    <x v="1"/>
    <x v="3"/>
    <n v="604"/>
    <n v="5"/>
    <n v="12"/>
    <n v="7248"/>
    <n v="942.24"/>
    <n v="6305.76"/>
    <n v="1812"/>
    <n v="4493.76"/>
    <x v="1"/>
    <n v="6"/>
    <s v=" June "/>
    <x v="0"/>
    <n v="0.71264367816091956"/>
    <s v="Low"/>
    <s v="OK"/>
    <s v="Jun-2014"/>
    <s v="Profit"/>
    <s v="Low Sales"/>
    <b v="1"/>
  </r>
  <r>
    <x v="0"/>
    <x v="3"/>
    <x v="1"/>
    <x v="3"/>
    <n v="2255"/>
    <n v="5"/>
    <n v="20"/>
    <n v="45100"/>
    <n v="5863"/>
    <n v="39237"/>
    <n v="22550"/>
    <n v="16687"/>
    <x v="4"/>
    <n v="7"/>
    <s v=" July "/>
    <x v="0"/>
    <n v="0.42528735632183906"/>
    <s v="Low"/>
    <s v="OK"/>
    <s v="Jul-2014"/>
    <s v="Profit"/>
    <s v="Low Sales"/>
    <b v="1"/>
  </r>
  <r>
    <x v="0"/>
    <x v="0"/>
    <x v="1"/>
    <x v="3"/>
    <n v="1249"/>
    <n v="5"/>
    <n v="20"/>
    <n v="24980"/>
    <n v="3247.4"/>
    <n v="21732.6"/>
    <n v="12490"/>
    <n v="9242.6"/>
    <x v="10"/>
    <n v="10"/>
    <s v=" October "/>
    <x v="0"/>
    <n v="0.42528735632183912"/>
    <s v="Low"/>
    <s v="OK"/>
    <s v="Oct-2014"/>
    <s v="Profit"/>
    <s v="Low Sales"/>
    <b v="1"/>
  </r>
  <r>
    <x v="0"/>
    <x v="4"/>
    <x v="2"/>
    <x v="3"/>
    <n v="1438.5"/>
    <n v="10"/>
    <n v="7"/>
    <n v="10069.5"/>
    <n v="1309.04"/>
    <n v="8760.4699999999993"/>
    <n v="7192.5"/>
    <n v="1567.96"/>
    <x v="0"/>
    <n v="1"/>
    <s v=" January "/>
    <x v="0"/>
    <n v="0.17898126470383441"/>
    <s v="Low"/>
    <s v="OK"/>
    <s v="Jan-2014"/>
    <s v="Profit"/>
    <s v="Low Sales"/>
    <b v="1"/>
  </r>
  <r>
    <x v="4"/>
    <x v="1"/>
    <x v="2"/>
    <x v="3"/>
    <n v="807"/>
    <n v="10"/>
    <n v="300"/>
    <n v="242100"/>
    <n v="31473"/>
    <n v="210627"/>
    <n v="201750"/>
    <n v="8877"/>
    <x v="0"/>
    <n v="1"/>
    <s v=" January "/>
    <x v="0"/>
    <n v="4.2145593869731802E-2"/>
    <s v="High"/>
    <s v="OK"/>
    <s v="Jan-2014"/>
    <s v="Profit"/>
    <s v="High Sales"/>
    <b v="1"/>
  </r>
  <r>
    <x v="0"/>
    <x v="4"/>
    <x v="2"/>
    <x v="3"/>
    <n v="2641"/>
    <n v="10"/>
    <n v="20"/>
    <n v="52820"/>
    <n v="6866.6"/>
    <n v="45953.4"/>
    <n v="26410"/>
    <n v="19543.400000000001"/>
    <x v="8"/>
    <n v="2"/>
    <s v=" February "/>
    <x v="0"/>
    <n v="0.42528735632183912"/>
    <s v="Low"/>
    <s v="OK"/>
    <s v="Feb-2014"/>
    <s v="Profit"/>
    <s v="Low Sales"/>
    <b v="1"/>
  </r>
  <r>
    <x v="0"/>
    <x v="1"/>
    <x v="2"/>
    <x v="3"/>
    <n v="2708"/>
    <n v="10"/>
    <n v="20"/>
    <n v="54160"/>
    <n v="7040.8"/>
    <n v="47119.199999999997"/>
    <n v="27080"/>
    <n v="20039.2"/>
    <x v="8"/>
    <n v="2"/>
    <s v=" February "/>
    <x v="0"/>
    <n v="0.42528735632183912"/>
    <s v="Low"/>
    <s v="OK"/>
    <s v="Feb-2014"/>
    <s v="Profit"/>
    <s v="Low Sales"/>
    <b v="1"/>
  </r>
  <r>
    <x v="0"/>
    <x v="0"/>
    <x v="2"/>
    <x v="3"/>
    <n v="2632"/>
    <n v="10"/>
    <n v="350"/>
    <n v="921200"/>
    <n v="119756"/>
    <n v="801444"/>
    <n v="684320"/>
    <n v="117124"/>
    <x v="1"/>
    <n v="6"/>
    <s v=" June "/>
    <x v="0"/>
    <n v="0.14614121510673234"/>
    <s v="High"/>
    <s v="OK"/>
    <s v="Jun-2014"/>
    <s v="Profit"/>
    <s v="High Sales"/>
    <b v="1"/>
  </r>
  <r>
    <x v="3"/>
    <x v="0"/>
    <x v="2"/>
    <x v="3"/>
    <n v="1583"/>
    <n v="10"/>
    <n v="125"/>
    <n v="197875"/>
    <n v="25723.75"/>
    <n v="172151.25"/>
    <n v="189960"/>
    <n v="-17808.75"/>
    <x v="1"/>
    <n v="6"/>
    <s v=" June "/>
    <x v="0"/>
    <n v="-0.10344827586206896"/>
    <s v="High"/>
    <s v="OK"/>
    <s v="Jun-2014"/>
    <s v="Loss"/>
    <s v="High Sales"/>
    <b v="1"/>
  </r>
  <r>
    <x v="2"/>
    <x v="3"/>
    <x v="2"/>
    <x v="3"/>
    <n v="571"/>
    <n v="10"/>
    <n v="12"/>
    <n v="6852"/>
    <n v="890.76"/>
    <n v="5961.24"/>
    <n v="1713"/>
    <n v="4248.24"/>
    <x v="4"/>
    <n v="7"/>
    <s v=" July "/>
    <x v="0"/>
    <n v="0.71264367816091956"/>
    <s v="Low"/>
    <s v="OK"/>
    <s v="Jul-2014"/>
    <s v="Profit"/>
    <s v="Low Sales"/>
    <b v="1"/>
  </r>
  <r>
    <x v="0"/>
    <x v="2"/>
    <x v="2"/>
    <x v="3"/>
    <n v="2696"/>
    <n v="10"/>
    <n v="7"/>
    <n v="18872"/>
    <n v="2453.36"/>
    <n v="16418.64"/>
    <n v="13480"/>
    <n v="2938.64"/>
    <x v="5"/>
    <n v="8"/>
    <s v=" August "/>
    <x v="0"/>
    <n v="0.17898193760262726"/>
    <s v="Low"/>
    <s v="OK"/>
    <s v="Aug-2014"/>
    <s v="Profit"/>
    <s v="Low Sales"/>
    <b v="1"/>
  </r>
  <r>
    <x v="1"/>
    <x v="0"/>
    <x v="2"/>
    <x v="3"/>
    <n v="1565"/>
    <n v="10"/>
    <n v="15"/>
    <n v="23475"/>
    <n v="3051.75"/>
    <n v="20423.25"/>
    <n v="15650"/>
    <n v="4773.25"/>
    <x v="10"/>
    <n v="10"/>
    <s v=" October "/>
    <x v="0"/>
    <n v="0.23371647509578544"/>
    <s v="Low"/>
    <s v="OK"/>
    <s v="Oct-2014"/>
    <s v="Profit"/>
    <s v="Low Sales"/>
    <b v="1"/>
  </r>
  <r>
    <x v="0"/>
    <x v="0"/>
    <x v="2"/>
    <x v="3"/>
    <n v="1249"/>
    <n v="10"/>
    <n v="20"/>
    <n v="24980"/>
    <n v="3247.4"/>
    <n v="21732.6"/>
    <n v="12490"/>
    <n v="9242.6"/>
    <x v="10"/>
    <n v="10"/>
    <s v=" October "/>
    <x v="0"/>
    <n v="0.42528735632183912"/>
    <s v="Low"/>
    <s v="OK"/>
    <s v="Oct-2014"/>
    <s v="Profit"/>
    <s v="Low Sales"/>
    <b v="1"/>
  </r>
  <r>
    <x v="0"/>
    <x v="1"/>
    <x v="2"/>
    <x v="3"/>
    <n v="357"/>
    <n v="10"/>
    <n v="350"/>
    <n v="124950"/>
    <n v="16243.5"/>
    <n v="108706.5"/>
    <n v="92820"/>
    <n v="15886.5"/>
    <x v="15"/>
    <n v="11"/>
    <s v=" November "/>
    <x v="0"/>
    <n v="0.14614121510673234"/>
    <s v="High"/>
    <s v="OK"/>
    <s v="Nov-2014"/>
    <s v="Profit"/>
    <s v="High Sales"/>
    <b v="1"/>
  </r>
  <r>
    <x v="2"/>
    <x v="1"/>
    <x v="2"/>
    <x v="3"/>
    <n v="1013"/>
    <n v="10"/>
    <n v="12"/>
    <n v="12156"/>
    <n v="1580.28"/>
    <n v="10575.72"/>
    <n v="3039"/>
    <n v="7536.72"/>
    <x v="2"/>
    <n v="12"/>
    <s v=" December "/>
    <x v="0"/>
    <n v="0.71264367816091956"/>
    <s v="Low"/>
    <s v="OK"/>
    <s v="Dec-2014"/>
    <s v="Profit"/>
    <s v="Low Sales"/>
    <b v="1"/>
  </r>
  <r>
    <x v="1"/>
    <x v="2"/>
    <x v="3"/>
    <x v="3"/>
    <n v="3997.5"/>
    <n v="120"/>
    <n v="15"/>
    <n v="59962.5"/>
    <n v="7795.13"/>
    <n v="52167.38"/>
    <n v="39975"/>
    <n v="12192.38"/>
    <x v="0"/>
    <n v="1"/>
    <s v=" January "/>
    <x v="0"/>
    <n v="0.2337165485404864"/>
    <s v="Medium"/>
    <s v="OK"/>
    <s v="Jan-2014"/>
    <s v="Profit"/>
    <s v="High Sales"/>
    <b v="1"/>
  </r>
  <r>
    <x v="0"/>
    <x v="0"/>
    <x v="3"/>
    <x v="3"/>
    <n v="2632"/>
    <n v="120"/>
    <n v="350"/>
    <n v="921200"/>
    <n v="119756"/>
    <n v="801444"/>
    <n v="684320"/>
    <n v="117124"/>
    <x v="1"/>
    <n v="6"/>
    <s v=" June "/>
    <x v="0"/>
    <n v="0.14614121510673234"/>
    <s v="High"/>
    <s v="OK"/>
    <s v="Jun-2014"/>
    <s v="Profit"/>
    <s v="High Sales"/>
    <b v="1"/>
  </r>
  <r>
    <x v="0"/>
    <x v="2"/>
    <x v="3"/>
    <x v="3"/>
    <n v="1190"/>
    <n v="120"/>
    <n v="7"/>
    <n v="8330"/>
    <n v="1082.9000000000001"/>
    <n v="7247.1"/>
    <n v="5950"/>
    <n v="1297.0999999999999"/>
    <x v="1"/>
    <n v="6"/>
    <s v=" June "/>
    <x v="0"/>
    <n v="0.17898193760262723"/>
    <s v="Low"/>
    <s v="OK"/>
    <s v="Jun-2014"/>
    <s v="Profit"/>
    <s v="Low Sales"/>
    <b v="1"/>
  </r>
  <r>
    <x v="2"/>
    <x v="3"/>
    <x v="3"/>
    <x v="3"/>
    <n v="604"/>
    <n v="120"/>
    <n v="12"/>
    <n v="7248"/>
    <n v="942.24"/>
    <n v="6305.76"/>
    <n v="1812"/>
    <n v="4493.76"/>
    <x v="1"/>
    <n v="6"/>
    <s v=" June "/>
    <x v="0"/>
    <n v="0.71264367816091956"/>
    <s v="Low"/>
    <s v="OK"/>
    <s v="Jun-2014"/>
    <s v="Profit"/>
    <s v="Low Sales"/>
    <b v="1"/>
  </r>
  <r>
    <x v="1"/>
    <x v="1"/>
    <x v="3"/>
    <x v="3"/>
    <n v="660"/>
    <n v="120"/>
    <n v="15"/>
    <n v="9900"/>
    <n v="1287"/>
    <n v="8613"/>
    <n v="6600"/>
    <n v="2013"/>
    <x v="9"/>
    <n v="9"/>
    <s v=" September "/>
    <x v="1"/>
    <n v="0.23371647509578544"/>
    <s v="Low"/>
    <s v="OK"/>
    <s v="Sep-2013"/>
    <s v="Profit"/>
    <s v="Low Sales"/>
    <b v="1"/>
  </r>
  <r>
    <x v="2"/>
    <x v="3"/>
    <x v="3"/>
    <x v="3"/>
    <n v="410"/>
    <n v="120"/>
    <n v="12"/>
    <n v="4920"/>
    <n v="639.6"/>
    <n v="4280.3999999999996"/>
    <n v="1230"/>
    <n v="3050.4"/>
    <x v="10"/>
    <n v="10"/>
    <s v=" October "/>
    <x v="0"/>
    <n v="0.71264367816091967"/>
    <s v="Low"/>
    <s v="OK"/>
    <s v="Oct-2014"/>
    <s v="Profit"/>
    <s v="Low Sales"/>
    <b v="1"/>
  </r>
  <r>
    <x v="4"/>
    <x v="3"/>
    <x v="3"/>
    <x v="3"/>
    <n v="2605"/>
    <n v="120"/>
    <n v="300"/>
    <n v="781500"/>
    <n v="101595"/>
    <n v="679905"/>
    <n v="651250"/>
    <n v="28655"/>
    <x v="11"/>
    <n v="11"/>
    <s v=" November "/>
    <x v="1"/>
    <n v="4.2145593869731802E-2"/>
    <s v="High"/>
    <s v="OK"/>
    <s v="Nov-2013"/>
    <s v="Profit"/>
    <s v="High Sales"/>
    <b v="1"/>
  </r>
  <r>
    <x v="2"/>
    <x v="1"/>
    <x v="3"/>
    <x v="3"/>
    <n v="1013"/>
    <n v="120"/>
    <n v="12"/>
    <n v="12156"/>
    <n v="1580.28"/>
    <n v="10575.72"/>
    <n v="3039"/>
    <n v="7536.72"/>
    <x v="2"/>
    <n v="12"/>
    <s v=" December "/>
    <x v="0"/>
    <n v="0.71264367816091956"/>
    <s v="Low"/>
    <s v="OK"/>
    <s v="Dec-2014"/>
    <s v="Profit"/>
    <s v="Low Sales"/>
    <b v="1"/>
  </r>
  <r>
    <x v="3"/>
    <x v="0"/>
    <x v="4"/>
    <x v="3"/>
    <n v="1583"/>
    <n v="250"/>
    <n v="125"/>
    <n v="197875"/>
    <n v="25723.75"/>
    <n v="172151.25"/>
    <n v="189960"/>
    <n v="-17808.75"/>
    <x v="1"/>
    <n v="6"/>
    <s v=" June "/>
    <x v="0"/>
    <n v="-0.10344827586206896"/>
    <s v="High"/>
    <s v="OK"/>
    <s v="Jun-2014"/>
    <s v="Loss"/>
    <s v="High Sales"/>
    <b v="1"/>
  </r>
  <r>
    <x v="1"/>
    <x v="0"/>
    <x v="4"/>
    <x v="3"/>
    <n v="1565"/>
    <n v="250"/>
    <n v="15"/>
    <n v="23475"/>
    <n v="3051.75"/>
    <n v="20423.25"/>
    <n v="15650"/>
    <n v="4773.25"/>
    <x v="10"/>
    <n v="10"/>
    <s v=" October "/>
    <x v="0"/>
    <n v="0.23371647509578544"/>
    <s v="Low"/>
    <s v="OK"/>
    <s v="Oct-2014"/>
    <s v="Profit"/>
    <s v="Low Sales"/>
    <b v="1"/>
  </r>
  <r>
    <x v="3"/>
    <x v="0"/>
    <x v="5"/>
    <x v="3"/>
    <n v="1659"/>
    <n v="260"/>
    <n v="125"/>
    <n v="207375"/>
    <n v="26958.75"/>
    <n v="180416.25"/>
    <n v="199080"/>
    <n v="-18663.75"/>
    <x v="0"/>
    <n v="1"/>
    <s v=" January "/>
    <x v="0"/>
    <n v="-0.10344827586206896"/>
    <s v="High"/>
    <s v="OK"/>
    <s v="Jan-2014"/>
    <s v="Loss"/>
    <s v="High Sales"/>
    <b v="1"/>
  </r>
  <r>
    <x v="0"/>
    <x v="2"/>
    <x v="5"/>
    <x v="3"/>
    <n v="1190"/>
    <n v="260"/>
    <n v="7"/>
    <n v="8330"/>
    <n v="1082.9000000000001"/>
    <n v="7247.1"/>
    <n v="5950"/>
    <n v="1297.0999999999999"/>
    <x v="1"/>
    <n v="6"/>
    <s v=" June "/>
    <x v="0"/>
    <n v="0.17898193760262723"/>
    <s v="Low"/>
    <s v="OK"/>
    <s v="Jun-2014"/>
    <s v="Profit"/>
    <s v="Low Sales"/>
    <b v="1"/>
  </r>
  <r>
    <x v="2"/>
    <x v="3"/>
    <x v="5"/>
    <x v="3"/>
    <n v="410"/>
    <n v="260"/>
    <n v="12"/>
    <n v="4920"/>
    <n v="639.6"/>
    <n v="4280.3999999999996"/>
    <n v="1230"/>
    <n v="3050.4"/>
    <x v="10"/>
    <n v="10"/>
    <s v=" October "/>
    <x v="0"/>
    <n v="0.71264367816091967"/>
    <s v="Low"/>
    <s v="OK"/>
    <s v="Oct-2014"/>
    <s v="Profit"/>
    <s v="Low Sales"/>
    <b v="1"/>
  </r>
  <r>
    <x v="2"/>
    <x v="1"/>
    <x v="5"/>
    <x v="3"/>
    <n v="1770"/>
    <n v="260"/>
    <n v="12"/>
    <n v="21240"/>
    <n v="2761.2"/>
    <n v="18478.8"/>
    <n v="5310"/>
    <n v="13168.8"/>
    <x v="12"/>
    <n v="12"/>
    <s v=" December "/>
    <x v="1"/>
    <n v="0.71264367816091956"/>
    <s v="Low"/>
    <s v="OK"/>
    <s v="Dec-2013"/>
    <s v="Profit"/>
    <s v="Low Sales"/>
    <b v="1"/>
  </r>
  <r>
    <x v="0"/>
    <x v="3"/>
    <x v="0"/>
    <x v="3"/>
    <n v="2579"/>
    <n v="3"/>
    <n v="20"/>
    <n v="51580"/>
    <n v="7221.2"/>
    <n v="44358.8"/>
    <n v="25790"/>
    <n v="18568.8"/>
    <x v="13"/>
    <n v="4"/>
    <s v=" April "/>
    <x v="0"/>
    <n v="0.41860465116279066"/>
    <s v="Low"/>
    <s v="OK"/>
    <s v="Apr-2014"/>
    <s v="Profit"/>
    <s v="Low Sales"/>
    <b v="1"/>
  </r>
  <r>
    <x v="0"/>
    <x v="4"/>
    <x v="0"/>
    <x v="3"/>
    <n v="1743"/>
    <n v="3"/>
    <n v="20"/>
    <n v="34860"/>
    <n v="4880.3999999999996"/>
    <n v="29979.599999999999"/>
    <n v="17430"/>
    <n v="12549.6"/>
    <x v="14"/>
    <n v="5"/>
    <s v=" May "/>
    <x v="0"/>
    <n v="0.41860465116279072"/>
    <s v="Low"/>
    <s v="OK"/>
    <s v="May-2014"/>
    <s v="Profit"/>
    <s v="Low Sales"/>
    <b v="1"/>
  </r>
  <r>
    <x v="0"/>
    <x v="4"/>
    <x v="0"/>
    <x v="3"/>
    <n v="2996"/>
    <n v="3"/>
    <n v="7"/>
    <n v="20972"/>
    <n v="2936.08"/>
    <n v="18035.919999999998"/>
    <n v="14980"/>
    <n v="3055.92"/>
    <x v="7"/>
    <n v="10"/>
    <s v=" October "/>
    <x v="1"/>
    <n v="0.16943521594684388"/>
    <s v="Low"/>
    <s v="OK"/>
    <s v="Oct-2013"/>
    <s v="Profit"/>
    <s v="Low Sales"/>
    <b v="1"/>
  </r>
  <r>
    <x v="0"/>
    <x v="1"/>
    <x v="0"/>
    <x v="3"/>
    <n v="280"/>
    <n v="3"/>
    <n v="7"/>
    <n v="1960"/>
    <n v="274.39999999999998"/>
    <n v="1685.6"/>
    <n v="1400"/>
    <n v="285.60000000000002"/>
    <x v="2"/>
    <n v="12"/>
    <s v=" December "/>
    <x v="0"/>
    <n v="0.16943521594684388"/>
    <s v="Low"/>
    <s v="OK"/>
    <s v="Dec-2014"/>
    <s v="Profit"/>
    <s v="Low Sales"/>
    <b v="1"/>
  </r>
  <r>
    <x v="0"/>
    <x v="2"/>
    <x v="1"/>
    <x v="3"/>
    <n v="293"/>
    <n v="5"/>
    <n v="7"/>
    <n v="2051"/>
    <n v="287.14"/>
    <n v="1763.86"/>
    <n v="1465"/>
    <n v="298.86"/>
    <x v="8"/>
    <n v="2"/>
    <s v=" February "/>
    <x v="0"/>
    <n v="0.16943521594684388"/>
    <s v="Low"/>
    <s v="OK"/>
    <s v="Feb-2014"/>
    <s v="Profit"/>
    <s v="Low Sales"/>
    <b v="1"/>
  </r>
  <r>
    <x v="0"/>
    <x v="4"/>
    <x v="1"/>
    <x v="3"/>
    <n v="2996"/>
    <n v="5"/>
    <n v="7"/>
    <n v="20972"/>
    <n v="2936.08"/>
    <n v="18035.919999999998"/>
    <n v="14980"/>
    <n v="3055.92"/>
    <x v="7"/>
    <n v="10"/>
    <s v=" October "/>
    <x v="1"/>
    <n v="0.16943521594684388"/>
    <s v="Low"/>
    <s v="OK"/>
    <s v="Oct-2013"/>
    <s v="Profit"/>
    <s v="Low Sales"/>
    <b v="1"/>
  </r>
  <r>
    <x v="1"/>
    <x v="1"/>
    <x v="2"/>
    <x v="3"/>
    <n v="278"/>
    <n v="10"/>
    <n v="15"/>
    <n v="4170"/>
    <n v="583.79999999999995"/>
    <n v="3586.2"/>
    <n v="2780"/>
    <n v="806.2"/>
    <x v="8"/>
    <n v="2"/>
    <s v=" February "/>
    <x v="0"/>
    <n v="0.22480620155038761"/>
    <s v="Low"/>
    <s v="OK"/>
    <s v="Feb-2014"/>
    <s v="Profit"/>
    <s v="Low Sales"/>
    <b v="1"/>
  </r>
  <r>
    <x v="0"/>
    <x v="0"/>
    <x v="2"/>
    <x v="3"/>
    <n v="2428"/>
    <n v="10"/>
    <n v="20"/>
    <n v="48560"/>
    <n v="6798.4"/>
    <n v="41761.599999999999"/>
    <n v="24280"/>
    <n v="17481.599999999999"/>
    <x v="3"/>
    <n v="3"/>
    <s v=" March "/>
    <x v="0"/>
    <n v="0.41860465116279066"/>
    <s v="Low"/>
    <s v="OK"/>
    <s v="Mar-2014"/>
    <s v="Profit"/>
    <s v="Low Sales"/>
    <b v="1"/>
  </r>
  <r>
    <x v="1"/>
    <x v="4"/>
    <x v="2"/>
    <x v="3"/>
    <n v="1767"/>
    <n v="10"/>
    <n v="15"/>
    <n v="26505"/>
    <n v="3710.7"/>
    <n v="22794.3"/>
    <n v="17670"/>
    <n v="5124.3"/>
    <x v="6"/>
    <n v="9"/>
    <s v=" September "/>
    <x v="0"/>
    <n v="0.22480620155038761"/>
    <s v="Low"/>
    <s v="OK"/>
    <s v="Sep-2014"/>
    <s v="Profit"/>
    <s v="Low Sales"/>
    <b v="1"/>
  </r>
  <r>
    <x v="2"/>
    <x v="2"/>
    <x v="2"/>
    <x v="3"/>
    <n v="1393"/>
    <n v="10"/>
    <n v="12"/>
    <n v="16716"/>
    <n v="2340.2399999999998"/>
    <n v="14375.76"/>
    <n v="4179"/>
    <n v="10196.76"/>
    <x v="10"/>
    <n v="10"/>
    <s v=" October "/>
    <x v="0"/>
    <n v="0.70930232558139539"/>
    <s v="Low"/>
    <s v="OK"/>
    <s v="Oct-2014"/>
    <s v="Profit"/>
    <s v="Low Sales"/>
    <b v="1"/>
  </r>
  <r>
    <x v="0"/>
    <x v="1"/>
    <x v="4"/>
    <x v="3"/>
    <n v="280"/>
    <n v="250"/>
    <n v="7"/>
    <n v="1960"/>
    <n v="274.39999999999998"/>
    <n v="1685.6"/>
    <n v="1400"/>
    <n v="285.60000000000002"/>
    <x v="2"/>
    <n v="12"/>
    <s v=" December "/>
    <x v="0"/>
    <n v="0.16943521594684388"/>
    <s v="Low"/>
    <s v="OK"/>
    <s v="Dec-2014"/>
    <s v="Profit"/>
    <s v="Low Sales"/>
    <b v="1"/>
  </r>
  <r>
    <x v="2"/>
    <x v="2"/>
    <x v="5"/>
    <x v="3"/>
    <n v="1393"/>
    <n v="260"/>
    <n v="12"/>
    <n v="16716"/>
    <n v="2340.2399999999998"/>
    <n v="14375.76"/>
    <n v="4179"/>
    <n v="10196.76"/>
    <x v="10"/>
    <n v="10"/>
    <s v=" October "/>
    <x v="0"/>
    <n v="0.70930232558139539"/>
    <s v="Low"/>
    <s v="OK"/>
    <s v="Oct-2014"/>
    <s v="Profit"/>
    <s v="Low Sales"/>
    <b v="1"/>
  </r>
  <r>
    <x v="2"/>
    <x v="4"/>
    <x v="5"/>
    <x v="3"/>
    <n v="2015"/>
    <n v="260"/>
    <n v="12"/>
    <n v="24180"/>
    <n v="3385.2"/>
    <n v="20794.8"/>
    <n v="6045"/>
    <n v="14749.8"/>
    <x v="12"/>
    <n v="12"/>
    <s v=" December "/>
    <x v="1"/>
    <n v="0.70930232558139539"/>
    <s v="Low"/>
    <s v="OK"/>
    <s v="Dec-2013"/>
    <s v="Profit"/>
    <s v="Low Sales"/>
    <b v="1"/>
  </r>
  <r>
    <x v="4"/>
    <x v="3"/>
    <x v="0"/>
    <x v="3"/>
    <n v="801"/>
    <n v="3"/>
    <n v="300"/>
    <n v="240300"/>
    <n v="33642"/>
    <n v="206658"/>
    <n v="200250"/>
    <n v="6408"/>
    <x v="4"/>
    <n v="7"/>
    <s v=" July "/>
    <x v="0"/>
    <n v="3.1007751937984496E-2"/>
    <s v="High"/>
    <s v="OK"/>
    <s v="Jul-2014"/>
    <s v="Profit"/>
    <s v="High Sales"/>
    <b v="1"/>
  </r>
  <r>
    <x v="3"/>
    <x v="2"/>
    <x v="0"/>
    <x v="3"/>
    <n v="1023"/>
    <n v="3"/>
    <n v="125"/>
    <n v="127875"/>
    <n v="17902.5"/>
    <n v="109972.5"/>
    <n v="122760"/>
    <n v="-12787.5"/>
    <x v="9"/>
    <n v="9"/>
    <s v=" September "/>
    <x v="1"/>
    <n v="-0.11627906976744186"/>
    <s v="High"/>
    <s v="OK"/>
    <s v="Sep-2013"/>
    <s v="Loss"/>
    <s v="High Sales"/>
    <b v="1"/>
  </r>
  <r>
    <x v="4"/>
    <x v="0"/>
    <x v="0"/>
    <x v="3"/>
    <n v="1496"/>
    <n v="3"/>
    <n v="300"/>
    <n v="448800"/>
    <n v="62832"/>
    <n v="385968"/>
    <n v="374000"/>
    <n v="11968"/>
    <x v="10"/>
    <n v="10"/>
    <s v=" October "/>
    <x v="0"/>
    <n v="3.1007751937984496E-2"/>
    <s v="High"/>
    <s v="OK"/>
    <s v="Oct-2014"/>
    <s v="Profit"/>
    <s v="High Sales"/>
    <b v="1"/>
  </r>
  <r>
    <x v="4"/>
    <x v="4"/>
    <x v="0"/>
    <x v="3"/>
    <n v="1010"/>
    <n v="3"/>
    <n v="300"/>
    <n v="303000"/>
    <n v="42420"/>
    <n v="260580"/>
    <n v="252500"/>
    <n v="8080"/>
    <x v="10"/>
    <n v="10"/>
    <s v=" October "/>
    <x v="0"/>
    <n v="3.1007751937984496E-2"/>
    <s v="High"/>
    <s v="OK"/>
    <s v="Oct-2014"/>
    <s v="Profit"/>
    <s v="High Sales"/>
    <b v="1"/>
  </r>
  <r>
    <x v="1"/>
    <x v="1"/>
    <x v="0"/>
    <x v="3"/>
    <n v="1513"/>
    <n v="3"/>
    <n v="15"/>
    <n v="22695"/>
    <n v="3177.3"/>
    <n v="19517.7"/>
    <n v="15130"/>
    <n v="4387.7"/>
    <x v="15"/>
    <n v="11"/>
    <s v=" November "/>
    <x v="0"/>
    <n v="0.22480620155038758"/>
    <s v="Low"/>
    <s v="OK"/>
    <s v="Nov-2014"/>
    <s v="Profit"/>
    <s v="Low Sales"/>
    <b v="1"/>
  </r>
  <r>
    <x v="1"/>
    <x v="0"/>
    <x v="0"/>
    <x v="3"/>
    <n v="2300"/>
    <n v="3"/>
    <n v="15"/>
    <n v="34500"/>
    <n v="4830"/>
    <n v="29670"/>
    <n v="23000"/>
    <n v="6670"/>
    <x v="2"/>
    <n v="12"/>
    <s v=" December "/>
    <x v="0"/>
    <n v="0.22480620155038761"/>
    <s v="Low"/>
    <s v="OK"/>
    <s v="Dec-2014"/>
    <s v="Profit"/>
    <s v="Low Sales"/>
    <b v="1"/>
  </r>
  <r>
    <x v="3"/>
    <x v="3"/>
    <x v="0"/>
    <x v="3"/>
    <n v="2821"/>
    <n v="3"/>
    <n v="125"/>
    <n v="352625"/>
    <n v="49367.5"/>
    <n v="303257.5"/>
    <n v="338520"/>
    <n v="-35262.5"/>
    <x v="12"/>
    <n v="12"/>
    <s v=" December "/>
    <x v="1"/>
    <n v="-0.11627906976744186"/>
    <s v="High"/>
    <s v="OK"/>
    <s v="Dec-2013"/>
    <s v="Loss"/>
    <s v="High Sales"/>
    <b v="1"/>
  </r>
  <r>
    <x v="0"/>
    <x v="0"/>
    <x v="1"/>
    <x v="3"/>
    <n v="2227.5"/>
    <n v="5"/>
    <n v="350"/>
    <n v="779625"/>
    <n v="109147.5"/>
    <n v="670477.5"/>
    <n v="579150"/>
    <n v="91327.5"/>
    <x v="0"/>
    <n v="1"/>
    <s v=" January "/>
    <x v="0"/>
    <n v="0.13621262458471761"/>
    <s v="High"/>
    <s v="OK"/>
    <s v="Jan-2014"/>
    <s v="Profit"/>
    <s v="High Sales"/>
    <b v="1"/>
  </r>
  <r>
    <x v="0"/>
    <x v="1"/>
    <x v="1"/>
    <x v="3"/>
    <n v="1199"/>
    <n v="5"/>
    <n v="350"/>
    <n v="419650"/>
    <n v="58751"/>
    <n v="360899"/>
    <n v="311740"/>
    <n v="49159"/>
    <x v="13"/>
    <n v="4"/>
    <s v=" April "/>
    <x v="0"/>
    <n v="0.13621262458471761"/>
    <s v="High"/>
    <s v="OK"/>
    <s v="Apr-2014"/>
    <s v="Profit"/>
    <s v="High Sales"/>
    <b v="1"/>
  </r>
  <r>
    <x v="0"/>
    <x v="0"/>
    <x v="1"/>
    <x v="3"/>
    <n v="200"/>
    <n v="5"/>
    <n v="350"/>
    <n v="70000"/>
    <n v="9800"/>
    <n v="60200"/>
    <n v="52000"/>
    <n v="8200"/>
    <x v="14"/>
    <n v="5"/>
    <s v=" May "/>
    <x v="0"/>
    <n v="0.13621262458471761"/>
    <s v="Medium"/>
    <s v="OK"/>
    <s v="May-2014"/>
    <s v="Profit"/>
    <s v="High Sales"/>
    <b v="1"/>
  </r>
  <r>
    <x v="0"/>
    <x v="0"/>
    <x v="1"/>
    <x v="3"/>
    <n v="388"/>
    <n v="5"/>
    <n v="7"/>
    <n v="2716"/>
    <n v="380.24"/>
    <n v="2335.7600000000002"/>
    <n v="1940"/>
    <n v="395.76"/>
    <x v="6"/>
    <n v="9"/>
    <s v=" September "/>
    <x v="0"/>
    <n v="0.16943521594684383"/>
    <s v="Low"/>
    <s v="OK"/>
    <s v="Sep-2014"/>
    <s v="Profit"/>
    <s v="Low Sales"/>
    <b v="1"/>
  </r>
  <r>
    <x v="0"/>
    <x v="3"/>
    <x v="1"/>
    <x v="3"/>
    <n v="1727"/>
    <n v="5"/>
    <n v="7"/>
    <n v="12089"/>
    <n v="1692.46"/>
    <n v="10396.540000000001"/>
    <n v="8635"/>
    <n v="1761.54"/>
    <x v="7"/>
    <n v="10"/>
    <s v=" October "/>
    <x v="1"/>
    <n v="0.16943521594684383"/>
    <s v="Low"/>
    <s v="OK"/>
    <s v="Oct-2013"/>
    <s v="Profit"/>
    <s v="Low Sales"/>
    <b v="1"/>
  </r>
  <r>
    <x v="1"/>
    <x v="0"/>
    <x v="1"/>
    <x v="3"/>
    <n v="2300"/>
    <n v="5"/>
    <n v="15"/>
    <n v="34500"/>
    <n v="4830"/>
    <n v="29670"/>
    <n v="23000"/>
    <n v="6670"/>
    <x v="2"/>
    <n v="12"/>
    <s v=" December "/>
    <x v="0"/>
    <n v="0.22480620155038761"/>
    <s v="Low"/>
    <s v="OK"/>
    <s v="Dec-2014"/>
    <s v="Profit"/>
    <s v="Low Sales"/>
    <b v="1"/>
  </r>
  <r>
    <x v="0"/>
    <x v="3"/>
    <x v="2"/>
    <x v="3"/>
    <n v="260"/>
    <n v="10"/>
    <n v="20"/>
    <n v="5200"/>
    <n v="728"/>
    <n v="4472"/>
    <n v="2600"/>
    <n v="1872"/>
    <x v="8"/>
    <n v="2"/>
    <s v=" February "/>
    <x v="0"/>
    <n v="0.41860465116279072"/>
    <s v="Low"/>
    <s v="OK"/>
    <s v="Feb-2014"/>
    <s v="Profit"/>
    <s v="Low Sales"/>
    <b v="1"/>
  </r>
  <r>
    <x v="1"/>
    <x v="0"/>
    <x v="2"/>
    <x v="3"/>
    <n v="2470"/>
    <n v="10"/>
    <n v="15"/>
    <n v="37050"/>
    <n v="5187"/>
    <n v="31863"/>
    <n v="24700"/>
    <n v="7163"/>
    <x v="9"/>
    <n v="9"/>
    <s v=" September "/>
    <x v="1"/>
    <n v="0.22480620155038761"/>
    <s v="Low"/>
    <s v="OK"/>
    <s v="Sep-2013"/>
    <s v="Profit"/>
    <s v="Low Sales"/>
    <b v="1"/>
  </r>
  <r>
    <x v="1"/>
    <x v="0"/>
    <x v="2"/>
    <x v="3"/>
    <n v="1743"/>
    <n v="10"/>
    <n v="15"/>
    <n v="26145"/>
    <n v="3660.3"/>
    <n v="22484.7"/>
    <n v="17430"/>
    <n v="5054.7"/>
    <x v="7"/>
    <n v="10"/>
    <s v=" October "/>
    <x v="1"/>
    <n v="0.22480620155038758"/>
    <s v="Low"/>
    <s v="OK"/>
    <s v="Oct-2013"/>
    <s v="Profit"/>
    <s v="Low Sales"/>
    <b v="1"/>
  </r>
  <r>
    <x v="2"/>
    <x v="4"/>
    <x v="2"/>
    <x v="3"/>
    <n v="2914"/>
    <n v="10"/>
    <n v="12"/>
    <n v="34968"/>
    <n v="4895.5200000000004"/>
    <n v="30072.48"/>
    <n v="8742"/>
    <n v="21330.48"/>
    <x v="10"/>
    <n v="10"/>
    <s v=" October "/>
    <x v="0"/>
    <n v="0.70930232558139539"/>
    <s v="Low"/>
    <s v="OK"/>
    <s v="Oct-2014"/>
    <s v="Profit"/>
    <s v="Low Sales"/>
    <b v="1"/>
  </r>
  <r>
    <x v="0"/>
    <x v="2"/>
    <x v="2"/>
    <x v="3"/>
    <n v="1731"/>
    <n v="10"/>
    <n v="7"/>
    <n v="12117"/>
    <n v="1696.38"/>
    <n v="10420.620000000001"/>
    <n v="8655"/>
    <n v="1765.62"/>
    <x v="10"/>
    <n v="10"/>
    <s v=" October "/>
    <x v="0"/>
    <n v="0.16943521594684383"/>
    <s v="Low"/>
    <s v="OK"/>
    <s v="Oct-2014"/>
    <s v="Profit"/>
    <s v="Low Sales"/>
    <b v="1"/>
  </r>
  <r>
    <x v="0"/>
    <x v="0"/>
    <x v="2"/>
    <x v="3"/>
    <n v="700"/>
    <n v="10"/>
    <n v="350"/>
    <n v="245000"/>
    <n v="34300"/>
    <n v="210700"/>
    <n v="182000"/>
    <n v="28700"/>
    <x v="15"/>
    <n v="11"/>
    <s v=" November "/>
    <x v="0"/>
    <n v="0.13621262458471761"/>
    <s v="High"/>
    <s v="OK"/>
    <s v="Nov-2014"/>
    <s v="Profit"/>
    <s v="High Sales"/>
    <b v="1"/>
  </r>
  <r>
    <x v="2"/>
    <x v="0"/>
    <x v="2"/>
    <x v="3"/>
    <n v="2222"/>
    <n v="10"/>
    <n v="12"/>
    <n v="26664"/>
    <n v="3732.96"/>
    <n v="22931.040000000001"/>
    <n v="6666"/>
    <n v="16265.04"/>
    <x v="11"/>
    <n v="11"/>
    <s v=" November "/>
    <x v="1"/>
    <n v="0.70930232558139539"/>
    <s v="Low"/>
    <s v="OK"/>
    <s v="Nov-2013"/>
    <s v="Profit"/>
    <s v="Low Sales"/>
    <b v="1"/>
  </r>
  <r>
    <x v="0"/>
    <x v="4"/>
    <x v="2"/>
    <x v="3"/>
    <n v="1177"/>
    <n v="10"/>
    <n v="350"/>
    <n v="411950"/>
    <n v="57673"/>
    <n v="354277"/>
    <n v="306020"/>
    <n v="48257"/>
    <x v="15"/>
    <n v="11"/>
    <s v=" November "/>
    <x v="0"/>
    <n v="0.13621262458471761"/>
    <s v="High"/>
    <s v="OK"/>
    <s v="Nov-2014"/>
    <s v="Profit"/>
    <s v="High Sales"/>
    <b v="1"/>
  </r>
  <r>
    <x v="0"/>
    <x v="2"/>
    <x v="2"/>
    <x v="3"/>
    <n v="1922"/>
    <n v="10"/>
    <n v="350"/>
    <n v="672700"/>
    <n v="94178"/>
    <n v="578522"/>
    <n v="499720"/>
    <n v="78802"/>
    <x v="11"/>
    <n v="11"/>
    <s v=" November "/>
    <x v="1"/>
    <n v="0.13621262458471761"/>
    <s v="High"/>
    <s v="OK"/>
    <s v="Nov-2013"/>
    <s v="Profit"/>
    <s v="High Sales"/>
    <b v="1"/>
  </r>
  <r>
    <x v="3"/>
    <x v="3"/>
    <x v="3"/>
    <x v="3"/>
    <n v="1575"/>
    <n v="120"/>
    <n v="125"/>
    <n v="196875"/>
    <n v="27562.5"/>
    <n v="169312.5"/>
    <n v="189000"/>
    <n v="-19687.5"/>
    <x v="8"/>
    <n v="2"/>
    <s v=" February "/>
    <x v="0"/>
    <n v="-0.11627906976744186"/>
    <s v="High"/>
    <s v="OK"/>
    <s v="Feb-2014"/>
    <s v="Loss"/>
    <s v="High Sales"/>
    <b v="1"/>
  </r>
  <r>
    <x v="0"/>
    <x v="4"/>
    <x v="3"/>
    <x v="3"/>
    <n v="606"/>
    <n v="120"/>
    <n v="20"/>
    <n v="12120"/>
    <n v="1696.8"/>
    <n v="10423.200000000001"/>
    <n v="6060"/>
    <n v="4363.2"/>
    <x v="13"/>
    <n v="4"/>
    <s v=" April "/>
    <x v="0"/>
    <n v="0.41860465116279066"/>
    <s v="Low"/>
    <s v="OK"/>
    <s v="Apr-2014"/>
    <s v="Profit"/>
    <s v="Low Sales"/>
    <b v="1"/>
  </r>
  <r>
    <x v="4"/>
    <x v="4"/>
    <x v="3"/>
    <x v="3"/>
    <n v="2460"/>
    <n v="120"/>
    <n v="300"/>
    <n v="738000"/>
    <n v="103320"/>
    <n v="634680"/>
    <n v="615000"/>
    <n v="19680"/>
    <x v="4"/>
    <n v="7"/>
    <s v=" July "/>
    <x v="0"/>
    <n v="3.1007751937984496E-2"/>
    <s v="High"/>
    <s v="OK"/>
    <s v="Jul-2014"/>
    <s v="Profit"/>
    <s v="High Sales"/>
    <b v="1"/>
  </r>
  <r>
    <x v="4"/>
    <x v="0"/>
    <x v="3"/>
    <x v="3"/>
    <n v="269"/>
    <n v="120"/>
    <n v="300"/>
    <n v="80700"/>
    <n v="11298"/>
    <n v="69402"/>
    <n v="67250"/>
    <n v="2152"/>
    <x v="7"/>
    <n v="10"/>
    <s v=" October "/>
    <x v="1"/>
    <n v="3.1007751937984496E-2"/>
    <s v="Medium"/>
    <s v="OK"/>
    <s v="Oct-2013"/>
    <s v="Profit"/>
    <s v="High Sales"/>
    <b v="1"/>
  </r>
  <r>
    <x v="4"/>
    <x v="1"/>
    <x v="3"/>
    <x v="3"/>
    <n v="2536"/>
    <n v="120"/>
    <n v="300"/>
    <n v="760800"/>
    <n v="106512"/>
    <n v="654288"/>
    <n v="634000"/>
    <n v="20288"/>
    <x v="11"/>
    <n v="11"/>
    <s v=" November "/>
    <x v="1"/>
    <n v="3.1007751937984496E-2"/>
    <s v="High"/>
    <s v="OK"/>
    <s v="Nov-2013"/>
    <s v="Profit"/>
    <s v="High Sales"/>
    <b v="1"/>
  </r>
  <r>
    <x v="0"/>
    <x v="3"/>
    <x v="4"/>
    <x v="3"/>
    <n v="2903"/>
    <n v="250"/>
    <n v="7"/>
    <n v="20321"/>
    <n v="2844.94"/>
    <n v="17476.060000000001"/>
    <n v="14515"/>
    <n v="2961.06"/>
    <x v="3"/>
    <n v="3"/>
    <s v=" March "/>
    <x v="0"/>
    <n v="0.16943521594684383"/>
    <s v="Low"/>
    <s v="OK"/>
    <s v="Mar-2014"/>
    <s v="Profit"/>
    <s v="Low Sales"/>
    <b v="1"/>
  </r>
  <r>
    <x v="4"/>
    <x v="4"/>
    <x v="4"/>
    <x v="3"/>
    <n v="2541"/>
    <n v="250"/>
    <n v="300"/>
    <n v="762300"/>
    <n v="106722"/>
    <n v="655578"/>
    <n v="635250"/>
    <n v="20328"/>
    <x v="5"/>
    <n v="8"/>
    <s v=" August "/>
    <x v="0"/>
    <n v="3.1007751937984496E-2"/>
    <s v="High"/>
    <s v="OK"/>
    <s v="Aug-2014"/>
    <s v="Profit"/>
    <s v="High Sales"/>
    <b v="1"/>
  </r>
  <r>
    <x v="4"/>
    <x v="0"/>
    <x v="4"/>
    <x v="3"/>
    <n v="269"/>
    <n v="250"/>
    <n v="300"/>
    <n v="80700"/>
    <n v="11298"/>
    <n v="69402"/>
    <n v="67250"/>
    <n v="2152"/>
    <x v="7"/>
    <n v="10"/>
    <s v=" October "/>
    <x v="1"/>
    <n v="3.1007751937984496E-2"/>
    <s v="Medium"/>
    <s v="OK"/>
    <s v="Oct-2013"/>
    <s v="Profit"/>
    <s v="High Sales"/>
    <b v="1"/>
  </r>
  <r>
    <x v="4"/>
    <x v="0"/>
    <x v="4"/>
    <x v="3"/>
    <n v="1496"/>
    <n v="250"/>
    <n v="300"/>
    <n v="448800"/>
    <n v="62832"/>
    <n v="385968"/>
    <n v="374000"/>
    <n v="11968"/>
    <x v="10"/>
    <n v="10"/>
    <s v=" October "/>
    <x v="0"/>
    <n v="3.1007751937984496E-2"/>
    <s v="High"/>
    <s v="OK"/>
    <s v="Oct-2014"/>
    <s v="Profit"/>
    <s v="High Sales"/>
    <b v="1"/>
  </r>
  <r>
    <x v="4"/>
    <x v="4"/>
    <x v="4"/>
    <x v="3"/>
    <n v="1010"/>
    <n v="250"/>
    <n v="300"/>
    <n v="303000"/>
    <n v="42420"/>
    <n v="260580"/>
    <n v="252500"/>
    <n v="8080"/>
    <x v="10"/>
    <n v="10"/>
    <s v=" October "/>
    <x v="0"/>
    <n v="3.1007751937984496E-2"/>
    <s v="High"/>
    <s v="OK"/>
    <s v="Oct-2014"/>
    <s v="Profit"/>
    <s v="High Sales"/>
    <b v="1"/>
  </r>
  <r>
    <x v="0"/>
    <x v="2"/>
    <x v="4"/>
    <x v="3"/>
    <n v="1281"/>
    <n v="250"/>
    <n v="350"/>
    <n v="448350"/>
    <n v="62769"/>
    <n v="385581"/>
    <n v="333060"/>
    <n v="52521"/>
    <x v="12"/>
    <n v="12"/>
    <s v=" December "/>
    <x v="1"/>
    <n v="0.13621262458471761"/>
    <s v="High"/>
    <s v="OK"/>
    <s v="Dec-2013"/>
    <s v="Profit"/>
    <s v="High Sales"/>
    <b v="1"/>
  </r>
  <r>
    <x v="4"/>
    <x v="0"/>
    <x v="5"/>
    <x v="3"/>
    <n v="888"/>
    <n v="260"/>
    <n v="300"/>
    <n v="266400"/>
    <n v="37296"/>
    <n v="229104"/>
    <n v="222000"/>
    <n v="7104"/>
    <x v="3"/>
    <n v="3"/>
    <s v=" March "/>
    <x v="0"/>
    <n v="3.1007751937984496E-2"/>
    <s v="High"/>
    <s v="OK"/>
    <s v="Mar-2014"/>
    <s v="Profit"/>
    <s v="High Sales"/>
    <b v="1"/>
  </r>
  <r>
    <x v="3"/>
    <x v="4"/>
    <x v="5"/>
    <x v="3"/>
    <n v="2844"/>
    <n v="260"/>
    <n v="125"/>
    <n v="355500"/>
    <n v="49770"/>
    <n v="305730"/>
    <n v="341280"/>
    <n v="-35550"/>
    <x v="14"/>
    <n v="5"/>
    <s v=" May "/>
    <x v="0"/>
    <n v="-0.11627906976744186"/>
    <s v="High"/>
    <s v="OK"/>
    <s v="May-2014"/>
    <s v="Loss"/>
    <s v="High Sales"/>
    <b v="1"/>
  </r>
  <r>
    <x v="2"/>
    <x v="2"/>
    <x v="5"/>
    <x v="3"/>
    <n v="2475"/>
    <n v="260"/>
    <n v="12"/>
    <n v="29700"/>
    <n v="4158"/>
    <n v="25542"/>
    <n v="7425"/>
    <n v="18117"/>
    <x v="5"/>
    <n v="8"/>
    <s v=" August "/>
    <x v="0"/>
    <n v="0.70930232558139539"/>
    <s v="Low"/>
    <s v="OK"/>
    <s v="Aug-2014"/>
    <s v="Profit"/>
    <s v="Low Sales"/>
    <b v="1"/>
  </r>
  <r>
    <x v="1"/>
    <x v="0"/>
    <x v="5"/>
    <x v="3"/>
    <n v="1743"/>
    <n v="260"/>
    <n v="15"/>
    <n v="26145"/>
    <n v="3660.3"/>
    <n v="22484.7"/>
    <n v="17430"/>
    <n v="5054.7"/>
    <x v="7"/>
    <n v="10"/>
    <s v=" October "/>
    <x v="1"/>
    <n v="0.22480620155038758"/>
    <s v="Low"/>
    <s v="OK"/>
    <s v="Oct-2013"/>
    <s v="Profit"/>
    <s v="Low Sales"/>
    <b v="1"/>
  </r>
  <r>
    <x v="2"/>
    <x v="4"/>
    <x v="5"/>
    <x v="3"/>
    <n v="2914"/>
    <n v="260"/>
    <n v="12"/>
    <n v="34968"/>
    <n v="4895.5200000000004"/>
    <n v="30072.48"/>
    <n v="8742"/>
    <n v="21330.48"/>
    <x v="10"/>
    <n v="10"/>
    <s v=" October "/>
    <x v="0"/>
    <n v="0.70930232558139539"/>
    <s v="Low"/>
    <s v="OK"/>
    <s v="Oct-2014"/>
    <s v="Profit"/>
    <s v="Low Sales"/>
    <b v="1"/>
  </r>
  <r>
    <x v="0"/>
    <x v="2"/>
    <x v="5"/>
    <x v="3"/>
    <n v="1731"/>
    <n v="260"/>
    <n v="7"/>
    <n v="12117"/>
    <n v="1696.38"/>
    <n v="10420.620000000001"/>
    <n v="8655"/>
    <n v="1765.62"/>
    <x v="10"/>
    <n v="10"/>
    <s v=" October "/>
    <x v="0"/>
    <n v="0.16943521594684383"/>
    <s v="Low"/>
    <s v="OK"/>
    <s v="Oct-2014"/>
    <s v="Profit"/>
    <s v="Low Sales"/>
    <b v="1"/>
  </r>
  <r>
    <x v="0"/>
    <x v="3"/>
    <x v="5"/>
    <x v="3"/>
    <n v="1727"/>
    <n v="260"/>
    <n v="7"/>
    <n v="12089"/>
    <n v="1692.46"/>
    <n v="10396.540000000001"/>
    <n v="8635"/>
    <n v="1761.54"/>
    <x v="7"/>
    <n v="10"/>
    <s v=" October "/>
    <x v="1"/>
    <n v="0.16943521594684383"/>
    <s v="Low"/>
    <s v="OK"/>
    <s v="Oct-2013"/>
    <s v="Profit"/>
    <s v="Low Sales"/>
    <b v="1"/>
  </r>
  <r>
    <x v="1"/>
    <x v="3"/>
    <x v="5"/>
    <x v="3"/>
    <n v="1870"/>
    <n v="260"/>
    <n v="15"/>
    <n v="28050"/>
    <n v="3927"/>
    <n v="24123"/>
    <n v="18700"/>
    <n v="5423"/>
    <x v="11"/>
    <n v="11"/>
    <s v=" November "/>
    <x v="1"/>
    <n v="0.22480620155038761"/>
    <s v="Low"/>
    <s v="OK"/>
    <s v="Nov-2013"/>
    <s v="Profit"/>
    <s v="Low Sales"/>
    <b v="1"/>
  </r>
  <r>
    <x v="3"/>
    <x v="2"/>
    <x v="0"/>
    <x v="3"/>
    <n v="1174"/>
    <n v="3"/>
    <n v="125"/>
    <n v="146750"/>
    <n v="22012.5"/>
    <n v="124737.5"/>
    <n v="140880"/>
    <n v="-16142.5"/>
    <x v="5"/>
    <n v="8"/>
    <s v=" August "/>
    <x v="0"/>
    <n v="-0.12941176470588237"/>
    <s v="High"/>
    <s v="OK"/>
    <s v="Aug-2014"/>
    <s v="Loss"/>
    <s v="High Sales"/>
    <b v="1"/>
  </r>
  <r>
    <x v="3"/>
    <x v="1"/>
    <x v="0"/>
    <x v="3"/>
    <n v="2767"/>
    <n v="3"/>
    <n v="125"/>
    <n v="345875"/>
    <n v="51881.25"/>
    <n v="293993.75"/>
    <n v="332040"/>
    <n v="-38046.25"/>
    <x v="5"/>
    <n v="8"/>
    <s v=" August "/>
    <x v="0"/>
    <n v="-0.12941176470588237"/>
    <s v="High"/>
    <s v="OK"/>
    <s v="Aug-2014"/>
    <s v="Loss"/>
    <s v="High Sales"/>
    <b v="1"/>
  </r>
  <r>
    <x v="3"/>
    <x v="1"/>
    <x v="0"/>
    <x v="3"/>
    <n v="1085"/>
    <n v="3"/>
    <n v="125"/>
    <n v="135625"/>
    <n v="20343.75"/>
    <n v="115281.25"/>
    <n v="130200"/>
    <n v="-14918.75"/>
    <x v="10"/>
    <n v="10"/>
    <s v=" October "/>
    <x v="0"/>
    <n v="-0.12941176470588237"/>
    <s v="High"/>
    <s v="OK"/>
    <s v="Oct-2014"/>
    <s v="Loss"/>
    <s v="High Sales"/>
    <b v="1"/>
  </r>
  <r>
    <x v="4"/>
    <x v="3"/>
    <x v="1"/>
    <x v="3"/>
    <n v="546"/>
    <n v="5"/>
    <n v="300"/>
    <n v="163800"/>
    <n v="24570"/>
    <n v="139230"/>
    <n v="136500"/>
    <n v="2730"/>
    <x v="10"/>
    <n v="10"/>
    <s v=" October "/>
    <x v="0"/>
    <n v="1.9607843137254902E-2"/>
    <s v="High"/>
    <s v="OK"/>
    <s v="Oct-2014"/>
    <s v="Profit"/>
    <s v="High Sales"/>
    <b v="1"/>
  </r>
  <r>
    <x v="0"/>
    <x v="1"/>
    <x v="2"/>
    <x v="3"/>
    <n v="1158"/>
    <n v="10"/>
    <n v="20"/>
    <n v="23160"/>
    <n v="3474"/>
    <n v="19686"/>
    <n v="11580"/>
    <n v="8106"/>
    <x v="3"/>
    <n v="3"/>
    <s v=" March "/>
    <x v="0"/>
    <n v="0.41176470588235292"/>
    <s v="Low"/>
    <s v="OK"/>
    <s v="Mar-2014"/>
    <s v="Profit"/>
    <s v="Low Sales"/>
    <b v="1"/>
  </r>
  <r>
    <x v="1"/>
    <x v="0"/>
    <x v="2"/>
    <x v="3"/>
    <n v="1614"/>
    <n v="10"/>
    <n v="15"/>
    <n v="24210"/>
    <n v="3631.5"/>
    <n v="20578.5"/>
    <n v="16140"/>
    <n v="4438.5"/>
    <x v="13"/>
    <n v="4"/>
    <s v=" April "/>
    <x v="0"/>
    <n v="0.21568627450980393"/>
    <s v="Low"/>
    <s v="OK"/>
    <s v="Apr-2014"/>
    <s v="Profit"/>
    <s v="Low Sales"/>
    <b v="1"/>
  </r>
  <r>
    <x v="0"/>
    <x v="3"/>
    <x v="2"/>
    <x v="3"/>
    <n v="2535"/>
    <n v="10"/>
    <n v="7"/>
    <n v="17745"/>
    <n v="2661.75"/>
    <n v="15083.25"/>
    <n v="12675"/>
    <n v="2408.25"/>
    <x v="13"/>
    <n v="4"/>
    <s v=" April "/>
    <x v="0"/>
    <n v="0.15966386554621848"/>
    <s v="Low"/>
    <s v="OK"/>
    <s v="Apr-2014"/>
    <s v="Profit"/>
    <s v="Low Sales"/>
    <b v="1"/>
  </r>
  <r>
    <x v="0"/>
    <x v="3"/>
    <x v="2"/>
    <x v="3"/>
    <n v="2851"/>
    <n v="10"/>
    <n v="350"/>
    <n v="997850"/>
    <n v="149677.5"/>
    <n v="848172.5"/>
    <n v="741260"/>
    <n v="106912.5"/>
    <x v="14"/>
    <n v="5"/>
    <s v=" May "/>
    <x v="0"/>
    <n v="0.12605042016806722"/>
    <s v="High"/>
    <s v="OK"/>
    <s v="May-2014"/>
    <s v="Profit"/>
    <s v="High Sales"/>
    <b v="1"/>
  </r>
  <r>
    <x v="1"/>
    <x v="0"/>
    <x v="2"/>
    <x v="3"/>
    <n v="2559"/>
    <n v="10"/>
    <n v="15"/>
    <n v="38385"/>
    <n v="5757.75"/>
    <n v="32627.25"/>
    <n v="25590"/>
    <n v="7037.25"/>
    <x v="5"/>
    <n v="8"/>
    <s v=" August "/>
    <x v="0"/>
    <n v="0.21568627450980393"/>
    <s v="Low"/>
    <s v="OK"/>
    <s v="Aug-2014"/>
    <s v="Profit"/>
    <s v="Low Sales"/>
    <b v="1"/>
  </r>
  <r>
    <x v="0"/>
    <x v="4"/>
    <x v="2"/>
    <x v="3"/>
    <n v="267"/>
    <n v="10"/>
    <n v="20"/>
    <n v="5340"/>
    <n v="801"/>
    <n v="4539"/>
    <n v="2670"/>
    <n v="1869"/>
    <x v="7"/>
    <n v="10"/>
    <s v=" October "/>
    <x v="1"/>
    <n v="0.41176470588235292"/>
    <s v="Low"/>
    <s v="OK"/>
    <s v="Oct-2013"/>
    <s v="Profit"/>
    <s v="Low Sales"/>
    <b v="1"/>
  </r>
  <r>
    <x v="3"/>
    <x v="1"/>
    <x v="2"/>
    <x v="3"/>
    <n v="1085"/>
    <n v="10"/>
    <n v="125"/>
    <n v="135625"/>
    <n v="20343.75"/>
    <n v="115281.25"/>
    <n v="130200"/>
    <n v="-14918.75"/>
    <x v="10"/>
    <n v="10"/>
    <s v=" October "/>
    <x v="0"/>
    <n v="-0.12941176470588237"/>
    <s v="High"/>
    <s v="OK"/>
    <s v="Oct-2014"/>
    <s v="Loss"/>
    <s v="High Sales"/>
    <b v="1"/>
  </r>
  <r>
    <x v="1"/>
    <x v="1"/>
    <x v="2"/>
    <x v="3"/>
    <n v="1175"/>
    <n v="10"/>
    <n v="15"/>
    <n v="17625"/>
    <n v="2643.75"/>
    <n v="14981.25"/>
    <n v="11750"/>
    <n v="3231.25"/>
    <x v="10"/>
    <n v="10"/>
    <s v=" October "/>
    <x v="0"/>
    <n v="0.21568627450980393"/>
    <s v="Low"/>
    <s v="OK"/>
    <s v="Oct-2014"/>
    <s v="Profit"/>
    <s v="Low Sales"/>
    <b v="1"/>
  </r>
  <r>
    <x v="0"/>
    <x v="4"/>
    <x v="2"/>
    <x v="3"/>
    <n v="2007"/>
    <n v="10"/>
    <n v="350"/>
    <n v="702450"/>
    <n v="105367.5"/>
    <n v="597082.5"/>
    <n v="521820"/>
    <n v="75262.5"/>
    <x v="11"/>
    <n v="11"/>
    <s v=" November "/>
    <x v="1"/>
    <n v="0.12605042016806722"/>
    <s v="High"/>
    <s v="OK"/>
    <s v="Nov-2013"/>
    <s v="Profit"/>
    <s v="High Sales"/>
    <b v="1"/>
  </r>
  <r>
    <x v="0"/>
    <x v="3"/>
    <x v="2"/>
    <x v="3"/>
    <n v="2151"/>
    <n v="10"/>
    <n v="350"/>
    <n v="752850"/>
    <n v="112927.5"/>
    <n v="639922.5"/>
    <n v="559260"/>
    <n v="80662.5"/>
    <x v="11"/>
    <n v="11"/>
    <s v=" November "/>
    <x v="1"/>
    <n v="0.12605042016806722"/>
    <s v="High"/>
    <s v="OK"/>
    <s v="Nov-2013"/>
    <s v="Profit"/>
    <s v="High Sales"/>
    <b v="1"/>
  </r>
  <r>
    <x v="2"/>
    <x v="4"/>
    <x v="2"/>
    <x v="3"/>
    <n v="914"/>
    <n v="10"/>
    <n v="12"/>
    <n v="10968"/>
    <n v="1645.2"/>
    <n v="9322.7999999999993"/>
    <n v="2742"/>
    <n v="6580.8"/>
    <x v="2"/>
    <n v="12"/>
    <s v=" December "/>
    <x v="0"/>
    <n v="0.70588235294117652"/>
    <s v="Low"/>
    <s v="OK"/>
    <s v="Dec-2014"/>
    <s v="Profit"/>
    <s v="Low Sales"/>
    <b v="1"/>
  </r>
  <r>
    <x v="0"/>
    <x v="2"/>
    <x v="2"/>
    <x v="3"/>
    <n v="293"/>
    <n v="10"/>
    <n v="20"/>
    <n v="5860"/>
    <n v="879"/>
    <n v="4981"/>
    <n v="2930"/>
    <n v="2051"/>
    <x v="2"/>
    <n v="12"/>
    <s v=" December "/>
    <x v="0"/>
    <n v="0.41176470588235292"/>
    <s v="Low"/>
    <s v="OK"/>
    <s v="Dec-2014"/>
    <s v="Profit"/>
    <s v="Low Sales"/>
    <b v="1"/>
  </r>
  <r>
    <x v="2"/>
    <x v="3"/>
    <x v="3"/>
    <x v="3"/>
    <n v="500"/>
    <n v="120"/>
    <n v="12"/>
    <n v="6000"/>
    <n v="900"/>
    <n v="5100"/>
    <n v="1500"/>
    <n v="3600"/>
    <x v="3"/>
    <n v="3"/>
    <s v=" March "/>
    <x v="0"/>
    <n v="0.70588235294117652"/>
    <s v="Low"/>
    <s v="OK"/>
    <s v="Mar-2014"/>
    <s v="Profit"/>
    <s v="Low Sales"/>
    <b v="1"/>
  </r>
  <r>
    <x v="1"/>
    <x v="2"/>
    <x v="3"/>
    <x v="3"/>
    <n v="2826"/>
    <n v="120"/>
    <n v="15"/>
    <n v="42390"/>
    <n v="6358.5"/>
    <n v="36031.5"/>
    <n v="28260"/>
    <n v="7771.5"/>
    <x v="14"/>
    <n v="5"/>
    <s v=" May "/>
    <x v="0"/>
    <n v="0.21568627450980393"/>
    <s v="Low"/>
    <s v="OK"/>
    <s v="May-2014"/>
    <s v="Profit"/>
    <s v="Low Sales"/>
    <b v="1"/>
  </r>
  <r>
    <x v="3"/>
    <x v="2"/>
    <x v="3"/>
    <x v="3"/>
    <n v="663"/>
    <n v="120"/>
    <n v="125"/>
    <n v="82875"/>
    <n v="12431.25"/>
    <n v="70443.75"/>
    <n v="79560"/>
    <n v="-9116.25"/>
    <x v="6"/>
    <n v="9"/>
    <s v=" September "/>
    <x v="0"/>
    <n v="-0.12941176470588237"/>
    <s v="Medium"/>
    <s v="OK"/>
    <s v="Sep-2014"/>
    <s v="Loss"/>
    <s v="High Sales"/>
    <b v="1"/>
  </r>
  <r>
    <x v="4"/>
    <x v="4"/>
    <x v="3"/>
    <x v="3"/>
    <n v="2574"/>
    <n v="120"/>
    <n v="300"/>
    <n v="772200"/>
    <n v="115830"/>
    <n v="656370"/>
    <n v="643500"/>
    <n v="12870"/>
    <x v="11"/>
    <n v="11"/>
    <s v=" November "/>
    <x v="1"/>
    <n v="1.9607843137254902E-2"/>
    <s v="High"/>
    <s v="OK"/>
    <s v="Nov-2013"/>
    <s v="Profit"/>
    <s v="High Sales"/>
    <b v="1"/>
  </r>
  <r>
    <x v="3"/>
    <x v="4"/>
    <x v="3"/>
    <x v="3"/>
    <n v="2438"/>
    <n v="120"/>
    <n v="125"/>
    <n v="304750"/>
    <n v="45712.5"/>
    <n v="259037.5"/>
    <n v="292560"/>
    <n v="-33522.5"/>
    <x v="12"/>
    <n v="12"/>
    <s v=" December "/>
    <x v="1"/>
    <n v="-0.12941176470588237"/>
    <s v="High"/>
    <s v="OK"/>
    <s v="Dec-2013"/>
    <s v="Loss"/>
    <s v="High Sales"/>
    <b v="1"/>
  </r>
  <r>
    <x v="2"/>
    <x v="4"/>
    <x v="3"/>
    <x v="3"/>
    <n v="914"/>
    <n v="120"/>
    <n v="12"/>
    <n v="10968"/>
    <n v="1645.2"/>
    <n v="9322.7999999999993"/>
    <n v="2742"/>
    <n v="6580.8"/>
    <x v="2"/>
    <n v="12"/>
    <s v=" December "/>
    <x v="0"/>
    <n v="0.70588235294117652"/>
    <s v="Low"/>
    <s v="OK"/>
    <s v="Dec-2014"/>
    <s v="Profit"/>
    <s v="Low Sales"/>
    <b v="1"/>
  </r>
  <r>
    <x v="0"/>
    <x v="0"/>
    <x v="4"/>
    <x v="3"/>
    <n v="865.5"/>
    <n v="250"/>
    <n v="20"/>
    <n v="17310"/>
    <n v="2596.5"/>
    <n v="14713.5"/>
    <n v="8655"/>
    <n v="6058.5"/>
    <x v="4"/>
    <n v="7"/>
    <s v=" July "/>
    <x v="0"/>
    <n v="0.41176470588235292"/>
    <s v="Low"/>
    <s v="OK"/>
    <s v="Jul-2014"/>
    <s v="Profit"/>
    <s v="Low Sales"/>
    <b v="1"/>
  </r>
  <r>
    <x v="1"/>
    <x v="1"/>
    <x v="4"/>
    <x v="3"/>
    <n v="492"/>
    <n v="250"/>
    <n v="15"/>
    <n v="7380"/>
    <n v="1107"/>
    <n v="6273"/>
    <n v="4920"/>
    <n v="1353"/>
    <x v="4"/>
    <n v="7"/>
    <s v=" July "/>
    <x v="0"/>
    <n v="0.21568627450980393"/>
    <s v="Low"/>
    <s v="OK"/>
    <s v="Jul-2014"/>
    <s v="Profit"/>
    <s v="Low Sales"/>
    <b v="1"/>
  </r>
  <r>
    <x v="0"/>
    <x v="4"/>
    <x v="4"/>
    <x v="3"/>
    <n v="267"/>
    <n v="250"/>
    <n v="20"/>
    <n v="5340"/>
    <n v="801"/>
    <n v="4539"/>
    <n v="2670"/>
    <n v="1869"/>
    <x v="7"/>
    <n v="10"/>
    <s v=" October "/>
    <x v="1"/>
    <n v="0.41176470588235292"/>
    <s v="Low"/>
    <s v="OK"/>
    <s v="Oct-2013"/>
    <s v="Profit"/>
    <s v="Low Sales"/>
    <b v="1"/>
  </r>
  <r>
    <x v="1"/>
    <x v="1"/>
    <x v="4"/>
    <x v="3"/>
    <n v="1175"/>
    <n v="250"/>
    <n v="15"/>
    <n v="17625"/>
    <n v="2643.75"/>
    <n v="14981.25"/>
    <n v="11750"/>
    <n v="3231.25"/>
    <x v="10"/>
    <n v="10"/>
    <s v=" October "/>
    <x v="0"/>
    <n v="0.21568627450980393"/>
    <s v="Low"/>
    <s v="OK"/>
    <s v="Oct-2014"/>
    <s v="Profit"/>
    <s v="Low Sales"/>
    <b v="1"/>
  </r>
  <r>
    <x v="3"/>
    <x v="0"/>
    <x v="4"/>
    <x v="3"/>
    <n v="2954"/>
    <n v="250"/>
    <n v="125"/>
    <n v="369250"/>
    <n v="55387.5"/>
    <n v="313862.5"/>
    <n v="354480"/>
    <n v="-40617.5"/>
    <x v="11"/>
    <n v="11"/>
    <s v=" November "/>
    <x v="1"/>
    <n v="-0.12941176470588237"/>
    <s v="High"/>
    <s v="OK"/>
    <s v="Nov-2013"/>
    <s v="Loss"/>
    <s v="High Sales"/>
    <b v="1"/>
  </r>
  <r>
    <x v="3"/>
    <x v="1"/>
    <x v="4"/>
    <x v="3"/>
    <n v="552"/>
    <n v="250"/>
    <n v="125"/>
    <n v="69000"/>
    <n v="10350"/>
    <n v="58650"/>
    <n v="66240"/>
    <n v="-7590"/>
    <x v="15"/>
    <n v="11"/>
    <s v=" November "/>
    <x v="0"/>
    <n v="-0.12941176470588237"/>
    <s v="Medium"/>
    <s v="OK"/>
    <s v="Nov-2014"/>
    <s v="Loss"/>
    <s v="High Sales"/>
    <b v="1"/>
  </r>
  <r>
    <x v="0"/>
    <x v="2"/>
    <x v="4"/>
    <x v="3"/>
    <n v="293"/>
    <n v="250"/>
    <n v="20"/>
    <n v="5860"/>
    <n v="879"/>
    <n v="4981"/>
    <n v="2930"/>
    <n v="2051"/>
    <x v="2"/>
    <n v="12"/>
    <s v=" December "/>
    <x v="0"/>
    <n v="0.41176470588235292"/>
    <s v="Low"/>
    <s v="OK"/>
    <s v="Dec-2014"/>
    <s v="Profit"/>
    <s v="Low Sales"/>
    <b v="1"/>
  </r>
  <r>
    <x v="4"/>
    <x v="2"/>
    <x v="5"/>
    <x v="3"/>
    <n v="2475"/>
    <n v="260"/>
    <n v="300"/>
    <n v="742500"/>
    <n v="111375"/>
    <n v="631125"/>
    <n v="618750"/>
    <n v="12375"/>
    <x v="3"/>
    <n v="3"/>
    <s v=" March "/>
    <x v="0"/>
    <n v="1.9607843137254902E-2"/>
    <s v="High"/>
    <s v="OK"/>
    <s v="Mar-2014"/>
    <s v="Profit"/>
    <s v="High Sales"/>
    <b v="1"/>
  </r>
  <r>
    <x v="4"/>
    <x v="3"/>
    <x v="5"/>
    <x v="3"/>
    <n v="546"/>
    <n v="260"/>
    <n v="300"/>
    <n v="163800"/>
    <n v="24570"/>
    <n v="139230"/>
    <n v="136500"/>
    <n v="2730"/>
    <x v="10"/>
    <n v="10"/>
    <s v=" October "/>
    <x v="0"/>
    <n v="1.9607843137254902E-2"/>
    <s v="High"/>
    <s v="OK"/>
    <s v="Oct-2014"/>
    <s v="Profit"/>
    <s v="High Sales"/>
    <b v="1"/>
  </r>
  <r>
    <x v="0"/>
    <x v="3"/>
    <x v="1"/>
    <x v="3"/>
    <n v="1368"/>
    <n v="5"/>
    <n v="7"/>
    <n v="9576"/>
    <n v="1436.4"/>
    <n v="8139.6"/>
    <n v="6840"/>
    <n v="1299.5999999999999"/>
    <x v="8"/>
    <n v="2"/>
    <s v=" February "/>
    <x v="0"/>
    <n v="0.15966386554621848"/>
    <s v="Low"/>
    <s v="OK"/>
    <s v="Feb-2014"/>
    <s v="Profit"/>
    <s v="Low Sales"/>
    <b v="1"/>
  </r>
  <r>
    <x v="0"/>
    <x v="0"/>
    <x v="2"/>
    <x v="3"/>
    <n v="723"/>
    <n v="10"/>
    <n v="7"/>
    <n v="5061"/>
    <n v="759.15"/>
    <n v="4301.8500000000004"/>
    <n v="3615"/>
    <n v="686.85"/>
    <x v="13"/>
    <n v="4"/>
    <s v=" April "/>
    <x v="0"/>
    <n v="0.15966386554621848"/>
    <s v="Low"/>
    <s v="OK"/>
    <s v="Apr-2014"/>
    <s v="Profit"/>
    <s v="Low Sales"/>
    <b v="1"/>
  </r>
  <r>
    <x v="2"/>
    <x v="4"/>
    <x v="4"/>
    <x v="3"/>
    <n v="1806"/>
    <n v="250"/>
    <n v="12"/>
    <n v="21672"/>
    <n v="3250.8"/>
    <n v="18421.2"/>
    <n v="5418"/>
    <n v="13003.2"/>
    <x v="14"/>
    <n v="5"/>
    <s v=" May "/>
    <x v="0"/>
    <n v="0.70588235294117652"/>
    <s v="Low"/>
    <s v="OK"/>
    <s v="May-2014"/>
    <s v="Profit"/>
    <s v="Low Sales"/>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7C7CCF-A928-4849-8712-2E8F452E1B9C}" name="sum_of_unit"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dataField="1" showAll="0"/>
    <pivotField showAll="0"/>
    <pivotField showAll="0"/>
    <pivotField showAll="0"/>
    <pivotField showAll="0"/>
    <pivotField showAll="0"/>
    <pivotField showAll="0"/>
    <pivotField numFmtId="166" showAll="0"/>
    <pivotField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Units Sold " fld="4" baseField="0" baseItem="0"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B8C09C-4BFC-A941-8A36-D914DC879B37}" name="sum_of_sale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showAll="0"/>
    <pivotField showAll="0"/>
    <pivotField showAll="0"/>
    <pivotField showAll="0"/>
    <pivotField dataField="1" showAll="0"/>
    <pivotField showAll="0"/>
    <pivotField numFmtId="166" showAll="0"/>
    <pivotField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es " fld="9" baseField="0" baseItem="0"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48A213-918C-404B-B613-5B966C8FBCA2}" name="sum_of_profit"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2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showAll="0"/>
    <pivotField showAll="0"/>
    <pivotField showAll="0"/>
    <pivotField showAll="0"/>
    <pivotField showAll="0"/>
    <pivotField showAll="0"/>
    <pivotField dataField="1" numFmtId="166" showAll="0"/>
    <pivotField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 fld="11" baseField="0" baseItem="0"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8BD2DD-9F2C-FE4E-8441-25FD9C592109}" name="sales by year"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7:B26" firstHeaderRow="1" firstDataRow="1" firstDataCol="1"/>
  <pivotFields count="2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showAll="0"/>
    <pivotField showAll="0"/>
    <pivotField showAll="0"/>
    <pivotField showAll="0"/>
    <pivotField dataField="1" showAll="0"/>
    <pivotField showAll="0"/>
    <pivotField numFmtId="166" showAll="0"/>
    <pivotField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pivotField showAll="0"/>
    <pivotField showAll="0"/>
    <pivotField showAll="0" sortType="ascending"/>
    <pivotField showAll="0"/>
    <pivotField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26"/>
    <field x="24"/>
  </rowFields>
  <rowItems count="19">
    <i>
      <x v="1"/>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Sales " fld="9" baseField="0" baseItem="0"/>
  </dataFields>
  <chartFormats count="5">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AE043B-3140-B543-B17D-845FCF05A38C}" name="PivotTable17" cacheId="15"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17" rowHeaderCaption="Product ">
  <location ref="I31:O37" firstHeaderRow="0" firstDataRow="1" firstDataCol="1"/>
  <pivotFields count="27">
    <pivotField compact="0" outline="0" showAll="0">
      <items count="6">
        <item x="2"/>
        <item x="3"/>
        <item x="0"/>
        <item x="1"/>
        <item x="4"/>
        <item t="default"/>
      </items>
    </pivotField>
    <pivotField compact="0" outline="0" showAll="0">
      <items count="6">
        <item x="0"/>
        <item x="2"/>
        <item x="1"/>
        <item x="3"/>
        <item x="4"/>
        <item t="default"/>
      </items>
    </pivotField>
    <pivotField axis="axisRow" compact="0" outline="0" showAll="0">
      <items count="7">
        <item x="5"/>
        <item x="0"/>
        <item x="1"/>
        <item x="2"/>
        <item x="3"/>
        <item x="4"/>
        <item t="default"/>
      </items>
    </pivotField>
    <pivotField compact="0" outline="0" showAll="0">
      <items count="5">
        <item x="3"/>
        <item x="1"/>
        <item x="2"/>
        <item x="0"/>
        <item t="default"/>
      </items>
    </pivotField>
    <pivotField dataField="1"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numFmtId="166" outline="0" showAll="0"/>
    <pivotField compact="0" outline="0" showAll="0">
      <items count="17">
        <item x="9"/>
        <item x="7"/>
        <item x="11"/>
        <item x="12"/>
        <item x="0"/>
        <item x="8"/>
        <item x="3"/>
        <item x="13"/>
        <item x="14"/>
        <item x="1"/>
        <item x="4"/>
        <item x="5"/>
        <item x="6"/>
        <item x="10"/>
        <item x="15"/>
        <item x="2"/>
        <item t="default"/>
      </items>
    </pivotField>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6">
    <i>
      <x/>
    </i>
    <i>
      <x v="1"/>
    </i>
    <i>
      <x v="2"/>
    </i>
    <i>
      <x v="3"/>
    </i>
    <i>
      <x v="4"/>
    </i>
    <i>
      <x v="5"/>
    </i>
  </rowItems>
  <colFields count="1">
    <field x="-2"/>
  </colFields>
  <colItems count="6">
    <i>
      <x/>
    </i>
    <i i="1">
      <x v="1"/>
    </i>
    <i i="2">
      <x v="2"/>
    </i>
    <i i="3">
      <x v="3"/>
    </i>
    <i i="4">
      <x v="4"/>
    </i>
    <i i="5">
      <x v="5"/>
    </i>
  </colItems>
  <dataFields count="6">
    <dataField name="Sum of  Discounts " fld="8" baseField="0" baseItem="0"/>
    <dataField name="Sales " fld="9" baseField="0" baseItem="0"/>
    <dataField name="Gross Sales($)" fld="7" baseField="0" baseItem="0" numFmtId="169"/>
    <dataField name="Sum of  COGS " fld="10" baseField="0" baseItem="0"/>
    <dataField name="Sum of  Profit " fld="11" baseField="0" baseItem="0" numFmtId="166"/>
    <dataField name="Units Sold " fld="4" baseField="0" baseItem="0"/>
  </dataFields>
  <formats count="21">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outline="0" fieldPosition="0">
        <references count="1">
          <reference field="4294967294" count="2">
            <x v="2"/>
            <x v="5"/>
          </reference>
        </references>
      </pivotArea>
    </format>
    <format dxfId="47">
      <pivotArea type="all" dataOnly="0" outline="0" fieldPosition="0"/>
    </format>
    <format dxfId="46">
      <pivotArea outline="0" collapsedLevelsAreSubtotals="1" fieldPosition="0"/>
    </format>
    <format dxfId="45">
      <pivotArea field="2" type="button" dataOnly="0" labelOnly="1" outline="0" axis="axisRow" fieldPosition="0"/>
    </format>
    <format dxfId="44">
      <pivotArea dataOnly="0" labelOnly="1" outline="0" fieldPosition="0">
        <references count="1">
          <reference field="4294967294" count="2">
            <x v="2"/>
            <x v="5"/>
          </reference>
        </references>
      </pivotArea>
    </format>
    <format dxfId="43">
      <pivotArea type="all" dataOnly="0" outline="0" fieldPosition="0"/>
    </format>
    <format dxfId="42">
      <pivotArea dataOnly="0" labelOnly="1" outline="0" fieldPosition="0">
        <references count="1">
          <reference field="4294967294" count="2">
            <x v="2"/>
            <x v="5"/>
          </reference>
        </references>
      </pivotArea>
    </format>
    <format dxfId="41">
      <pivotArea dataOnly="0" labelOnly="1" outline="0" fieldPosition="0">
        <references count="1">
          <reference field="4294967294" count="1">
            <x v="2"/>
          </reference>
        </references>
      </pivotArea>
    </format>
    <format dxfId="40">
      <pivotArea field="2" type="button" dataOnly="0" labelOnly="1" outline="0" axis="axisRow" fieldPosition="0"/>
    </format>
    <format dxfId="39">
      <pivotArea outline="0" fieldPosition="0">
        <references count="1">
          <reference field="4294967294" count="1" selected="0">
            <x v="2"/>
          </reference>
        </references>
      </pivotArea>
    </format>
    <format dxfId="38">
      <pivotArea outline="0" fieldPosition="0">
        <references count="1">
          <reference field="4294967294" count="1" selected="0">
            <x v="3"/>
          </reference>
        </references>
      </pivotArea>
    </format>
    <format dxfId="37">
      <pivotArea dataOnly="0" labelOnly="1" outline="0" fieldPosition="0">
        <references count="1">
          <reference field="4294967294" count="1">
            <x v="3"/>
          </reference>
        </references>
      </pivotArea>
    </format>
    <format dxfId="36">
      <pivotArea outline="0" fieldPosition="0">
        <references count="1">
          <reference field="4294967294" count="1" selected="0">
            <x v="4"/>
          </reference>
        </references>
      </pivotArea>
    </format>
    <format dxfId="35">
      <pivotArea dataOnly="0" labelOnly="1" outline="0" fieldPosition="0">
        <references count="1">
          <reference field="4294967294" count="1">
            <x v="4"/>
          </reference>
        </references>
      </pivotArea>
    </format>
    <format dxfId="34">
      <pivotArea outline="0" fieldPosition="0">
        <references count="1">
          <reference field="4294967294" count="1" selected="0">
            <x v="3"/>
          </reference>
        </references>
      </pivotArea>
    </format>
    <format dxfId="33">
      <pivotArea dataOnly="0" labelOnly="1" outline="0" fieldPosition="0">
        <references count="1">
          <reference field="4294967294" count="1">
            <x v="3"/>
          </reference>
        </references>
      </pivotArea>
    </format>
    <format dxfId="32">
      <pivotArea outline="0" collapsedLevelsAreSubtotals="1" fieldPosition="0"/>
    </format>
    <format dxfId="31">
      <pivotArea dataOnly="0" labelOnly="1" outline="0" fieldPosition="0">
        <references count="1">
          <reference field="2" count="0"/>
        </references>
      </pivotArea>
    </format>
  </formats>
  <pivotTableStyleInfo name="PivotStyleMedium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19AFFE-7DC1-3244-890A-EAE7C8F970B6}" name="sum_of_gros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showAll="0"/>
    <pivotField showAll="0"/>
    <pivotField dataField="1" showAll="0"/>
    <pivotField showAll="0"/>
    <pivotField showAll="0"/>
    <pivotField showAll="0"/>
    <pivotField numFmtId="166" showAll="0"/>
    <pivotField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Gross Sales " fld="7" baseField="0" baseItem="0"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C96055-B002-F44C-9ABC-FAA26FC32CFA}" name="PivotTable1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20:J25" firstHeaderRow="1" firstDataRow="1" firstDataCol="1"/>
  <pivotFields count="2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axis="axisRow" showAll="0">
      <items count="5">
        <item x="3"/>
        <item x="1"/>
        <item x="2"/>
        <item x="0"/>
        <item t="default"/>
      </items>
    </pivotField>
    <pivotField showAll="0"/>
    <pivotField showAll="0"/>
    <pivotField showAll="0"/>
    <pivotField showAll="0"/>
    <pivotField dataField="1" showAll="0"/>
    <pivotField showAll="0"/>
    <pivotField showAll="0"/>
    <pivotField numFmtId="166" showAll="0"/>
    <pivotField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Count of  Discounts "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149732-277E-7146-8EED-4830D911D1AA}" name="sum_of_discount"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I4" firstHeaderRow="1" firstDataRow="1" firstDataCol="0"/>
  <pivotFields count="2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showAll="0"/>
    <pivotField showAll="0"/>
    <pivotField showAll="0"/>
    <pivotField dataField="1" showAll="0"/>
    <pivotField showAll="0"/>
    <pivotField showAll="0"/>
    <pivotField numFmtId="166" showAll="0"/>
    <pivotField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s " fld="8" baseField="0" baseItem="0"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B9B5FB-D7E8-A74D-819A-F02457D72598}" name="profit by product"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M7:N14" firstHeaderRow="1" firstDataRow="1" firstDataCol="1"/>
  <pivotFields count="27">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showAll="0"/>
    <pivotField showAll="0"/>
    <pivotField showAll="0"/>
    <pivotField showAll="0"/>
    <pivotField showAll="0"/>
    <pivotField dataField="1" showAll="0"/>
    <pivotField showAll="0"/>
    <pivotField numFmtId="166" showAll="0"/>
    <pivotField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 of   Sales " fld="9" baseField="0" baseItem="0"/>
  </dataFields>
  <formats count="5">
    <format dxfId="56">
      <pivotArea field="2" type="button" dataOnly="0" labelOnly="1" outline="0" axis="axisRow" fieldPosition="0"/>
    </format>
    <format dxfId="55">
      <pivotArea dataOnly="0" labelOnly="1" fieldPosition="0">
        <references count="1">
          <reference field="2" count="0"/>
        </references>
      </pivotArea>
    </format>
    <format dxfId="54">
      <pivotArea dataOnly="0" labelOnly="1" grandRow="1" outline="0" fieldPosition="0"/>
    </format>
    <format dxfId="53">
      <pivotArea outline="0" collapsedLevelsAreSubtotals="1" fieldPosition="0"/>
    </format>
    <format dxfId="52">
      <pivotArea dataOnly="0" labelOnly="1" outline="0" axis="axisValues" fieldPosition="0"/>
    </format>
  </formats>
  <chartFormats count="1">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B8F028-F3FD-3741-90BC-8F1FAEA22ED1}" name="sales by segment"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J13" firstHeaderRow="1" firstDataRow="1" firstDataCol="1"/>
  <pivotFields count="27">
    <pivotField axis="axisRow" showAll="0" sortType="a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showAll="0"/>
    <pivotField showAll="0"/>
    <pivotField showAll="0"/>
    <pivotField showAll="0"/>
    <pivotField dataField="1" showAll="0"/>
    <pivotField showAll="0"/>
    <pivotField numFmtId="166" showAll="0"/>
    <pivotField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3"/>
    </i>
    <i>
      <x v="1"/>
    </i>
    <i>
      <x v="4"/>
    </i>
    <i>
      <x v="2"/>
    </i>
    <i t="grand">
      <x/>
    </i>
  </rowItems>
  <colItems count="1">
    <i/>
  </colItems>
  <dataFields count="1">
    <dataField name="Sum of   Sales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C3E892-EB3E-EC49-A52A-6721FD14C70C}" name="month vise profy vs sale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O3:Q22" firstHeaderRow="0" firstDataRow="1" firstDataCol="1"/>
  <pivotFields count="27">
    <pivotField showAll="0">
      <items count="6">
        <item x="2"/>
        <item x="3"/>
        <item x="0"/>
        <item x="1"/>
        <item x="4"/>
        <item t="default"/>
      </items>
    </pivotField>
    <pivotField showAll="0">
      <items count="6">
        <item x="0"/>
        <item x="2"/>
        <item x="1"/>
        <item x="3"/>
        <item x="4"/>
        <item t="default"/>
      </items>
    </pivotField>
    <pivotField showAll="0" sortType="ascending">
      <items count="7">
        <item x="5"/>
        <item x="0"/>
        <item x="1"/>
        <item x="2"/>
        <item x="3"/>
        <item x="4"/>
        <item t="default"/>
      </items>
      <autoSortScope>
        <pivotArea dataOnly="0" outline="0" fieldPosition="0">
          <references count="1">
            <reference field="4294967294" count="1" selected="0">
              <x v="1"/>
            </reference>
          </references>
        </pivotArea>
      </autoSortScope>
    </pivotField>
    <pivotField showAll="0">
      <items count="5">
        <item x="3"/>
        <item x="1"/>
        <item x="2"/>
        <item x="0"/>
        <item t="default"/>
      </items>
    </pivotField>
    <pivotField showAll="0"/>
    <pivotField showAll="0"/>
    <pivotField showAll="0"/>
    <pivotField showAll="0"/>
    <pivotField showAll="0"/>
    <pivotField dataField="1" showAll="0"/>
    <pivotField showAll="0"/>
    <pivotField dataField="1" numFmtId="166" showAll="0"/>
    <pivotField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26"/>
    <field x="24"/>
  </rowFields>
  <rowItems count="19">
    <i>
      <x v="1"/>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Profit " fld="11" baseField="0" baseItem="0" numFmtId="166"/>
    <dataField name="Sum of   Sales " fld="9" baseField="0" baseItem="0"/>
  </dataFields>
  <chartFormats count="5">
    <chartFormat chart="5" format="7" series="1">
      <pivotArea type="data" outline="0" fieldPosition="0">
        <references count="1">
          <reference field="4294967294" count="1" selected="0">
            <x v="1"/>
          </reference>
        </references>
      </pivotArea>
    </chartFormat>
    <chartFormat chart="22" format="6" series="1">
      <pivotArea type="data" outline="0" fieldPosition="0">
        <references count="1">
          <reference field="4294967294" count="1" selected="0">
            <x v="1"/>
          </reference>
        </references>
      </pivotArea>
    </chartFormat>
    <chartFormat chart="26" format="6" series="1">
      <pivotArea type="data" outline="0" fieldPosition="0">
        <references count="1">
          <reference field="4294967294" count="1" selected="0">
            <x v="1"/>
          </reference>
        </references>
      </pivotArea>
    </chartFormat>
    <chartFormat chart="27" format="8" series="1">
      <pivotArea type="data" outline="0" fieldPosition="0">
        <references count="1">
          <reference field="4294967294" count="1" selected="0">
            <x v="1"/>
          </reference>
        </references>
      </pivotArea>
    </chartFormat>
    <chartFormat chart="2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1CE248-24E0-6749-B220-84889232F7E7}" name="profit by country"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E7:F13" firstHeaderRow="1" firstDataRow="1" firstDataCol="1"/>
  <pivotFields count="27">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showAll="0"/>
    <pivotField showAll="0"/>
    <pivotField showAll="0"/>
    <pivotField showAll="0"/>
    <pivotField showAll="0"/>
    <pivotField showAll="0"/>
    <pivotField dataField="1" numFmtId="166" showAll="0"/>
    <pivotField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Sum of  Profit " fld="11" baseField="0" baseItem="0" numFmtId="166"/>
  </dataFields>
  <chartFormats count="1">
    <chartFormat chart="2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DDED78C7-B981-0F43-9161-DA7C64543F0B}" autoFormatId="16" applyNumberFormats="0" applyBorderFormats="0" applyFontFormats="0" applyPatternFormats="0" applyAlignmentFormats="0" applyWidthHeightFormats="0">
  <queryTableRefresh nextId="17">
    <queryTableFields count="16">
      <queryTableField id="1" name="Segment" tableColumnId="1"/>
      <queryTableField id="2" name="Country" tableColumnId="2"/>
      <queryTableField id="3" name=" Product " tableColumnId="3"/>
      <queryTableField id="4" name=" Discount Band " tableColumnId="4"/>
      <queryTableField id="5" name=" Units Sold " tableColumnId="5"/>
      <queryTableField id="6" name=" Manufacturing Price " tableColumnId="6"/>
      <queryTableField id="7" name=" Sale Price " tableColumnId="7"/>
      <queryTableField id="8" name=" Gross Sales " tableColumnId="8"/>
      <queryTableField id="9" name=" Discounts " tableColumnId="9"/>
      <queryTableField id="10" name="  Sales " tableColumnId="10"/>
      <queryTableField id="11" name=" COGS " tableColumnId="11"/>
      <queryTableField id="12" name=" Profit " tableColumnId="12"/>
      <queryTableField id="13" name="Date" tableColumnId="13"/>
      <queryTableField id="14" name="Month Number" tableColumnId="14"/>
      <queryTableField id="15" name=" Month Name " tableColumnId="15"/>
      <queryTableField id="16" name="Year"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3287D259-D539-A94A-B528-CCD7F027EC78}" autoFormatId="16" applyNumberFormats="0" applyBorderFormats="0" applyFontFormats="0" applyPatternFormats="0" applyAlignmentFormats="0" applyWidthHeightFormats="0">
  <queryTableRefresh nextId="24" unboundColumnsRight="7">
    <queryTableFields count="23">
      <queryTableField id="1" name="Segment" tableColumnId="1"/>
      <queryTableField id="2" name="Country" tableColumnId="2"/>
      <queryTableField id="3" name=" Product " tableColumnId="3"/>
      <queryTableField id="4" name=" Discount Band " tableColumnId="4"/>
      <queryTableField id="5" name=" Units Sold " tableColumnId="5"/>
      <queryTableField id="6" name=" Manufacturing Price " tableColumnId="6"/>
      <queryTableField id="7" name=" Sale Price " tableColumnId="7"/>
      <queryTableField id="8" name=" Gross Sales " tableColumnId="8"/>
      <queryTableField id="9" name=" Discounts " tableColumnId="9"/>
      <queryTableField id="10" name="  Sales " tableColumnId="10"/>
      <queryTableField id="11" name=" COGS " tableColumnId="11"/>
      <queryTableField id="12" name=" Profit " tableColumnId="12"/>
      <queryTableField id="13" name="Date" tableColumnId="13"/>
      <queryTableField id="14" name="Month Number" tableColumnId="14"/>
      <queryTableField id="15" name=" Month Name " tableColumnId="15"/>
      <queryTableField id="16" name="Year"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B83F39C-58B3-4041-951C-CDBAAC64E4F7}" sourceName="Segment">
  <pivotTables>
    <pivotTable tabId="6" name="month vise profy vs sales"/>
    <pivotTable tabId="6" name="PivotTable14"/>
    <pivotTable tabId="6" name="PivotTable17"/>
    <pivotTable tabId="6" name="profit by country"/>
    <pivotTable tabId="6" name="profit by product"/>
    <pivotTable tabId="6" name="sales by segment"/>
    <pivotTable tabId="6" name="sales by year"/>
    <pivotTable tabId="6" name="sum_of_discount"/>
    <pivotTable tabId="6" name="sum_of_gross"/>
    <pivotTable tabId="6" name="sum_of_profit"/>
    <pivotTable tabId="6" name="sum_of_sales"/>
    <pivotTable tabId="6" name="sum_of_unit"/>
  </pivotTables>
  <data>
    <tabular pivotCacheId="1262023883">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A11185F-AAFF-6B4C-8070-12903AF6BF42}" sourceName="Country">
  <pivotTables>
    <pivotTable tabId="6" name="month vise profy vs sales"/>
    <pivotTable tabId="6" name="PivotTable14"/>
    <pivotTable tabId="6" name="PivotTable17"/>
    <pivotTable tabId="6" name="profit by country"/>
    <pivotTable tabId="6" name="profit by product"/>
    <pivotTable tabId="6" name="sales by segment"/>
    <pivotTable tabId="6" name="sales by year"/>
    <pivotTable tabId="6" name="sum_of_discount"/>
    <pivotTable tabId="6" name="sum_of_gross"/>
    <pivotTable tabId="6" name="sum_of_profit"/>
    <pivotTable tabId="6" name="sum_of_sales"/>
    <pivotTable tabId="6" name="sum_of_unit"/>
  </pivotTables>
  <data>
    <tabular pivotCacheId="1262023883">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D54AF23-25E7-094C-AFA2-53773BBFA397}" sourceName=" Product ">
  <pivotTables>
    <pivotTable tabId="6" name="month vise profy vs sales"/>
    <pivotTable tabId="6" name="PivotTable14"/>
    <pivotTable tabId="6" name="profit by country"/>
    <pivotTable tabId="6" name="profit by product"/>
    <pivotTable tabId="6" name="sales by segment"/>
    <pivotTable tabId="6" name="sales by year"/>
    <pivotTable tabId="6" name="sum_of_discount"/>
    <pivotTable tabId="6" name="sum_of_gross"/>
    <pivotTable tabId="6" name="sum_of_profit"/>
    <pivotTable tabId="6" name="sum_of_sales"/>
    <pivotTable tabId="6" name="sum_of_unit"/>
  </pivotTables>
  <data>
    <tabular pivotCacheId="1262023883">
      <items count="6">
        <i x="5"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BF88DD9A-A1F4-AF42-85C4-001DD67F022C}" sourceName=" Discount Band ">
  <pivotTables>
    <pivotTable tabId="6" name="month vise profy vs sales"/>
    <pivotTable tabId="6" name="PivotTable14"/>
    <pivotTable tabId="6" name="PivotTable17"/>
    <pivotTable tabId="6" name="profit by country"/>
    <pivotTable tabId="6" name="profit by product"/>
    <pivotTable tabId="6" name="sales by segment"/>
    <pivotTable tabId="6" name="sales by year"/>
    <pivotTable tabId="6" name="sum_of_discount"/>
    <pivotTable tabId="6" name="sum_of_gross"/>
    <pivotTable tabId="6" name="sum_of_profit"/>
    <pivotTable tabId="6" name="sum_of_sales"/>
    <pivotTable tabId="6" name="sum_of_unit"/>
  </pivotTables>
  <data>
    <tabular pivotCacheId="1262023883">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2B080D4-E8B4-9C4B-940B-FB057B7DDB7B}" sourceName="Year">
  <pivotTables>
    <pivotTable tabId="6" name="month vise profy vs sales"/>
    <pivotTable tabId="6" name="PivotTable14"/>
    <pivotTable tabId="6" name="PivotTable17"/>
    <pivotTable tabId="6" name="profit by country"/>
    <pivotTable tabId="6" name="profit by product"/>
    <pivotTable tabId="6" name="sales by segment"/>
    <pivotTable tabId="6" name="sales by year"/>
    <pivotTable tabId="6" name="sum_of_discount"/>
    <pivotTable tabId="6" name="sum_of_gross"/>
    <pivotTable tabId="6" name="sum_of_profit"/>
    <pivotTable tabId="6" name="sum_of_sales"/>
    <pivotTable tabId="6" name="sum_of_unit"/>
  </pivotTables>
  <data>
    <tabular pivotCacheId="1262023883">
      <items count="2">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1DC6AF45-FD09-7E40-A3B8-487B4EFBCFCF}" cache="Slicer_Segment" caption="Segment" columnCount="2" style="SlicerStyleDark6" rowHeight="251883"/>
  <slicer name="Country 2" xr10:uid="{8939F81D-6BBB-4C41-99A3-D22C74F4D3BD}" cache="Slicer_Country" caption="Country" columnCount="2" style="SlicerStyleDark6" rowHeight="251883"/>
  <slicer name=" Product  2" xr10:uid="{E0602DD3-4C21-8047-8D56-2F20C27BB766}" cache="Slicer_Product" caption=" Product " columnCount="2" style="SlicerStyleDark2" rowHeight="251883"/>
  <slicer name=" Discount Band  2" xr10:uid="{1B8FC0E8-8423-3941-B016-B533E792B47C}" cache="Slicer_Discount_Band" caption=" Discount Band " columnCount="2" style="SlicerStyleDark2" rowHeight="251883"/>
  <slicer name="Year 3" xr10:uid="{8FD8CCEE-9AE6-5C49-8A6A-2511C8D3A932}" cache="Slicer_Year" caption="Year" style="SlicerStyleDark2" rowHeight="256032"/>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20755C-28B3-AE4B-99BB-D746B88D7D78}" name="financial_data__4" displayName="financial_data__4" ref="A1:P701" tableType="queryTable" totalsRowShown="0">
  <autoFilter ref="A1:P701" xr:uid="{BB20755C-28B3-AE4B-99BB-D746B88D7D78}"/>
  <tableColumns count="16">
    <tableColumn id="1" xr3:uid="{7F267EF8-92B2-5E4E-96F5-1DB72008A5E6}" uniqueName="1" name="Segment" queryTableFieldId="1" dataDxfId="7"/>
    <tableColumn id="2" xr3:uid="{E4400FB7-CC64-C54A-95D5-C88CB468ED8F}" uniqueName="2" name="Country" queryTableFieldId="2" dataDxfId="6"/>
    <tableColumn id="3" xr3:uid="{72AC3FCA-6ACB-EE48-83A8-740E209BE62D}" uniqueName="3" name=" Product " queryTableFieldId="3" dataDxfId="5"/>
    <tableColumn id="4" xr3:uid="{57C863AE-F4EA-D34D-B5A4-893A7753B6F7}" uniqueName="4" name=" Discount Band " queryTableFieldId="4" dataDxfId="4"/>
    <tableColumn id="5" xr3:uid="{845CB7D3-7A02-DA41-B4CF-5DDAE2C562A8}" uniqueName="5" name=" Units Sold " queryTableFieldId="5"/>
    <tableColumn id="6" xr3:uid="{3AE824F1-1019-5D41-81C4-2717FB8272F9}" uniqueName="6" name=" Manufacturing Price " queryTableFieldId="6"/>
    <tableColumn id="7" xr3:uid="{F754AA4E-C833-B14F-8C17-88820941E4C0}" uniqueName="7" name=" Sale Price " queryTableFieldId="7"/>
    <tableColumn id="8" xr3:uid="{14A5BD04-0440-8F40-8BF2-7DA3565516A7}" uniqueName="8" name=" Gross Sales " queryTableFieldId="8"/>
    <tableColumn id="9" xr3:uid="{0D78DC8E-5361-A341-A52C-A97A7225A03C}" uniqueName="9" name=" Discounts " queryTableFieldId="9" dataDxfId="3"/>
    <tableColumn id="10" xr3:uid="{2800DB77-4C9E-8E4B-BBE1-957E40B0FC00}" uniqueName="10" name="  Sales " queryTableFieldId="10"/>
    <tableColumn id="11" xr3:uid="{51E5C25A-69E7-5245-8EC3-C97D8C4ABE2F}" uniqueName="11" name=" COGS " queryTableFieldId="11"/>
    <tableColumn id="12" xr3:uid="{842A3260-89AB-6B45-AAF3-9454925883D9}" uniqueName="12" name=" Profit " queryTableFieldId="12" dataDxfId="2"/>
    <tableColumn id="13" xr3:uid="{82CF844D-923D-0248-B59E-430ADD21B642}" uniqueName="13" name="Date" queryTableFieldId="13" dataDxfId="1"/>
    <tableColumn id="14" xr3:uid="{BB732CBF-8B7C-824B-A0F6-C6A5C7786C3C}" uniqueName="14" name="Month Number" queryTableFieldId="14"/>
    <tableColumn id="15" xr3:uid="{4BFA4267-17A3-EF46-875C-664B38C02787}" uniqueName="15" name=" Month Name " queryTableFieldId="15" dataDxfId="0"/>
    <tableColumn id="16" xr3:uid="{10FAA009-D7CD-724D-AE85-35588F25DED9}" uniqueName="16" name="Year"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EB32D1-4BE5-6A4B-AC99-EB879B6E20D7}" name="New_Finance_Data" displayName="New_Finance_Data" ref="A1:W701" tableType="queryTable" totalsRowShown="0">
  <autoFilter ref="A1:W701" xr:uid="{83EB32D1-4BE5-6A4B-AC99-EB879B6E20D7}"/>
  <tableColumns count="23">
    <tableColumn id="1" xr3:uid="{56E4C197-10E4-624F-99FD-5C621C48B0A8}" uniqueName="1" name="Segment" queryTableFieldId="1" dataDxfId="30"/>
    <tableColumn id="2" xr3:uid="{15C80F4D-1298-D749-95BF-AADCBBDD8B19}" uniqueName="2" name="Country" queryTableFieldId="2" dataDxfId="29"/>
    <tableColumn id="3" xr3:uid="{19BFBEBD-BE48-F549-B566-AC9F1B13A550}" uniqueName="3" name=" Product " queryTableFieldId="3" dataDxfId="28"/>
    <tableColumn id="4" xr3:uid="{E5A621EE-B7DC-FD44-A0F4-BE8ABA6D8492}" uniqueName="4" name=" Discount Band " queryTableFieldId="4" dataDxfId="27"/>
    <tableColumn id="5" xr3:uid="{C0F904BE-4085-7542-AE06-B90CD43E41DD}" uniqueName="5" name=" Units Sold " queryTableFieldId="5" dataDxfId="26"/>
    <tableColumn id="6" xr3:uid="{AFAE6DC0-89D0-A641-97FF-5A438BF300C8}" uniqueName="6" name=" Manufacturing Price " queryTableFieldId="6" dataDxfId="25"/>
    <tableColumn id="7" xr3:uid="{6E1C4FD5-5301-1049-9143-0397BC391F1B}" uniqueName="7" name=" Sale Price " queryTableFieldId="7" dataDxfId="24"/>
    <tableColumn id="8" xr3:uid="{7523499F-093C-4D4C-AA1A-032BBFA23608}" uniqueName="8" name=" Gross Sales " queryTableFieldId="8" dataDxfId="23"/>
    <tableColumn id="9" xr3:uid="{C4A27005-5C3A-E04A-BDE1-DFB2D1A51294}" uniqueName="9" name=" Discounts " queryTableFieldId="9" dataDxfId="22"/>
    <tableColumn id="10" xr3:uid="{EF09E78C-3781-1F41-8C71-4113AADAEA88}" uniqueName="10" name="  Sales " queryTableFieldId="10" dataDxfId="21"/>
    <tableColumn id="11" xr3:uid="{FAD070A3-D5A0-5B44-8002-0FDCF8E06F41}" uniqueName="11" name=" COGS " queryTableFieldId="11" dataDxfId="20"/>
    <tableColumn id="12" xr3:uid="{90B6293B-9030-ED4C-ADF3-C0A86D0E9C39}" uniqueName="12" name=" Profit " queryTableFieldId="12" dataDxfId="19"/>
    <tableColumn id="13" xr3:uid="{468D03E5-CF11-AE45-A160-9FC5FD810B5B}" uniqueName="13" name="Date" queryTableFieldId="13" dataDxfId="18"/>
    <tableColumn id="14" xr3:uid="{A01F34B2-BC5D-CB4D-98ED-15D38B1A8925}" uniqueName="14" name="Month Number" queryTableFieldId="14" dataDxfId="17"/>
    <tableColumn id="15" xr3:uid="{75F695B6-1CF1-C54F-A2AD-90FEF91A4786}" uniqueName="15" name=" Month Name " queryTableFieldId="15" dataDxfId="16"/>
    <tableColumn id="16" xr3:uid="{A35656C7-A222-6846-AC6B-E7C85CCC7AFC}" uniqueName="16" name="Year" queryTableFieldId="16" dataDxfId="15"/>
    <tableColumn id="17" xr3:uid="{425ACC41-400A-D24B-8864-AAEF92D1F442}" uniqueName="17" name="Profit margin" queryTableFieldId="17" dataDxfId="14">
      <calculatedColumnFormula>New_Finance_Data[[#This Row],[ Profit ]]/New_Finance_Data[[#This Row],[  Sales ]]</calculatedColumnFormula>
    </tableColumn>
    <tableColumn id="18" xr3:uid="{6B505769-39B4-9746-9B57-66C1579DCF03}" uniqueName="18" name="Sales Category" queryTableFieldId="18" dataDxfId="13">
      <calculatedColumnFormula>IF(New_Finance_Data[[#This Row],[  Sales ]]&gt;=100000,"High",IF(New_Finance_Data[[#This Row],[  Sales ]]&gt;=50000,"Medium","Low"))</calculatedColumnFormula>
    </tableColumn>
    <tableColumn id="19" xr3:uid="{7E7B9333-D11A-FB40-82B8-F7A6B4ECC1C7}" uniqueName="19" name="Error check" queryTableFieldId="19" dataDxfId="12">
      <calculatedColumnFormula>IF(OR(ISBLANK(New_Finance_Data[[#This Row],[  Sales ]]),ISBLANK(New_Finance_Data[[#This Row],[ Profit ]])),"Missing","OK")</calculatedColumnFormula>
    </tableColumn>
    <tableColumn id="20" xr3:uid="{C1999EEF-207C-9243-96E8-386A081E08E7}" uniqueName="20" name="month-year" queryTableFieldId="20" dataDxfId="11">
      <calculatedColumnFormula>TEXT(New_Finance_Data[[#This Row],[Date]],"MMM-YYYY")</calculatedColumnFormula>
    </tableColumn>
    <tableColumn id="21" xr3:uid="{74123080-E109-574C-A554-556AC3B49267}" uniqueName="21" name="Profit Status" queryTableFieldId="21" dataDxfId="10">
      <calculatedColumnFormula>IF(New_Finance_Data[[#This Row],[ Profit ]]&gt;0,"Profit","Loss")</calculatedColumnFormula>
    </tableColumn>
    <tableColumn id="22" xr3:uid="{54AEBF79-BD51-A940-A959-8EEAFB13B804}" uniqueName="22" name="Sales Size" queryTableFieldId="22" dataDxfId="9">
      <calculatedColumnFormula>IF(New_Finance_Data[[#This Row],[  Sales ]]&gt;=50000,"High Sales","Low Sales")</calculatedColumnFormula>
    </tableColumn>
    <tableColumn id="23" xr3:uid="{737F1437-3815-3848-A492-A0DDBF99A44F}" uniqueName="23" name="ISDate" queryTableFieldId="23" dataDxfId="8">
      <calculatedColumnFormula>ISNUMBER(New_Finance_Data[[#This Row],[Date]])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E68320-823C-A846-BE90-F8045FDFF8EE}" name="Table4" displayName="Table4" ref="B51:I57" totalsRowShown="0" headerRowDxfId="66" dataDxfId="65">
  <autoFilter ref="B51:I57" xr:uid="{40E68320-823C-A846-BE90-F8045FDFF8E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2CA3B94-761D-F040-86F0-F8B9A28EDE5A}" name=" Product " dataDxfId="64"/>
    <tableColumn id="2" xr3:uid="{02B1D949-8556-D641-9430-F274BB10BE2D}" name="Sales($)" dataDxfId="63">
      <calculatedColumnFormula>GETPIVOTDATA("Sales ",Pivot!$I$32," Product "," Amarilla ")</calculatedColumnFormula>
    </tableColumn>
    <tableColumn id="3" xr3:uid="{3DCE6476-A957-5A44-8275-BEB06EEA54A6}" name="Gross Sales($)" dataDxfId="62">
      <calculatedColumnFormula>GETPIVOTDATA("Gross Sales($)",Pivot!$I$31," Product "," Amarilla ")</calculatedColumnFormula>
    </tableColumn>
    <tableColumn id="4" xr3:uid="{6AC7EEEF-D5E4-FE46-BC86-AF2C89D215BB}" name="COGS($)" dataDxfId="61">
      <calculatedColumnFormula>GETPIVOTDATA("Sum of  COGS ",Pivot!$I$31," Product "," Amarilla ")</calculatedColumnFormula>
    </tableColumn>
    <tableColumn id="5" xr3:uid="{B69285BE-422A-6B41-B6C4-89826735B68B}" name="Discounts($)" dataDxfId="60">
      <calculatedColumnFormula>GETPIVOTDATA("Sum of  Discounts ",Pivot!$I$31," Product "," Amarilla ")</calculatedColumnFormula>
    </tableColumn>
    <tableColumn id="6" xr3:uid="{31041435-2FFF-CD47-8F17-CA435B2CCBF5}" name="Profit($)" dataDxfId="59">
      <calculatedColumnFormula>GETPIVOTDATA("Sum of  Profit ",Pivot!$I$31," Product "," Amarilla ")</calculatedColumnFormula>
    </tableColumn>
    <tableColumn id="7" xr3:uid="{C2403053-0E70-7645-93D0-FD795789A44C}" name="Profti Margin(%)" dataDxfId="58">
      <calculatedColumnFormula>Table4[[#This Row],[Profit($)]]/Table4[[#This Row],[Sales($)]]</calculatedColumnFormula>
    </tableColumn>
    <tableColumn id="8" xr3:uid="{CCE0AAED-7982-434E-AF14-46B4510A3123}" name="Units Sold " dataDxfId="57">
      <calculatedColumnFormula>GETPIVOTDATA("Units Sold ",Pivot!$I$31," Product "," Amarilla ")</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29FDF-B9E8-4C4E-A4FD-E08AD234B360}">
  <dimension ref="A1:P701"/>
  <sheetViews>
    <sheetView workbookViewId="0"/>
  </sheetViews>
  <sheetFormatPr baseColWidth="10" defaultRowHeight="16" x14ac:dyDescent="0.2"/>
  <cols>
    <col min="1" max="1" width="15" bestFit="1" customWidth="1"/>
    <col min="2" max="2" width="22.1640625" bestFit="1" customWidth="1"/>
    <col min="4" max="4" width="16.5" bestFit="1" customWidth="1"/>
    <col min="5" max="5" width="13" bestFit="1" customWidth="1"/>
    <col min="6" max="6" width="21.33203125" bestFit="1" customWidth="1"/>
    <col min="7" max="7" width="12.6640625" bestFit="1" customWidth="1"/>
    <col min="8" max="8" width="14.1640625" bestFit="1" customWidth="1"/>
    <col min="9" max="9" width="12.6640625" bestFit="1" customWidth="1"/>
    <col min="10" max="10" width="10.1640625" bestFit="1" customWidth="1"/>
    <col min="11" max="11" width="9.33203125" bestFit="1" customWidth="1"/>
    <col min="12" max="12" width="12.1640625" bestFit="1" customWidth="1"/>
    <col min="13" max="13" width="8.83203125" bestFit="1" customWidth="1"/>
    <col min="14" max="14" width="16.1640625" bestFit="1" customWidth="1"/>
    <col min="15" max="15" width="15.5" bestFit="1" customWidth="1"/>
    <col min="16" max="16" width="7.33203125" bestFit="1" customWidth="1"/>
  </cols>
  <sheetData>
    <row r="1" spans="1:16" x14ac:dyDescent="0.2">
      <c r="A1" t="s">
        <v>0</v>
      </c>
      <c r="B1" t="s">
        <v>1</v>
      </c>
      <c r="C1" t="s">
        <v>2</v>
      </c>
      <c r="D1" t="s">
        <v>3</v>
      </c>
      <c r="E1" t="s">
        <v>4</v>
      </c>
      <c r="F1" t="s">
        <v>5</v>
      </c>
      <c r="G1" t="s">
        <v>6</v>
      </c>
      <c r="H1" t="s">
        <v>7</v>
      </c>
      <c r="I1" t="s">
        <v>8</v>
      </c>
      <c r="J1" t="s">
        <v>9</v>
      </c>
      <c r="K1" t="s">
        <v>10</v>
      </c>
      <c r="L1" t="s">
        <v>88</v>
      </c>
      <c r="M1" t="s">
        <v>11</v>
      </c>
      <c r="N1" t="s">
        <v>12</v>
      </c>
      <c r="O1" t="s">
        <v>13</v>
      </c>
      <c r="P1" t="s">
        <v>14</v>
      </c>
    </row>
    <row r="2" spans="1:16" x14ac:dyDescent="0.2">
      <c r="A2" s="43" t="s">
        <v>15</v>
      </c>
      <c r="B2" s="43" t="s">
        <v>16</v>
      </c>
      <c r="C2" s="43" t="s">
        <v>17</v>
      </c>
      <c r="D2" s="43" t="s">
        <v>18</v>
      </c>
      <c r="E2">
        <v>1618.5</v>
      </c>
      <c r="F2">
        <v>3</v>
      </c>
      <c r="G2">
        <v>20</v>
      </c>
      <c r="H2">
        <v>32370</v>
      </c>
      <c r="I2" s="43" t="s">
        <v>105</v>
      </c>
      <c r="J2">
        <v>32370</v>
      </c>
      <c r="K2">
        <v>16185</v>
      </c>
      <c r="L2" s="43" t="s">
        <v>106</v>
      </c>
      <c r="M2" s="44">
        <v>41640</v>
      </c>
      <c r="N2">
        <v>1</v>
      </c>
      <c r="O2" s="43" t="s">
        <v>19</v>
      </c>
      <c r="P2">
        <v>2014</v>
      </c>
    </row>
    <row r="3" spans="1:16" x14ac:dyDescent="0.2">
      <c r="A3" s="43" t="s">
        <v>15</v>
      </c>
      <c r="B3" s="43" t="s">
        <v>20</v>
      </c>
      <c r="C3" s="43" t="s">
        <v>17</v>
      </c>
      <c r="D3" s="43" t="s">
        <v>18</v>
      </c>
      <c r="E3">
        <v>1321</v>
      </c>
      <c r="F3">
        <v>3</v>
      </c>
      <c r="G3">
        <v>20</v>
      </c>
      <c r="H3">
        <v>26420</v>
      </c>
      <c r="I3" s="43" t="s">
        <v>105</v>
      </c>
      <c r="J3">
        <v>26420</v>
      </c>
      <c r="K3">
        <v>13210</v>
      </c>
      <c r="L3" s="43" t="s">
        <v>107</v>
      </c>
      <c r="M3" s="44">
        <v>41640</v>
      </c>
      <c r="N3">
        <v>1</v>
      </c>
      <c r="O3" s="43" t="s">
        <v>19</v>
      </c>
      <c r="P3">
        <v>2014</v>
      </c>
    </row>
    <row r="4" spans="1:16" x14ac:dyDescent="0.2">
      <c r="A4" s="43" t="s">
        <v>21</v>
      </c>
      <c r="B4" s="43" t="s">
        <v>22</v>
      </c>
      <c r="C4" s="43" t="s">
        <v>17</v>
      </c>
      <c r="D4" s="43" t="s">
        <v>18</v>
      </c>
      <c r="E4">
        <v>2178</v>
      </c>
      <c r="F4">
        <v>3</v>
      </c>
      <c r="G4">
        <v>15</v>
      </c>
      <c r="H4">
        <v>32670</v>
      </c>
      <c r="I4" s="43" t="s">
        <v>105</v>
      </c>
      <c r="J4">
        <v>32670</v>
      </c>
      <c r="K4">
        <v>21780</v>
      </c>
      <c r="L4" s="43" t="s">
        <v>108</v>
      </c>
      <c r="M4" s="44">
        <v>41791</v>
      </c>
      <c r="N4">
        <v>6</v>
      </c>
      <c r="O4" s="43" t="s">
        <v>23</v>
      </c>
      <c r="P4">
        <v>2014</v>
      </c>
    </row>
    <row r="5" spans="1:16" x14ac:dyDescent="0.2">
      <c r="A5" s="43" t="s">
        <v>21</v>
      </c>
      <c r="B5" s="43" t="s">
        <v>20</v>
      </c>
      <c r="C5" s="43" t="s">
        <v>17</v>
      </c>
      <c r="D5" s="43" t="s">
        <v>18</v>
      </c>
      <c r="E5">
        <v>888</v>
      </c>
      <c r="F5">
        <v>3</v>
      </c>
      <c r="G5">
        <v>15</v>
      </c>
      <c r="H5">
        <v>13320</v>
      </c>
      <c r="I5" s="43" t="s">
        <v>105</v>
      </c>
      <c r="J5">
        <v>13320</v>
      </c>
      <c r="K5">
        <v>8880</v>
      </c>
      <c r="L5" s="43" t="s">
        <v>109</v>
      </c>
      <c r="M5" s="44">
        <v>41791</v>
      </c>
      <c r="N5">
        <v>6</v>
      </c>
      <c r="O5" s="43" t="s">
        <v>23</v>
      </c>
      <c r="P5">
        <v>2014</v>
      </c>
    </row>
    <row r="6" spans="1:16" x14ac:dyDescent="0.2">
      <c r="A6" s="43" t="s">
        <v>21</v>
      </c>
      <c r="B6" s="43" t="s">
        <v>24</v>
      </c>
      <c r="C6" s="43" t="s">
        <v>17</v>
      </c>
      <c r="D6" s="43" t="s">
        <v>18</v>
      </c>
      <c r="E6">
        <v>2470</v>
      </c>
      <c r="F6">
        <v>3</v>
      </c>
      <c r="G6">
        <v>15</v>
      </c>
      <c r="H6">
        <v>37050</v>
      </c>
      <c r="I6" s="43" t="s">
        <v>105</v>
      </c>
      <c r="J6">
        <v>37050</v>
      </c>
      <c r="K6">
        <v>24700</v>
      </c>
      <c r="L6" s="43" t="s">
        <v>110</v>
      </c>
      <c r="M6" s="44">
        <v>41791</v>
      </c>
      <c r="N6">
        <v>6</v>
      </c>
      <c r="O6" s="43" t="s">
        <v>23</v>
      </c>
      <c r="P6">
        <v>2014</v>
      </c>
    </row>
    <row r="7" spans="1:16" x14ac:dyDescent="0.2">
      <c r="A7" s="43" t="s">
        <v>15</v>
      </c>
      <c r="B7" s="43" t="s">
        <v>20</v>
      </c>
      <c r="C7" s="43" t="s">
        <v>17</v>
      </c>
      <c r="D7" s="43" t="s">
        <v>18</v>
      </c>
      <c r="E7">
        <v>1513</v>
      </c>
      <c r="F7">
        <v>3</v>
      </c>
      <c r="G7">
        <v>350</v>
      </c>
      <c r="H7">
        <v>529550</v>
      </c>
      <c r="I7" s="43" t="s">
        <v>105</v>
      </c>
      <c r="J7">
        <v>529550</v>
      </c>
      <c r="K7">
        <v>393380</v>
      </c>
      <c r="L7" s="43" t="s">
        <v>111</v>
      </c>
      <c r="M7" s="44">
        <v>41974</v>
      </c>
      <c r="N7">
        <v>12</v>
      </c>
      <c r="O7" s="43" t="s">
        <v>25</v>
      </c>
      <c r="P7">
        <v>2014</v>
      </c>
    </row>
    <row r="8" spans="1:16" x14ac:dyDescent="0.2">
      <c r="A8" s="43" t="s">
        <v>21</v>
      </c>
      <c r="B8" s="43" t="s">
        <v>20</v>
      </c>
      <c r="C8" s="43" t="s">
        <v>26</v>
      </c>
      <c r="D8" s="43" t="s">
        <v>18</v>
      </c>
      <c r="E8">
        <v>921</v>
      </c>
      <c r="F8">
        <v>5</v>
      </c>
      <c r="G8">
        <v>15</v>
      </c>
      <c r="H8">
        <v>13815</v>
      </c>
      <c r="I8" s="43" t="s">
        <v>105</v>
      </c>
      <c r="J8">
        <v>13815</v>
      </c>
      <c r="K8">
        <v>9210</v>
      </c>
      <c r="L8" s="43" t="s">
        <v>112</v>
      </c>
      <c r="M8" s="44">
        <v>41699</v>
      </c>
      <c r="N8">
        <v>3</v>
      </c>
      <c r="O8" s="43" t="s">
        <v>27</v>
      </c>
      <c r="P8">
        <v>2014</v>
      </c>
    </row>
    <row r="9" spans="1:16" x14ac:dyDescent="0.2">
      <c r="A9" s="43" t="s">
        <v>28</v>
      </c>
      <c r="B9" s="43" t="s">
        <v>16</v>
      </c>
      <c r="C9" s="43" t="s">
        <v>26</v>
      </c>
      <c r="D9" s="43" t="s">
        <v>18</v>
      </c>
      <c r="E9">
        <v>2518</v>
      </c>
      <c r="F9">
        <v>5</v>
      </c>
      <c r="G9">
        <v>12</v>
      </c>
      <c r="H9">
        <v>30216</v>
      </c>
      <c r="I9" s="43" t="s">
        <v>105</v>
      </c>
      <c r="J9">
        <v>30216</v>
      </c>
      <c r="K9">
        <v>7554</v>
      </c>
      <c r="L9" s="43" t="s">
        <v>113</v>
      </c>
      <c r="M9" s="44">
        <v>41791</v>
      </c>
      <c r="N9">
        <v>6</v>
      </c>
      <c r="O9" s="43" t="s">
        <v>23</v>
      </c>
      <c r="P9">
        <v>2014</v>
      </c>
    </row>
    <row r="10" spans="1:16" x14ac:dyDescent="0.2">
      <c r="A10" s="43" t="s">
        <v>15</v>
      </c>
      <c r="B10" s="43" t="s">
        <v>22</v>
      </c>
      <c r="C10" s="43" t="s">
        <v>26</v>
      </c>
      <c r="D10" s="43" t="s">
        <v>18</v>
      </c>
      <c r="E10">
        <v>1899</v>
      </c>
      <c r="F10">
        <v>5</v>
      </c>
      <c r="G10">
        <v>20</v>
      </c>
      <c r="H10">
        <v>37980</v>
      </c>
      <c r="I10" s="43" t="s">
        <v>105</v>
      </c>
      <c r="J10">
        <v>37980</v>
      </c>
      <c r="K10">
        <v>18990</v>
      </c>
      <c r="L10" s="43" t="s">
        <v>114</v>
      </c>
      <c r="M10" s="44">
        <v>41791</v>
      </c>
      <c r="N10">
        <v>6</v>
      </c>
      <c r="O10" s="43" t="s">
        <v>23</v>
      </c>
      <c r="P10">
        <v>2014</v>
      </c>
    </row>
    <row r="11" spans="1:16" x14ac:dyDescent="0.2">
      <c r="A11" s="43" t="s">
        <v>28</v>
      </c>
      <c r="B11" s="43" t="s">
        <v>20</v>
      </c>
      <c r="C11" s="43" t="s">
        <v>26</v>
      </c>
      <c r="D11" s="43" t="s">
        <v>18</v>
      </c>
      <c r="E11">
        <v>1545</v>
      </c>
      <c r="F11">
        <v>5</v>
      </c>
      <c r="G11">
        <v>12</v>
      </c>
      <c r="H11">
        <v>18540</v>
      </c>
      <c r="I11" s="43" t="s">
        <v>105</v>
      </c>
      <c r="J11">
        <v>18540</v>
      </c>
      <c r="K11">
        <v>4635</v>
      </c>
      <c r="L11" s="43" t="s">
        <v>115</v>
      </c>
      <c r="M11" s="44">
        <v>41791</v>
      </c>
      <c r="N11">
        <v>6</v>
      </c>
      <c r="O11" s="43" t="s">
        <v>23</v>
      </c>
      <c r="P11">
        <v>2014</v>
      </c>
    </row>
    <row r="12" spans="1:16" x14ac:dyDescent="0.2">
      <c r="A12" s="43" t="s">
        <v>21</v>
      </c>
      <c r="B12" s="43" t="s">
        <v>24</v>
      </c>
      <c r="C12" s="43" t="s">
        <v>26</v>
      </c>
      <c r="D12" s="43" t="s">
        <v>18</v>
      </c>
      <c r="E12">
        <v>2470</v>
      </c>
      <c r="F12">
        <v>5</v>
      </c>
      <c r="G12">
        <v>15</v>
      </c>
      <c r="H12">
        <v>37050</v>
      </c>
      <c r="I12" s="43" t="s">
        <v>105</v>
      </c>
      <c r="J12">
        <v>37050</v>
      </c>
      <c r="K12">
        <v>24700</v>
      </c>
      <c r="L12" s="43" t="s">
        <v>110</v>
      </c>
      <c r="M12" s="44">
        <v>41791</v>
      </c>
      <c r="N12">
        <v>6</v>
      </c>
      <c r="O12" s="43" t="s">
        <v>23</v>
      </c>
      <c r="P12">
        <v>2014</v>
      </c>
    </row>
    <row r="13" spans="1:16" x14ac:dyDescent="0.2">
      <c r="A13" s="43" t="s">
        <v>29</v>
      </c>
      <c r="B13" s="43" t="s">
        <v>16</v>
      </c>
      <c r="C13" s="43" t="s">
        <v>26</v>
      </c>
      <c r="D13" s="43" t="s">
        <v>18</v>
      </c>
      <c r="E13">
        <v>2665.5</v>
      </c>
      <c r="F13">
        <v>5</v>
      </c>
      <c r="G13">
        <v>125</v>
      </c>
      <c r="H13">
        <v>333187.5</v>
      </c>
      <c r="I13" s="43" t="s">
        <v>105</v>
      </c>
      <c r="J13">
        <v>333187.5</v>
      </c>
      <c r="K13">
        <v>319860</v>
      </c>
      <c r="L13" s="43" t="s">
        <v>116</v>
      </c>
      <c r="M13" s="44">
        <v>41821</v>
      </c>
      <c r="N13">
        <v>7</v>
      </c>
      <c r="O13" s="43" t="s">
        <v>30</v>
      </c>
      <c r="P13">
        <v>2014</v>
      </c>
    </row>
    <row r="14" spans="1:16" x14ac:dyDescent="0.2">
      <c r="A14" s="43" t="s">
        <v>31</v>
      </c>
      <c r="B14" s="43" t="s">
        <v>24</v>
      </c>
      <c r="C14" s="43" t="s">
        <v>26</v>
      </c>
      <c r="D14" s="43" t="s">
        <v>18</v>
      </c>
      <c r="E14">
        <v>958</v>
      </c>
      <c r="F14">
        <v>5</v>
      </c>
      <c r="G14">
        <v>300</v>
      </c>
      <c r="H14">
        <v>287400</v>
      </c>
      <c r="I14" s="43" t="s">
        <v>105</v>
      </c>
      <c r="J14">
        <v>287400</v>
      </c>
      <c r="K14">
        <v>239500</v>
      </c>
      <c r="L14" s="43" t="s">
        <v>117</v>
      </c>
      <c r="M14" s="44">
        <v>41852</v>
      </c>
      <c r="N14">
        <v>8</v>
      </c>
      <c r="O14" s="43" t="s">
        <v>32</v>
      </c>
      <c r="P14">
        <v>2014</v>
      </c>
    </row>
    <row r="15" spans="1:16" x14ac:dyDescent="0.2">
      <c r="A15" s="43" t="s">
        <v>15</v>
      </c>
      <c r="B15" s="43" t="s">
        <v>20</v>
      </c>
      <c r="C15" s="43" t="s">
        <v>26</v>
      </c>
      <c r="D15" s="43" t="s">
        <v>18</v>
      </c>
      <c r="E15">
        <v>2146</v>
      </c>
      <c r="F15">
        <v>5</v>
      </c>
      <c r="G15">
        <v>7</v>
      </c>
      <c r="H15">
        <v>15022</v>
      </c>
      <c r="I15" s="43" t="s">
        <v>105</v>
      </c>
      <c r="J15">
        <v>15022</v>
      </c>
      <c r="K15">
        <v>10730</v>
      </c>
      <c r="L15" s="43" t="s">
        <v>118</v>
      </c>
      <c r="M15" s="44">
        <v>41883</v>
      </c>
      <c r="N15">
        <v>9</v>
      </c>
      <c r="O15" s="43" t="s">
        <v>33</v>
      </c>
      <c r="P15">
        <v>2014</v>
      </c>
    </row>
    <row r="16" spans="1:16" x14ac:dyDescent="0.2">
      <c r="A16" s="43" t="s">
        <v>29</v>
      </c>
      <c r="B16" s="43" t="s">
        <v>16</v>
      </c>
      <c r="C16" s="43" t="s">
        <v>26</v>
      </c>
      <c r="D16" s="43" t="s">
        <v>18</v>
      </c>
      <c r="E16">
        <v>345</v>
      </c>
      <c r="F16">
        <v>5</v>
      </c>
      <c r="G16">
        <v>125</v>
      </c>
      <c r="H16">
        <v>43125</v>
      </c>
      <c r="I16" s="43" t="s">
        <v>105</v>
      </c>
      <c r="J16">
        <v>43125</v>
      </c>
      <c r="K16">
        <v>41400</v>
      </c>
      <c r="L16" s="43" t="s">
        <v>119</v>
      </c>
      <c r="M16" s="44">
        <v>41548</v>
      </c>
      <c r="N16">
        <v>10</v>
      </c>
      <c r="O16" s="43" t="s">
        <v>34</v>
      </c>
      <c r="P16">
        <v>2013</v>
      </c>
    </row>
    <row r="17" spans="1:16" x14ac:dyDescent="0.2">
      <c r="A17" s="43" t="s">
        <v>21</v>
      </c>
      <c r="B17" s="43" t="s">
        <v>35</v>
      </c>
      <c r="C17" s="43" t="s">
        <v>26</v>
      </c>
      <c r="D17" s="43" t="s">
        <v>18</v>
      </c>
      <c r="E17">
        <v>615</v>
      </c>
      <c r="F17">
        <v>5</v>
      </c>
      <c r="G17">
        <v>15</v>
      </c>
      <c r="H17">
        <v>9225</v>
      </c>
      <c r="I17" s="43" t="s">
        <v>105</v>
      </c>
      <c r="J17">
        <v>9225</v>
      </c>
      <c r="K17">
        <v>6150</v>
      </c>
      <c r="L17" s="43" t="s">
        <v>120</v>
      </c>
      <c r="M17" s="44">
        <v>41974</v>
      </c>
      <c r="N17">
        <v>12</v>
      </c>
      <c r="O17" s="43" t="s">
        <v>25</v>
      </c>
      <c r="P17">
        <v>2014</v>
      </c>
    </row>
    <row r="18" spans="1:16" x14ac:dyDescent="0.2">
      <c r="A18" s="43" t="s">
        <v>15</v>
      </c>
      <c r="B18" s="43" t="s">
        <v>16</v>
      </c>
      <c r="C18" s="43" t="s">
        <v>36</v>
      </c>
      <c r="D18" s="43" t="s">
        <v>18</v>
      </c>
      <c r="E18">
        <v>292</v>
      </c>
      <c r="F18">
        <v>10</v>
      </c>
      <c r="G18">
        <v>20</v>
      </c>
      <c r="H18">
        <v>5840</v>
      </c>
      <c r="I18" s="43" t="s">
        <v>105</v>
      </c>
      <c r="J18">
        <v>5840</v>
      </c>
      <c r="K18">
        <v>2920</v>
      </c>
      <c r="L18" s="43" t="s">
        <v>121</v>
      </c>
      <c r="M18" s="44">
        <v>41671</v>
      </c>
      <c r="N18">
        <v>2</v>
      </c>
      <c r="O18" s="43" t="s">
        <v>37</v>
      </c>
      <c r="P18">
        <v>2014</v>
      </c>
    </row>
    <row r="19" spans="1:16" x14ac:dyDescent="0.2">
      <c r="A19" s="43" t="s">
        <v>21</v>
      </c>
      <c r="B19" s="43" t="s">
        <v>24</v>
      </c>
      <c r="C19" s="43" t="s">
        <v>36</v>
      </c>
      <c r="D19" s="43" t="s">
        <v>18</v>
      </c>
      <c r="E19">
        <v>974</v>
      </c>
      <c r="F19">
        <v>10</v>
      </c>
      <c r="G19">
        <v>15</v>
      </c>
      <c r="H19">
        <v>14610</v>
      </c>
      <c r="I19" s="43" t="s">
        <v>105</v>
      </c>
      <c r="J19">
        <v>14610</v>
      </c>
      <c r="K19">
        <v>9740</v>
      </c>
      <c r="L19" s="43" t="s">
        <v>122</v>
      </c>
      <c r="M19" s="44">
        <v>41671</v>
      </c>
      <c r="N19">
        <v>2</v>
      </c>
      <c r="O19" s="43" t="s">
        <v>37</v>
      </c>
      <c r="P19">
        <v>2014</v>
      </c>
    </row>
    <row r="20" spans="1:16" x14ac:dyDescent="0.2">
      <c r="A20" s="43" t="s">
        <v>28</v>
      </c>
      <c r="B20" s="43" t="s">
        <v>16</v>
      </c>
      <c r="C20" s="43" t="s">
        <v>36</v>
      </c>
      <c r="D20" s="43" t="s">
        <v>18</v>
      </c>
      <c r="E20">
        <v>2518</v>
      </c>
      <c r="F20">
        <v>10</v>
      </c>
      <c r="G20">
        <v>12</v>
      </c>
      <c r="H20">
        <v>30216</v>
      </c>
      <c r="I20" s="43" t="s">
        <v>105</v>
      </c>
      <c r="J20">
        <v>30216</v>
      </c>
      <c r="K20">
        <v>7554</v>
      </c>
      <c r="L20" s="43" t="s">
        <v>113</v>
      </c>
      <c r="M20" s="44">
        <v>41791</v>
      </c>
      <c r="N20">
        <v>6</v>
      </c>
      <c r="O20" s="43" t="s">
        <v>23</v>
      </c>
      <c r="P20">
        <v>2014</v>
      </c>
    </row>
    <row r="21" spans="1:16" x14ac:dyDescent="0.2">
      <c r="A21" s="43" t="s">
        <v>15</v>
      </c>
      <c r="B21" s="43" t="s">
        <v>20</v>
      </c>
      <c r="C21" s="43" t="s">
        <v>36</v>
      </c>
      <c r="D21" s="43" t="s">
        <v>18</v>
      </c>
      <c r="E21">
        <v>1006</v>
      </c>
      <c r="F21">
        <v>10</v>
      </c>
      <c r="G21">
        <v>350</v>
      </c>
      <c r="H21">
        <v>352100</v>
      </c>
      <c r="I21" s="43" t="s">
        <v>105</v>
      </c>
      <c r="J21">
        <v>352100</v>
      </c>
      <c r="K21">
        <v>261560</v>
      </c>
      <c r="L21" s="43" t="s">
        <v>123</v>
      </c>
      <c r="M21" s="44">
        <v>41791</v>
      </c>
      <c r="N21">
        <v>6</v>
      </c>
      <c r="O21" s="43" t="s">
        <v>23</v>
      </c>
      <c r="P21">
        <v>2014</v>
      </c>
    </row>
    <row r="22" spans="1:16" x14ac:dyDescent="0.2">
      <c r="A22" s="43" t="s">
        <v>28</v>
      </c>
      <c r="B22" s="43" t="s">
        <v>20</v>
      </c>
      <c r="C22" s="43" t="s">
        <v>36</v>
      </c>
      <c r="D22" s="43" t="s">
        <v>18</v>
      </c>
      <c r="E22">
        <v>367</v>
      </c>
      <c r="F22">
        <v>10</v>
      </c>
      <c r="G22">
        <v>12</v>
      </c>
      <c r="H22">
        <v>4404</v>
      </c>
      <c r="I22" s="43" t="s">
        <v>105</v>
      </c>
      <c r="J22">
        <v>4404</v>
      </c>
      <c r="K22">
        <v>1101</v>
      </c>
      <c r="L22" s="43" t="s">
        <v>124</v>
      </c>
      <c r="M22" s="44">
        <v>41821</v>
      </c>
      <c r="N22">
        <v>7</v>
      </c>
      <c r="O22" s="43" t="s">
        <v>30</v>
      </c>
      <c r="P22">
        <v>2014</v>
      </c>
    </row>
    <row r="23" spans="1:16" x14ac:dyDescent="0.2">
      <c r="A23" s="43" t="s">
        <v>15</v>
      </c>
      <c r="B23" s="43" t="s">
        <v>24</v>
      </c>
      <c r="C23" s="43" t="s">
        <v>36</v>
      </c>
      <c r="D23" s="43" t="s">
        <v>18</v>
      </c>
      <c r="E23">
        <v>883</v>
      </c>
      <c r="F23">
        <v>10</v>
      </c>
      <c r="G23">
        <v>7</v>
      </c>
      <c r="H23">
        <v>6181</v>
      </c>
      <c r="I23" s="43" t="s">
        <v>105</v>
      </c>
      <c r="J23">
        <v>6181</v>
      </c>
      <c r="K23">
        <v>4415</v>
      </c>
      <c r="L23" s="43" t="s">
        <v>125</v>
      </c>
      <c r="M23" s="44">
        <v>41852</v>
      </c>
      <c r="N23">
        <v>8</v>
      </c>
      <c r="O23" s="43" t="s">
        <v>32</v>
      </c>
      <c r="P23">
        <v>2014</v>
      </c>
    </row>
    <row r="24" spans="1:16" x14ac:dyDescent="0.2">
      <c r="A24" s="43" t="s">
        <v>21</v>
      </c>
      <c r="B24" s="43" t="s">
        <v>22</v>
      </c>
      <c r="C24" s="43" t="s">
        <v>36</v>
      </c>
      <c r="D24" s="43" t="s">
        <v>18</v>
      </c>
      <c r="E24">
        <v>549</v>
      </c>
      <c r="F24">
        <v>10</v>
      </c>
      <c r="G24">
        <v>15</v>
      </c>
      <c r="H24">
        <v>8235</v>
      </c>
      <c r="I24" s="43" t="s">
        <v>105</v>
      </c>
      <c r="J24">
        <v>8235</v>
      </c>
      <c r="K24">
        <v>5490</v>
      </c>
      <c r="L24" s="43" t="s">
        <v>126</v>
      </c>
      <c r="M24" s="44">
        <v>41518</v>
      </c>
      <c r="N24">
        <v>9</v>
      </c>
      <c r="O24" s="43" t="s">
        <v>33</v>
      </c>
      <c r="P24">
        <v>2013</v>
      </c>
    </row>
    <row r="25" spans="1:16" x14ac:dyDescent="0.2">
      <c r="A25" s="43" t="s">
        <v>31</v>
      </c>
      <c r="B25" s="43" t="s">
        <v>24</v>
      </c>
      <c r="C25" s="43" t="s">
        <v>36</v>
      </c>
      <c r="D25" s="43" t="s">
        <v>18</v>
      </c>
      <c r="E25">
        <v>788</v>
      </c>
      <c r="F25">
        <v>10</v>
      </c>
      <c r="G25">
        <v>300</v>
      </c>
      <c r="H25">
        <v>236400</v>
      </c>
      <c r="I25" s="43" t="s">
        <v>105</v>
      </c>
      <c r="J25">
        <v>236400</v>
      </c>
      <c r="K25">
        <v>197000</v>
      </c>
      <c r="L25" s="43" t="s">
        <v>127</v>
      </c>
      <c r="M25" s="44">
        <v>41518</v>
      </c>
      <c r="N25">
        <v>9</v>
      </c>
      <c r="O25" s="43" t="s">
        <v>33</v>
      </c>
      <c r="P25">
        <v>2013</v>
      </c>
    </row>
    <row r="26" spans="1:16" x14ac:dyDescent="0.2">
      <c r="A26" s="43" t="s">
        <v>21</v>
      </c>
      <c r="B26" s="43" t="s">
        <v>24</v>
      </c>
      <c r="C26" s="43" t="s">
        <v>36</v>
      </c>
      <c r="D26" s="43" t="s">
        <v>18</v>
      </c>
      <c r="E26">
        <v>2472</v>
      </c>
      <c r="F26">
        <v>10</v>
      </c>
      <c r="G26">
        <v>15</v>
      </c>
      <c r="H26">
        <v>37080</v>
      </c>
      <c r="I26" s="43" t="s">
        <v>105</v>
      </c>
      <c r="J26">
        <v>37080</v>
      </c>
      <c r="K26">
        <v>24720</v>
      </c>
      <c r="L26" s="43" t="s">
        <v>128</v>
      </c>
      <c r="M26" s="44">
        <v>41883</v>
      </c>
      <c r="N26">
        <v>9</v>
      </c>
      <c r="O26" s="43" t="s">
        <v>33</v>
      </c>
      <c r="P26">
        <v>2014</v>
      </c>
    </row>
    <row r="27" spans="1:16" x14ac:dyDescent="0.2">
      <c r="A27" s="43" t="s">
        <v>15</v>
      </c>
      <c r="B27" s="43" t="s">
        <v>35</v>
      </c>
      <c r="C27" s="43" t="s">
        <v>36</v>
      </c>
      <c r="D27" s="43" t="s">
        <v>18</v>
      </c>
      <c r="E27">
        <v>1143</v>
      </c>
      <c r="F27">
        <v>10</v>
      </c>
      <c r="G27">
        <v>7</v>
      </c>
      <c r="H27">
        <v>8001</v>
      </c>
      <c r="I27" s="43" t="s">
        <v>105</v>
      </c>
      <c r="J27">
        <v>8001</v>
      </c>
      <c r="K27">
        <v>5715</v>
      </c>
      <c r="L27" s="43" t="s">
        <v>129</v>
      </c>
      <c r="M27" s="44">
        <v>41913</v>
      </c>
      <c r="N27">
        <v>10</v>
      </c>
      <c r="O27" s="43" t="s">
        <v>34</v>
      </c>
      <c r="P27">
        <v>2014</v>
      </c>
    </row>
    <row r="28" spans="1:16" x14ac:dyDescent="0.2">
      <c r="A28" s="43" t="s">
        <v>15</v>
      </c>
      <c r="B28" s="43" t="s">
        <v>16</v>
      </c>
      <c r="C28" s="43" t="s">
        <v>36</v>
      </c>
      <c r="D28" s="43" t="s">
        <v>18</v>
      </c>
      <c r="E28">
        <v>1725</v>
      </c>
      <c r="F28">
        <v>10</v>
      </c>
      <c r="G28">
        <v>350</v>
      </c>
      <c r="H28">
        <v>603750</v>
      </c>
      <c r="I28" s="43" t="s">
        <v>105</v>
      </c>
      <c r="J28">
        <v>603750</v>
      </c>
      <c r="K28">
        <v>448500</v>
      </c>
      <c r="L28" s="43" t="s">
        <v>130</v>
      </c>
      <c r="M28" s="44">
        <v>41579</v>
      </c>
      <c r="N28">
        <v>11</v>
      </c>
      <c r="O28" s="43" t="s">
        <v>38</v>
      </c>
      <c r="P28">
        <v>2013</v>
      </c>
    </row>
    <row r="29" spans="1:16" x14ac:dyDescent="0.2">
      <c r="A29" s="43" t="s">
        <v>28</v>
      </c>
      <c r="B29" s="43" t="s">
        <v>35</v>
      </c>
      <c r="C29" s="43" t="s">
        <v>36</v>
      </c>
      <c r="D29" s="43" t="s">
        <v>18</v>
      </c>
      <c r="E29">
        <v>912</v>
      </c>
      <c r="F29">
        <v>10</v>
      </c>
      <c r="G29">
        <v>12</v>
      </c>
      <c r="H29">
        <v>10944</v>
      </c>
      <c r="I29" s="43" t="s">
        <v>105</v>
      </c>
      <c r="J29">
        <v>10944</v>
      </c>
      <c r="K29">
        <v>2736</v>
      </c>
      <c r="L29" s="43" t="s">
        <v>131</v>
      </c>
      <c r="M29" s="44">
        <v>41579</v>
      </c>
      <c r="N29">
        <v>11</v>
      </c>
      <c r="O29" s="43" t="s">
        <v>38</v>
      </c>
      <c r="P29">
        <v>2013</v>
      </c>
    </row>
    <row r="30" spans="1:16" x14ac:dyDescent="0.2">
      <c r="A30" s="43" t="s">
        <v>21</v>
      </c>
      <c r="B30" s="43" t="s">
        <v>16</v>
      </c>
      <c r="C30" s="43" t="s">
        <v>36</v>
      </c>
      <c r="D30" s="43" t="s">
        <v>18</v>
      </c>
      <c r="E30">
        <v>2152</v>
      </c>
      <c r="F30">
        <v>10</v>
      </c>
      <c r="G30">
        <v>15</v>
      </c>
      <c r="H30">
        <v>32280</v>
      </c>
      <c r="I30" s="43" t="s">
        <v>105</v>
      </c>
      <c r="J30">
        <v>32280</v>
      </c>
      <c r="K30">
        <v>21520</v>
      </c>
      <c r="L30" s="43" t="s">
        <v>132</v>
      </c>
      <c r="M30" s="44">
        <v>41609</v>
      </c>
      <c r="N30">
        <v>12</v>
      </c>
      <c r="O30" s="43" t="s">
        <v>25</v>
      </c>
      <c r="P30">
        <v>2013</v>
      </c>
    </row>
    <row r="31" spans="1:16" x14ac:dyDescent="0.2">
      <c r="A31" s="43" t="s">
        <v>15</v>
      </c>
      <c r="B31" s="43" t="s">
        <v>16</v>
      </c>
      <c r="C31" s="43" t="s">
        <v>36</v>
      </c>
      <c r="D31" s="43" t="s">
        <v>18</v>
      </c>
      <c r="E31">
        <v>1817</v>
      </c>
      <c r="F31">
        <v>10</v>
      </c>
      <c r="G31">
        <v>20</v>
      </c>
      <c r="H31">
        <v>36340</v>
      </c>
      <c r="I31" s="43" t="s">
        <v>105</v>
      </c>
      <c r="J31">
        <v>36340</v>
      </c>
      <c r="K31">
        <v>18170</v>
      </c>
      <c r="L31" s="43" t="s">
        <v>133</v>
      </c>
      <c r="M31" s="44">
        <v>41974</v>
      </c>
      <c r="N31">
        <v>12</v>
      </c>
      <c r="O31" s="43" t="s">
        <v>25</v>
      </c>
      <c r="P31">
        <v>2014</v>
      </c>
    </row>
    <row r="32" spans="1:16" x14ac:dyDescent="0.2">
      <c r="A32" s="43" t="s">
        <v>15</v>
      </c>
      <c r="B32" s="43" t="s">
        <v>20</v>
      </c>
      <c r="C32" s="43" t="s">
        <v>36</v>
      </c>
      <c r="D32" s="43" t="s">
        <v>18</v>
      </c>
      <c r="E32">
        <v>1513</v>
      </c>
      <c r="F32">
        <v>10</v>
      </c>
      <c r="G32">
        <v>350</v>
      </c>
      <c r="H32">
        <v>529550</v>
      </c>
      <c r="I32" s="43" t="s">
        <v>105</v>
      </c>
      <c r="J32">
        <v>529550</v>
      </c>
      <c r="K32">
        <v>393380</v>
      </c>
      <c r="L32" s="43" t="s">
        <v>111</v>
      </c>
      <c r="M32" s="44">
        <v>41974</v>
      </c>
      <c r="N32">
        <v>12</v>
      </c>
      <c r="O32" s="43" t="s">
        <v>25</v>
      </c>
      <c r="P32">
        <v>2014</v>
      </c>
    </row>
    <row r="33" spans="1:16" x14ac:dyDescent="0.2">
      <c r="A33" s="43" t="s">
        <v>15</v>
      </c>
      <c r="B33" s="43" t="s">
        <v>24</v>
      </c>
      <c r="C33" s="43" t="s">
        <v>39</v>
      </c>
      <c r="D33" s="43" t="s">
        <v>18</v>
      </c>
      <c r="E33">
        <v>1493</v>
      </c>
      <c r="F33">
        <v>120</v>
      </c>
      <c r="G33">
        <v>7</v>
      </c>
      <c r="H33">
        <v>10451</v>
      </c>
      <c r="I33" s="43" t="s">
        <v>105</v>
      </c>
      <c r="J33">
        <v>10451</v>
      </c>
      <c r="K33">
        <v>7465</v>
      </c>
      <c r="L33" s="43" t="s">
        <v>134</v>
      </c>
      <c r="M33" s="44">
        <v>41640</v>
      </c>
      <c r="N33">
        <v>1</v>
      </c>
      <c r="O33" s="43" t="s">
        <v>19</v>
      </c>
      <c r="P33">
        <v>2014</v>
      </c>
    </row>
    <row r="34" spans="1:16" x14ac:dyDescent="0.2">
      <c r="A34" s="43" t="s">
        <v>29</v>
      </c>
      <c r="B34" s="43" t="s">
        <v>22</v>
      </c>
      <c r="C34" s="43" t="s">
        <v>39</v>
      </c>
      <c r="D34" s="43" t="s">
        <v>18</v>
      </c>
      <c r="E34">
        <v>1804</v>
      </c>
      <c r="F34">
        <v>120</v>
      </c>
      <c r="G34">
        <v>125</v>
      </c>
      <c r="H34">
        <v>225500</v>
      </c>
      <c r="I34" s="43" t="s">
        <v>105</v>
      </c>
      <c r="J34">
        <v>225500</v>
      </c>
      <c r="K34">
        <v>216480</v>
      </c>
      <c r="L34" s="43" t="s">
        <v>135</v>
      </c>
      <c r="M34" s="44">
        <v>41671</v>
      </c>
      <c r="N34">
        <v>2</v>
      </c>
      <c r="O34" s="43" t="s">
        <v>37</v>
      </c>
      <c r="P34">
        <v>2014</v>
      </c>
    </row>
    <row r="35" spans="1:16" x14ac:dyDescent="0.2">
      <c r="A35" s="43" t="s">
        <v>28</v>
      </c>
      <c r="B35" s="43" t="s">
        <v>20</v>
      </c>
      <c r="C35" s="43" t="s">
        <v>39</v>
      </c>
      <c r="D35" s="43" t="s">
        <v>18</v>
      </c>
      <c r="E35">
        <v>2161</v>
      </c>
      <c r="F35">
        <v>120</v>
      </c>
      <c r="G35">
        <v>12</v>
      </c>
      <c r="H35">
        <v>25932</v>
      </c>
      <c r="I35" s="43" t="s">
        <v>105</v>
      </c>
      <c r="J35">
        <v>25932</v>
      </c>
      <c r="K35">
        <v>6483</v>
      </c>
      <c r="L35" s="43" t="s">
        <v>136</v>
      </c>
      <c r="M35" s="44">
        <v>41699</v>
      </c>
      <c r="N35">
        <v>3</v>
      </c>
      <c r="O35" s="43" t="s">
        <v>27</v>
      </c>
      <c r="P35">
        <v>2014</v>
      </c>
    </row>
    <row r="36" spans="1:16" x14ac:dyDescent="0.2">
      <c r="A36" s="43" t="s">
        <v>15</v>
      </c>
      <c r="B36" s="43" t="s">
        <v>20</v>
      </c>
      <c r="C36" s="43" t="s">
        <v>39</v>
      </c>
      <c r="D36" s="43" t="s">
        <v>18</v>
      </c>
      <c r="E36">
        <v>1006</v>
      </c>
      <c r="F36">
        <v>120</v>
      </c>
      <c r="G36">
        <v>350</v>
      </c>
      <c r="H36">
        <v>352100</v>
      </c>
      <c r="I36" s="43" t="s">
        <v>105</v>
      </c>
      <c r="J36">
        <v>352100</v>
      </c>
      <c r="K36">
        <v>261560</v>
      </c>
      <c r="L36" s="43" t="s">
        <v>123</v>
      </c>
      <c r="M36" s="44">
        <v>41791</v>
      </c>
      <c r="N36">
        <v>6</v>
      </c>
      <c r="O36" s="43" t="s">
        <v>23</v>
      </c>
      <c r="P36">
        <v>2014</v>
      </c>
    </row>
    <row r="37" spans="1:16" x14ac:dyDescent="0.2">
      <c r="A37" s="43" t="s">
        <v>28</v>
      </c>
      <c r="B37" s="43" t="s">
        <v>20</v>
      </c>
      <c r="C37" s="43" t="s">
        <v>39</v>
      </c>
      <c r="D37" s="43" t="s">
        <v>18</v>
      </c>
      <c r="E37">
        <v>1545</v>
      </c>
      <c r="F37">
        <v>120</v>
      </c>
      <c r="G37">
        <v>12</v>
      </c>
      <c r="H37">
        <v>18540</v>
      </c>
      <c r="I37" s="43" t="s">
        <v>105</v>
      </c>
      <c r="J37">
        <v>18540</v>
      </c>
      <c r="K37">
        <v>4635</v>
      </c>
      <c r="L37" s="43" t="s">
        <v>115</v>
      </c>
      <c r="M37" s="44">
        <v>41791</v>
      </c>
      <c r="N37">
        <v>6</v>
      </c>
      <c r="O37" s="43" t="s">
        <v>23</v>
      </c>
      <c r="P37">
        <v>2014</v>
      </c>
    </row>
    <row r="38" spans="1:16" x14ac:dyDescent="0.2">
      <c r="A38" s="43" t="s">
        <v>29</v>
      </c>
      <c r="B38" s="43" t="s">
        <v>35</v>
      </c>
      <c r="C38" s="43" t="s">
        <v>39</v>
      </c>
      <c r="D38" s="43" t="s">
        <v>18</v>
      </c>
      <c r="E38">
        <v>2821</v>
      </c>
      <c r="F38">
        <v>120</v>
      </c>
      <c r="G38">
        <v>125</v>
      </c>
      <c r="H38">
        <v>352625</v>
      </c>
      <c r="I38" s="43" t="s">
        <v>105</v>
      </c>
      <c r="J38">
        <v>352625</v>
      </c>
      <c r="K38">
        <v>338520</v>
      </c>
      <c r="L38" s="43" t="s">
        <v>137</v>
      </c>
      <c r="M38" s="44">
        <v>41852</v>
      </c>
      <c r="N38">
        <v>8</v>
      </c>
      <c r="O38" s="43" t="s">
        <v>32</v>
      </c>
      <c r="P38">
        <v>2014</v>
      </c>
    </row>
    <row r="39" spans="1:16" x14ac:dyDescent="0.2">
      <c r="A39" s="43" t="s">
        <v>29</v>
      </c>
      <c r="B39" s="43" t="s">
        <v>16</v>
      </c>
      <c r="C39" s="43" t="s">
        <v>39</v>
      </c>
      <c r="D39" s="43" t="s">
        <v>18</v>
      </c>
      <c r="E39">
        <v>345</v>
      </c>
      <c r="F39">
        <v>120</v>
      </c>
      <c r="G39">
        <v>125</v>
      </c>
      <c r="H39">
        <v>43125</v>
      </c>
      <c r="I39" s="43" t="s">
        <v>105</v>
      </c>
      <c r="J39">
        <v>43125</v>
      </c>
      <c r="K39">
        <v>41400</v>
      </c>
      <c r="L39" s="43" t="s">
        <v>119</v>
      </c>
      <c r="M39" s="44">
        <v>41548</v>
      </c>
      <c r="N39">
        <v>10</v>
      </c>
      <c r="O39" s="43" t="s">
        <v>34</v>
      </c>
      <c r="P39">
        <v>2013</v>
      </c>
    </row>
    <row r="40" spans="1:16" x14ac:dyDescent="0.2">
      <c r="A40" s="43" t="s">
        <v>31</v>
      </c>
      <c r="B40" s="43" t="s">
        <v>16</v>
      </c>
      <c r="C40" s="43" t="s">
        <v>40</v>
      </c>
      <c r="D40" s="43" t="s">
        <v>18</v>
      </c>
      <c r="E40">
        <v>2001</v>
      </c>
      <c r="F40">
        <v>250</v>
      </c>
      <c r="G40">
        <v>300</v>
      </c>
      <c r="H40">
        <v>600300</v>
      </c>
      <c r="I40" s="43" t="s">
        <v>105</v>
      </c>
      <c r="J40">
        <v>600300</v>
      </c>
      <c r="K40">
        <v>500250</v>
      </c>
      <c r="L40" s="43" t="s">
        <v>138</v>
      </c>
      <c r="M40" s="44">
        <v>41671</v>
      </c>
      <c r="N40">
        <v>2</v>
      </c>
      <c r="O40" s="43" t="s">
        <v>37</v>
      </c>
      <c r="P40">
        <v>2014</v>
      </c>
    </row>
    <row r="41" spans="1:16" x14ac:dyDescent="0.2">
      <c r="A41" s="43" t="s">
        <v>28</v>
      </c>
      <c r="B41" s="43" t="s">
        <v>20</v>
      </c>
      <c r="C41" s="43" t="s">
        <v>40</v>
      </c>
      <c r="D41" s="43" t="s">
        <v>18</v>
      </c>
      <c r="E41">
        <v>2838</v>
      </c>
      <c r="F41">
        <v>250</v>
      </c>
      <c r="G41">
        <v>12</v>
      </c>
      <c r="H41">
        <v>34056</v>
      </c>
      <c r="I41" s="43" t="s">
        <v>105</v>
      </c>
      <c r="J41">
        <v>34056</v>
      </c>
      <c r="K41">
        <v>8514</v>
      </c>
      <c r="L41" s="43" t="s">
        <v>139</v>
      </c>
      <c r="M41" s="44">
        <v>41730</v>
      </c>
      <c r="N41">
        <v>4</v>
      </c>
      <c r="O41" s="43" t="s">
        <v>41</v>
      </c>
      <c r="P41">
        <v>2014</v>
      </c>
    </row>
    <row r="42" spans="1:16" x14ac:dyDescent="0.2">
      <c r="A42" s="43" t="s">
        <v>21</v>
      </c>
      <c r="B42" s="43" t="s">
        <v>22</v>
      </c>
      <c r="C42" s="43" t="s">
        <v>40</v>
      </c>
      <c r="D42" s="43" t="s">
        <v>18</v>
      </c>
      <c r="E42">
        <v>2178</v>
      </c>
      <c r="F42">
        <v>250</v>
      </c>
      <c r="G42">
        <v>15</v>
      </c>
      <c r="H42">
        <v>32670</v>
      </c>
      <c r="I42" s="43" t="s">
        <v>105</v>
      </c>
      <c r="J42">
        <v>32670</v>
      </c>
      <c r="K42">
        <v>21780</v>
      </c>
      <c r="L42" s="43" t="s">
        <v>108</v>
      </c>
      <c r="M42" s="44">
        <v>41791</v>
      </c>
      <c r="N42">
        <v>6</v>
      </c>
      <c r="O42" s="43" t="s">
        <v>23</v>
      </c>
      <c r="P42">
        <v>2014</v>
      </c>
    </row>
    <row r="43" spans="1:16" x14ac:dyDescent="0.2">
      <c r="A43" s="43" t="s">
        <v>21</v>
      </c>
      <c r="B43" s="43" t="s">
        <v>20</v>
      </c>
      <c r="C43" s="43" t="s">
        <v>40</v>
      </c>
      <c r="D43" s="43" t="s">
        <v>18</v>
      </c>
      <c r="E43">
        <v>888</v>
      </c>
      <c r="F43">
        <v>250</v>
      </c>
      <c r="G43">
        <v>15</v>
      </c>
      <c r="H43">
        <v>13320</v>
      </c>
      <c r="I43" s="43" t="s">
        <v>105</v>
      </c>
      <c r="J43">
        <v>13320</v>
      </c>
      <c r="K43">
        <v>8880</v>
      </c>
      <c r="L43" s="43" t="s">
        <v>109</v>
      </c>
      <c r="M43" s="44">
        <v>41791</v>
      </c>
      <c r="N43">
        <v>6</v>
      </c>
      <c r="O43" s="43" t="s">
        <v>23</v>
      </c>
      <c r="P43">
        <v>2014</v>
      </c>
    </row>
    <row r="44" spans="1:16" x14ac:dyDescent="0.2">
      <c r="A44" s="43" t="s">
        <v>15</v>
      </c>
      <c r="B44" s="43" t="s">
        <v>22</v>
      </c>
      <c r="C44" s="43" t="s">
        <v>40</v>
      </c>
      <c r="D44" s="43" t="s">
        <v>18</v>
      </c>
      <c r="E44">
        <v>1527</v>
      </c>
      <c r="F44">
        <v>250</v>
      </c>
      <c r="G44">
        <v>350</v>
      </c>
      <c r="H44">
        <v>534450</v>
      </c>
      <c r="I44" s="43" t="s">
        <v>105</v>
      </c>
      <c r="J44">
        <v>534450</v>
      </c>
      <c r="K44">
        <v>397020</v>
      </c>
      <c r="L44" s="43" t="s">
        <v>140</v>
      </c>
      <c r="M44" s="44">
        <v>41518</v>
      </c>
      <c r="N44">
        <v>9</v>
      </c>
      <c r="O44" s="43" t="s">
        <v>33</v>
      </c>
      <c r="P44">
        <v>2013</v>
      </c>
    </row>
    <row r="45" spans="1:16" x14ac:dyDescent="0.2">
      <c r="A45" s="43" t="s">
        <v>31</v>
      </c>
      <c r="B45" s="43" t="s">
        <v>22</v>
      </c>
      <c r="C45" s="43" t="s">
        <v>40</v>
      </c>
      <c r="D45" s="43" t="s">
        <v>18</v>
      </c>
      <c r="E45">
        <v>2151</v>
      </c>
      <c r="F45">
        <v>250</v>
      </c>
      <c r="G45">
        <v>300</v>
      </c>
      <c r="H45">
        <v>645300</v>
      </c>
      <c r="I45" s="43" t="s">
        <v>105</v>
      </c>
      <c r="J45">
        <v>645300</v>
      </c>
      <c r="K45">
        <v>537750</v>
      </c>
      <c r="L45" s="43" t="s">
        <v>141</v>
      </c>
      <c r="M45" s="44">
        <v>41883</v>
      </c>
      <c r="N45">
        <v>9</v>
      </c>
      <c r="O45" s="43" t="s">
        <v>33</v>
      </c>
      <c r="P45">
        <v>2014</v>
      </c>
    </row>
    <row r="46" spans="1:16" x14ac:dyDescent="0.2">
      <c r="A46" s="43" t="s">
        <v>15</v>
      </c>
      <c r="B46" s="43" t="s">
        <v>16</v>
      </c>
      <c r="C46" s="43" t="s">
        <v>40</v>
      </c>
      <c r="D46" s="43" t="s">
        <v>18</v>
      </c>
      <c r="E46">
        <v>1817</v>
      </c>
      <c r="F46">
        <v>250</v>
      </c>
      <c r="G46">
        <v>20</v>
      </c>
      <c r="H46">
        <v>36340</v>
      </c>
      <c r="I46" s="43" t="s">
        <v>105</v>
      </c>
      <c r="J46">
        <v>36340</v>
      </c>
      <c r="K46">
        <v>18170</v>
      </c>
      <c r="L46" s="43" t="s">
        <v>133</v>
      </c>
      <c r="M46" s="44">
        <v>41974</v>
      </c>
      <c r="N46">
        <v>12</v>
      </c>
      <c r="O46" s="43" t="s">
        <v>25</v>
      </c>
      <c r="P46">
        <v>2014</v>
      </c>
    </row>
    <row r="47" spans="1:16" x14ac:dyDescent="0.2">
      <c r="A47" s="43" t="s">
        <v>15</v>
      </c>
      <c r="B47" s="43" t="s">
        <v>22</v>
      </c>
      <c r="C47" s="43" t="s">
        <v>42</v>
      </c>
      <c r="D47" s="43" t="s">
        <v>18</v>
      </c>
      <c r="E47">
        <v>2750</v>
      </c>
      <c r="F47">
        <v>260</v>
      </c>
      <c r="G47">
        <v>350</v>
      </c>
      <c r="H47">
        <v>962500</v>
      </c>
      <c r="I47" s="43" t="s">
        <v>105</v>
      </c>
      <c r="J47">
        <v>962500</v>
      </c>
      <c r="K47">
        <v>715000</v>
      </c>
      <c r="L47" s="43" t="s">
        <v>142</v>
      </c>
      <c r="M47" s="44">
        <v>41671</v>
      </c>
      <c r="N47">
        <v>2</v>
      </c>
      <c r="O47" s="43" t="s">
        <v>37</v>
      </c>
      <c r="P47">
        <v>2014</v>
      </c>
    </row>
    <row r="48" spans="1:16" x14ac:dyDescent="0.2">
      <c r="A48" s="43" t="s">
        <v>28</v>
      </c>
      <c r="B48" s="43" t="s">
        <v>35</v>
      </c>
      <c r="C48" s="43" t="s">
        <v>42</v>
      </c>
      <c r="D48" s="43" t="s">
        <v>18</v>
      </c>
      <c r="E48">
        <v>1953</v>
      </c>
      <c r="F48">
        <v>260</v>
      </c>
      <c r="G48">
        <v>12</v>
      </c>
      <c r="H48">
        <v>23436</v>
      </c>
      <c r="I48" s="43" t="s">
        <v>105</v>
      </c>
      <c r="J48">
        <v>23436</v>
      </c>
      <c r="K48">
        <v>5859</v>
      </c>
      <c r="L48" s="43" t="s">
        <v>143</v>
      </c>
      <c r="M48" s="44">
        <v>41730</v>
      </c>
      <c r="N48">
        <v>4</v>
      </c>
      <c r="O48" s="43" t="s">
        <v>41</v>
      </c>
      <c r="P48">
        <v>2014</v>
      </c>
    </row>
    <row r="49" spans="1:16" x14ac:dyDescent="0.2">
      <c r="A49" s="43" t="s">
        <v>29</v>
      </c>
      <c r="B49" s="43" t="s">
        <v>20</v>
      </c>
      <c r="C49" s="43" t="s">
        <v>42</v>
      </c>
      <c r="D49" s="43" t="s">
        <v>18</v>
      </c>
      <c r="E49">
        <v>4219.5</v>
      </c>
      <c r="F49">
        <v>260</v>
      </c>
      <c r="G49">
        <v>125</v>
      </c>
      <c r="H49">
        <v>527437.5</v>
      </c>
      <c r="I49" s="43" t="s">
        <v>105</v>
      </c>
      <c r="J49">
        <v>527437.5</v>
      </c>
      <c r="K49">
        <v>506340</v>
      </c>
      <c r="L49" s="43" t="s">
        <v>144</v>
      </c>
      <c r="M49" s="44">
        <v>41730</v>
      </c>
      <c r="N49">
        <v>4</v>
      </c>
      <c r="O49" s="43" t="s">
        <v>41</v>
      </c>
      <c r="P49">
        <v>2014</v>
      </c>
    </row>
    <row r="50" spans="1:16" x14ac:dyDescent="0.2">
      <c r="A50" s="43" t="s">
        <v>15</v>
      </c>
      <c r="B50" s="43" t="s">
        <v>22</v>
      </c>
      <c r="C50" s="43" t="s">
        <v>42</v>
      </c>
      <c r="D50" s="43" t="s">
        <v>18</v>
      </c>
      <c r="E50">
        <v>1899</v>
      </c>
      <c r="F50">
        <v>260</v>
      </c>
      <c r="G50">
        <v>20</v>
      </c>
      <c r="H50">
        <v>37980</v>
      </c>
      <c r="I50" s="43" t="s">
        <v>105</v>
      </c>
      <c r="J50">
        <v>37980</v>
      </c>
      <c r="K50">
        <v>18990</v>
      </c>
      <c r="L50" s="43" t="s">
        <v>114</v>
      </c>
      <c r="M50" s="44">
        <v>41791</v>
      </c>
      <c r="N50">
        <v>6</v>
      </c>
      <c r="O50" s="43" t="s">
        <v>23</v>
      </c>
      <c r="P50">
        <v>2014</v>
      </c>
    </row>
    <row r="51" spans="1:16" x14ac:dyDescent="0.2">
      <c r="A51" s="43" t="s">
        <v>15</v>
      </c>
      <c r="B51" s="43" t="s">
        <v>20</v>
      </c>
      <c r="C51" s="43" t="s">
        <v>42</v>
      </c>
      <c r="D51" s="43" t="s">
        <v>18</v>
      </c>
      <c r="E51">
        <v>1686</v>
      </c>
      <c r="F51">
        <v>260</v>
      </c>
      <c r="G51">
        <v>7</v>
      </c>
      <c r="H51">
        <v>11802</v>
      </c>
      <c r="I51" s="43" t="s">
        <v>105</v>
      </c>
      <c r="J51">
        <v>11802</v>
      </c>
      <c r="K51">
        <v>8430</v>
      </c>
      <c r="L51" s="43" t="s">
        <v>145</v>
      </c>
      <c r="M51" s="44">
        <v>41821</v>
      </c>
      <c r="N51">
        <v>7</v>
      </c>
      <c r="O51" s="43" t="s">
        <v>30</v>
      </c>
      <c r="P51">
        <v>2014</v>
      </c>
    </row>
    <row r="52" spans="1:16" x14ac:dyDescent="0.2">
      <c r="A52" s="43" t="s">
        <v>28</v>
      </c>
      <c r="B52" s="43" t="s">
        <v>35</v>
      </c>
      <c r="C52" s="43" t="s">
        <v>42</v>
      </c>
      <c r="D52" s="43" t="s">
        <v>18</v>
      </c>
      <c r="E52">
        <v>2141</v>
      </c>
      <c r="F52">
        <v>260</v>
      </c>
      <c r="G52">
        <v>12</v>
      </c>
      <c r="H52">
        <v>25692</v>
      </c>
      <c r="I52" s="43" t="s">
        <v>105</v>
      </c>
      <c r="J52">
        <v>25692</v>
      </c>
      <c r="K52">
        <v>6423</v>
      </c>
      <c r="L52" s="43" t="s">
        <v>146</v>
      </c>
      <c r="M52" s="44">
        <v>41852</v>
      </c>
      <c r="N52">
        <v>8</v>
      </c>
      <c r="O52" s="43" t="s">
        <v>32</v>
      </c>
      <c r="P52">
        <v>2014</v>
      </c>
    </row>
    <row r="53" spans="1:16" x14ac:dyDescent="0.2">
      <c r="A53" s="43" t="s">
        <v>15</v>
      </c>
      <c r="B53" s="43" t="s">
        <v>35</v>
      </c>
      <c r="C53" s="43" t="s">
        <v>42</v>
      </c>
      <c r="D53" s="43" t="s">
        <v>18</v>
      </c>
      <c r="E53">
        <v>1143</v>
      </c>
      <c r="F53">
        <v>260</v>
      </c>
      <c r="G53">
        <v>7</v>
      </c>
      <c r="H53">
        <v>8001</v>
      </c>
      <c r="I53" s="43" t="s">
        <v>105</v>
      </c>
      <c r="J53">
        <v>8001</v>
      </c>
      <c r="K53">
        <v>5715</v>
      </c>
      <c r="L53" s="43" t="s">
        <v>129</v>
      </c>
      <c r="M53" s="44">
        <v>41913</v>
      </c>
      <c r="N53">
        <v>10</v>
      </c>
      <c r="O53" s="43" t="s">
        <v>34</v>
      </c>
      <c r="P53">
        <v>2014</v>
      </c>
    </row>
    <row r="54" spans="1:16" x14ac:dyDescent="0.2">
      <c r="A54" s="43" t="s">
        <v>21</v>
      </c>
      <c r="B54" s="43" t="s">
        <v>35</v>
      </c>
      <c r="C54" s="43" t="s">
        <v>42</v>
      </c>
      <c r="D54" s="43" t="s">
        <v>18</v>
      </c>
      <c r="E54">
        <v>615</v>
      </c>
      <c r="F54">
        <v>260</v>
      </c>
      <c r="G54">
        <v>15</v>
      </c>
      <c r="H54">
        <v>9225</v>
      </c>
      <c r="I54" s="43" t="s">
        <v>105</v>
      </c>
      <c r="J54">
        <v>9225</v>
      </c>
      <c r="K54">
        <v>6150</v>
      </c>
      <c r="L54" s="43" t="s">
        <v>120</v>
      </c>
      <c r="M54" s="44">
        <v>41974</v>
      </c>
      <c r="N54">
        <v>12</v>
      </c>
      <c r="O54" s="43" t="s">
        <v>25</v>
      </c>
      <c r="P54">
        <v>2014</v>
      </c>
    </row>
    <row r="55" spans="1:16" x14ac:dyDescent="0.2">
      <c r="A55" s="43" t="s">
        <v>15</v>
      </c>
      <c r="B55" s="43" t="s">
        <v>22</v>
      </c>
      <c r="C55" s="43" t="s">
        <v>36</v>
      </c>
      <c r="D55" s="43" t="s">
        <v>43</v>
      </c>
      <c r="E55">
        <v>3945</v>
      </c>
      <c r="F55">
        <v>10</v>
      </c>
      <c r="G55">
        <v>7</v>
      </c>
      <c r="H55">
        <v>27615</v>
      </c>
      <c r="I55" s="43" t="s">
        <v>147</v>
      </c>
      <c r="J55">
        <v>27338.85</v>
      </c>
      <c r="K55">
        <v>19725</v>
      </c>
      <c r="L55" s="43" t="s">
        <v>148</v>
      </c>
      <c r="M55" s="44">
        <v>41640</v>
      </c>
      <c r="N55">
        <v>1</v>
      </c>
      <c r="O55" s="43" t="s">
        <v>19</v>
      </c>
      <c r="P55">
        <v>2014</v>
      </c>
    </row>
    <row r="56" spans="1:16" x14ac:dyDescent="0.2">
      <c r="A56" s="43" t="s">
        <v>21</v>
      </c>
      <c r="B56" s="43" t="s">
        <v>22</v>
      </c>
      <c r="C56" s="43" t="s">
        <v>36</v>
      </c>
      <c r="D56" s="43" t="s">
        <v>43</v>
      </c>
      <c r="E56">
        <v>2296</v>
      </c>
      <c r="F56">
        <v>10</v>
      </c>
      <c r="G56">
        <v>15</v>
      </c>
      <c r="H56">
        <v>34440</v>
      </c>
      <c r="I56" s="43" t="s">
        <v>149</v>
      </c>
      <c r="J56">
        <v>34095.599999999999</v>
      </c>
      <c r="K56">
        <v>22960</v>
      </c>
      <c r="L56" s="43" t="s">
        <v>150</v>
      </c>
      <c r="M56" s="44">
        <v>41671</v>
      </c>
      <c r="N56">
        <v>2</v>
      </c>
      <c r="O56" s="43" t="s">
        <v>37</v>
      </c>
      <c r="P56">
        <v>2014</v>
      </c>
    </row>
    <row r="57" spans="1:16" x14ac:dyDescent="0.2">
      <c r="A57" s="43" t="s">
        <v>15</v>
      </c>
      <c r="B57" s="43" t="s">
        <v>22</v>
      </c>
      <c r="C57" s="43" t="s">
        <v>36</v>
      </c>
      <c r="D57" s="43" t="s">
        <v>43</v>
      </c>
      <c r="E57">
        <v>1030</v>
      </c>
      <c r="F57">
        <v>10</v>
      </c>
      <c r="G57">
        <v>7</v>
      </c>
      <c r="H57">
        <v>7210</v>
      </c>
      <c r="I57" s="43" t="s">
        <v>151</v>
      </c>
      <c r="J57">
        <v>7137.9</v>
      </c>
      <c r="K57">
        <v>5150</v>
      </c>
      <c r="L57" s="43" t="s">
        <v>152</v>
      </c>
      <c r="M57" s="44">
        <v>41760</v>
      </c>
      <c r="N57">
        <v>5</v>
      </c>
      <c r="O57" s="43" t="s">
        <v>44</v>
      </c>
      <c r="P57">
        <v>2014</v>
      </c>
    </row>
    <row r="58" spans="1:16" x14ac:dyDescent="0.2">
      <c r="A58" s="43" t="s">
        <v>15</v>
      </c>
      <c r="B58" s="43" t="s">
        <v>22</v>
      </c>
      <c r="C58" s="43" t="s">
        <v>39</v>
      </c>
      <c r="D58" s="43" t="s">
        <v>43</v>
      </c>
      <c r="E58">
        <v>639</v>
      </c>
      <c r="F58">
        <v>120</v>
      </c>
      <c r="G58">
        <v>7</v>
      </c>
      <c r="H58">
        <v>4473</v>
      </c>
      <c r="I58" s="43" t="s">
        <v>153</v>
      </c>
      <c r="J58">
        <v>4428.2700000000004</v>
      </c>
      <c r="K58">
        <v>3195</v>
      </c>
      <c r="L58" s="43" t="s">
        <v>154</v>
      </c>
      <c r="M58" s="44">
        <v>41944</v>
      </c>
      <c r="N58">
        <v>11</v>
      </c>
      <c r="O58" s="43" t="s">
        <v>38</v>
      </c>
      <c r="P58">
        <v>2014</v>
      </c>
    </row>
    <row r="59" spans="1:16" x14ac:dyDescent="0.2">
      <c r="A59" s="43" t="s">
        <v>15</v>
      </c>
      <c r="B59" s="43" t="s">
        <v>16</v>
      </c>
      <c r="C59" s="43" t="s">
        <v>40</v>
      </c>
      <c r="D59" s="43" t="s">
        <v>43</v>
      </c>
      <c r="E59">
        <v>1326</v>
      </c>
      <c r="F59">
        <v>250</v>
      </c>
      <c r="G59">
        <v>7</v>
      </c>
      <c r="H59">
        <v>9282</v>
      </c>
      <c r="I59" s="43" t="s">
        <v>155</v>
      </c>
      <c r="J59">
        <v>9189.18</v>
      </c>
      <c r="K59">
        <v>6630</v>
      </c>
      <c r="L59" s="43" t="s">
        <v>156</v>
      </c>
      <c r="M59" s="44">
        <v>41699</v>
      </c>
      <c r="N59">
        <v>3</v>
      </c>
      <c r="O59" s="43" t="s">
        <v>27</v>
      </c>
      <c r="P59">
        <v>2014</v>
      </c>
    </row>
    <row r="60" spans="1:16" x14ac:dyDescent="0.2">
      <c r="A60" s="43" t="s">
        <v>28</v>
      </c>
      <c r="B60" s="43" t="s">
        <v>35</v>
      </c>
      <c r="C60" s="43" t="s">
        <v>17</v>
      </c>
      <c r="D60" s="43" t="s">
        <v>43</v>
      </c>
      <c r="E60">
        <v>1858</v>
      </c>
      <c r="F60">
        <v>3</v>
      </c>
      <c r="G60">
        <v>12</v>
      </c>
      <c r="H60">
        <v>22296</v>
      </c>
      <c r="I60" s="43" t="s">
        <v>157</v>
      </c>
      <c r="J60">
        <v>22073.040000000001</v>
      </c>
      <c r="K60">
        <v>5574</v>
      </c>
      <c r="L60" s="43" t="s">
        <v>158</v>
      </c>
      <c r="M60" s="44">
        <v>41671</v>
      </c>
      <c r="N60">
        <v>2</v>
      </c>
      <c r="O60" s="43" t="s">
        <v>37</v>
      </c>
      <c r="P60">
        <v>2014</v>
      </c>
    </row>
    <row r="61" spans="1:16" x14ac:dyDescent="0.2">
      <c r="A61" s="43" t="s">
        <v>15</v>
      </c>
      <c r="B61" s="43" t="s">
        <v>24</v>
      </c>
      <c r="C61" s="43" t="s">
        <v>17</v>
      </c>
      <c r="D61" s="43" t="s">
        <v>43</v>
      </c>
      <c r="E61">
        <v>1210</v>
      </c>
      <c r="F61">
        <v>3</v>
      </c>
      <c r="G61">
        <v>350</v>
      </c>
      <c r="H61">
        <v>423500</v>
      </c>
      <c r="I61" s="43" t="s">
        <v>159</v>
      </c>
      <c r="J61">
        <v>419265</v>
      </c>
      <c r="K61">
        <v>314600</v>
      </c>
      <c r="L61" s="43" t="s">
        <v>160</v>
      </c>
      <c r="M61" s="44">
        <v>41699</v>
      </c>
      <c r="N61">
        <v>3</v>
      </c>
      <c r="O61" s="43" t="s">
        <v>27</v>
      </c>
      <c r="P61">
        <v>2014</v>
      </c>
    </row>
    <row r="62" spans="1:16" x14ac:dyDescent="0.2">
      <c r="A62" s="43" t="s">
        <v>15</v>
      </c>
      <c r="B62" s="43" t="s">
        <v>35</v>
      </c>
      <c r="C62" s="43" t="s">
        <v>17</v>
      </c>
      <c r="D62" s="43" t="s">
        <v>43</v>
      </c>
      <c r="E62">
        <v>2529</v>
      </c>
      <c r="F62">
        <v>3</v>
      </c>
      <c r="G62">
        <v>7</v>
      </c>
      <c r="H62">
        <v>17703</v>
      </c>
      <c r="I62" s="43" t="s">
        <v>161</v>
      </c>
      <c r="J62">
        <v>17525.97</v>
      </c>
      <c r="K62">
        <v>12645</v>
      </c>
      <c r="L62" s="43" t="s">
        <v>162</v>
      </c>
      <c r="M62" s="44">
        <v>41821</v>
      </c>
      <c r="N62">
        <v>7</v>
      </c>
      <c r="O62" s="43" t="s">
        <v>30</v>
      </c>
      <c r="P62">
        <v>2014</v>
      </c>
    </row>
    <row r="63" spans="1:16" x14ac:dyDescent="0.2">
      <c r="A63" s="43" t="s">
        <v>28</v>
      </c>
      <c r="B63" s="43" t="s">
        <v>16</v>
      </c>
      <c r="C63" s="43" t="s">
        <v>17</v>
      </c>
      <c r="D63" s="43" t="s">
        <v>43</v>
      </c>
      <c r="E63">
        <v>1445</v>
      </c>
      <c r="F63">
        <v>3</v>
      </c>
      <c r="G63">
        <v>12</v>
      </c>
      <c r="H63">
        <v>17340</v>
      </c>
      <c r="I63" s="43" t="s">
        <v>163</v>
      </c>
      <c r="J63">
        <v>17166.599999999999</v>
      </c>
      <c r="K63">
        <v>4335</v>
      </c>
      <c r="L63" s="43" t="s">
        <v>164</v>
      </c>
      <c r="M63" s="44">
        <v>41883</v>
      </c>
      <c r="N63">
        <v>9</v>
      </c>
      <c r="O63" s="43" t="s">
        <v>33</v>
      </c>
      <c r="P63">
        <v>2014</v>
      </c>
    </row>
    <row r="64" spans="1:16" x14ac:dyDescent="0.2">
      <c r="A64" s="43" t="s">
        <v>29</v>
      </c>
      <c r="B64" s="43" t="s">
        <v>35</v>
      </c>
      <c r="C64" s="43" t="s">
        <v>17</v>
      </c>
      <c r="D64" s="43" t="s">
        <v>43</v>
      </c>
      <c r="E64">
        <v>330</v>
      </c>
      <c r="F64">
        <v>3</v>
      </c>
      <c r="G64">
        <v>125</v>
      </c>
      <c r="H64">
        <v>41250</v>
      </c>
      <c r="I64" s="43" t="s">
        <v>165</v>
      </c>
      <c r="J64">
        <v>40837.5</v>
      </c>
      <c r="K64">
        <v>39600</v>
      </c>
      <c r="L64" s="43" t="s">
        <v>166</v>
      </c>
      <c r="M64" s="44">
        <v>41518</v>
      </c>
      <c r="N64">
        <v>9</v>
      </c>
      <c r="O64" s="43" t="s">
        <v>33</v>
      </c>
      <c r="P64">
        <v>2013</v>
      </c>
    </row>
    <row r="65" spans="1:16" x14ac:dyDescent="0.2">
      <c r="A65" s="43" t="s">
        <v>28</v>
      </c>
      <c r="B65" s="43" t="s">
        <v>22</v>
      </c>
      <c r="C65" s="43" t="s">
        <v>17</v>
      </c>
      <c r="D65" s="43" t="s">
        <v>43</v>
      </c>
      <c r="E65">
        <v>2671</v>
      </c>
      <c r="F65">
        <v>3</v>
      </c>
      <c r="G65">
        <v>12</v>
      </c>
      <c r="H65">
        <v>32052</v>
      </c>
      <c r="I65" s="43" t="s">
        <v>167</v>
      </c>
      <c r="J65">
        <v>31731.48</v>
      </c>
      <c r="K65">
        <v>8013</v>
      </c>
      <c r="L65" s="43" t="s">
        <v>168</v>
      </c>
      <c r="M65" s="44">
        <v>41883</v>
      </c>
      <c r="N65">
        <v>9</v>
      </c>
      <c r="O65" s="43" t="s">
        <v>33</v>
      </c>
      <c r="P65">
        <v>2014</v>
      </c>
    </row>
    <row r="66" spans="1:16" x14ac:dyDescent="0.2">
      <c r="A66" s="43" t="s">
        <v>28</v>
      </c>
      <c r="B66" s="43" t="s">
        <v>20</v>
      </c>
      <c r="C66" s="43" t="s">
        <v>17</v>
      </c>
      <c r="D66" s="43" t="s">
        <v>43</v>
      </c>
      <c r="E66">
        <v>766</v>
      </c>
      <c r="F66">
        <v>3</v>
      </c>
      <c r="G66">
        <v>12</v>
      </c>
      <c r="H66">
        <v>9192</v>
      </c>
      <c r="I66" s="43" t="s">
        <v>169</v>
      </c>
      <c r="J66">
        <v>9100.08</v>
      </c>
      <c r="K66">
        <v>2298</v>
      </c>
      <c r="L66" s="43" t="s">
        <v>170</v>
      </c>
      <c r="M66" s="44">
        <v>41548</v>
      </c>
      <c r="N66">
        <v>10</v>
      </c>
      <c r="O66" s="43" t="s">
        <v>34</v>
      </c>
      <c r="P66">
        <v>2013</v>
      </c>
    </row>
    <row r="67" spans="1:16" x14ac:dyDescent="0.2">
      <c r="A67" s="43" t="s">
        <v>31</v>
      </c>
      <c r="B67" s="43" t="s">
        <v>24</v>
      </c>
      <c r="C67" s="43" t="s">
        <v>17</v>
      </c>
      <c r="D67" s="43" t="s">
        <v>43</v>
      </c>
      <c r="E67">
        <v>494</v>
      </c>
      <c r="F67">
        <v>3</v>
      </c>
      <c r="G67">
        <v>300</v>
      </c>
      <c r="H67">
        <v>148200</v>
      </c>
      <c r="I67" s="43" t="s">
        <v>171</v>
      </c>
      <c r="J67">
        <v>146718</v>
      </c>
      <c r="K67">
        <v>123500</v>
      </c>
      <c r="L67" s="43" t="s">
        <v>172</v>
      </c>
      <c r="M67" s="44">
        <v>41548</v>
      </c>
      <c r="N67">
        <v>10</v>
      </c>
      <c r="O67" s="43" t="s">
        <v>34</v>
      </c>
      <c r="P67">
        <v>2013</v>
      </c>
    </row>
    <row r="68" spans="1:16" x14ac:dyDescent="0.2">
      <c r="A68" s="43" t="s">
        <v>15</v>
      </c>
      <c r="B68" s="43" t="s">
        <v>24</v>
      </c>
      <c r="C68" s="43" t="s">
        <v>17</v>
      </c>
      <c r="D68" s="43" t="s">
        <v>43</v>
      </c>
      <c r="E68">
        <v>1397</v>
      </c>
      <c r="F68">
        <v>3</v>
      </c>
      <c r="G68">
        <v>350</v>
      </c>
      <c r="H68">
        <v>488950</v>
      </c>
      <c r="I68" s="43" t="s">
        <v>173</v>
      </c>
      <c r="J68">
        <v>484060.5</v>
      </c>
      <c r="K68">
        <v>363220</v>
      </c>
      <c r="L68" s="43" t="s">
        <v>174</v>
      </c>
      <c r="M68" s="44">
        <v>41913</v>
      </c>
      <c r="N68">
        <v>10</v>
      </c>
      <c r="O68" s="43" t="s">
        <v>34</v>
      </c>
      <c r="P68">
        <v>2014</v>
      </c>
    </row>
    <row r="69" spans="1:16" x14ac:dyDescent="0.2">
      <c r="A69" s="43" t="s">
        <v>15</v>
      </c>
      <c r="B69" s="43" t="s">
        <v>22</v>
      </c>
      <c r="C69" s="43" t="s">
        <v>17</v>
      </c>
      <c r="D69" s="43" t="s">
        <v>43</v>
      </c>
      <c r="E69">
        <v>2155</v>
      </c>
      <c r="F69">
        <v>3</v>
      </c>
      <c r="G69">
        <v>350</v>
      </c>
      <c r="H69">
        <v>754250</v>
      </c>
      <c r="I69" s="43" t="s">
        <v>175</v>
      </c>
      <c r="J69">
        <v>746707.5</v>
      </c>
      <c r="K69">
        <v>560300</v>
      </c>
      <c r="L69" s="43" t="s">
        <v>176</v>
      </c>
      <c r="M69" s="44">
        <v>41974</v>
      </c>
      <c r="N69">
        <v>12</v>
      </c>
      <c r="O69" s="43" t="s">
        <v>25</v>
      </c>
      <c r="P69">
        <v>2014</v>
      </c>
    </row>
    <row r="70" spans="1:16" x14ac:dyDescent="0.2">
      <c r="A70" s="43" t="s">
        <v>21</v>
      </c>
      <c r="B70" s="43" t="s">
        <v>24</v>
      </c>
      <c r="C70" s="43" t="s">
        <v>26</v>
      </c>
      <c r="D70" s="43" t="s">
        <v>43</v>
      </c>
      <c r="E70">
        <v>2214</v>
      </c>
      <c r="F70">
        <v>5</v>
      </c>
      <c r="G70">
        <v>15</v>
      </c>
      <c r="H70">
        <v>33210</v>
      </c>
      <c r="I70" s="43" t="s">
        <v>177</v>
      </c>
      <c r="J70">
        <v>32877.9</v>
      </c>
      <c r="K70">
        <v>22140</v>
      </c>
      <c r="L70" s="43" t="s">
        <v>178</v>
      </c>
      <c r="M70" s="44">
        <v>41699</v>
      </c>
      <c r="N70">
        <v>3</v>
      </c>
      <c r="O70" s="43" t="s">
        <v>27</v>
      </c>
      <c r="P70">
        <v>2014</v>
      </c>
    </row>
    <row r="71" spans="1:16" x14ac:dyDescent="0.2">
      <c r="A71" s="43" t="s">
        <v>31</v>
      </c>
      <c r="B71" s="43" t="s">
        <v>35</v>
      </c>
      <c r="C71" s="43" t="s">
        <v>26</v>
      </c>
      <c r="D71" s="43" t="s">
        <v>43</v>
      </c>
      <c r="E71">
        <v>2301</v>
      </c>
      <c r="F71">
        <v>5</v>
      </c>
      <c r="G71">
        <v>300</v>
      </c>
      <c r="H71">
        <v>690300</v>
      </c>
      <c r="I71" s="43" t="s">
        <v>179</v>
      </c>
      <c r="J71">
        <v>683397</v>
      </c>
      <c r="K71">
        <v>575250</v>
      </c>
      <c r="L71" s="43" t="s">
        <v>180</v>
      </c>
      <c r="M71" s="44">
        <v>41730</v>
      </c>
      <c r="N71">
        <v>4</v>
      </c>
      <c r="O71" s="43" t="s">
        <v>41</v>
      </c>
      <c r="P71">
        <v>2014</v>
      </c>
    </row>
    <row r="72" spans="1:16" x14ac:dyDescent="0.2">
      <c r="A72" s="43" t="s">
        <v>15</v>
      </c>
      <c r="B72" s="43" t="s">
        <v>22</v>
      </c>
      <c r="C72" s="43" t="s">
        <v>26</v>
      </c>
      <c r="D72" s="43" t="s">
        <v>43</v>
      </c>
      <c r="E72">
        <v>1375.5</v>
      </c>
      <c r="F72">
        <v>5</v>
      </c>
      <c r="G72">
        <v>20</v>
      </c>
      <c r="H72">
        <v>27510</v>
      </c>
      <c r="I72" s="43" t="s">
        <v>181</v>
      </c>
      <c r="J72">
        <v>27234.9</v>
      </c>
      <c r="K72">
        <v>13755</v>
      </c>
      <c r="L72" s="43" t="s">
        <v>182</v>
      </c>
      <c r="M72" s="44">
        <v>41821</v>
      </c>
      <c r="N72">
        <v>7</v>
      </c>
      <c r="O72" s="43" t="s">
        <v>30</v>
      </c>
      <c r="P72">
        <v>2014</v>
      </c>
    </row>
    <row r="73" spans="1:16" x14ac:dyDescent="0.2">
      <c r="A73" s="43" t="s">
        <v>15</v>
      </c>
      <c r="B73" s="43" t="s">
        <v>16</v>
      </c>
      <c r="C73" s="43" t="s">
        <v>26</v>
      </c>
      <c r="D73" s="43" t="s">
        <v>43</v>
      </c>
      <c r="E73">
        <v>1830</v>
      </c>
      <c r="F73">
        <v>5</v>
      </c>
      <c r="G73">
        <v>7</v>
      </c>
      <c r="H73">
        <v>12810</v>
      </c>
      <c r="I73" s="43" t="s">
        <v>183</v>
      </c>
      <c r="J73">
        <v>12681.9</v>
      </c>
      <c r="K73">
        <v>9150</v>
      </c>
      <c r="L73" s="43" t="s">
        <v>184</v>
      </c>
      <c r="M73" s="44">
        <v>41852</v>
      </c>
      <c r="N73">
        <v>8</v>
      </c>
      <c r="O73" s="43" t="s">
        <v>32</v>
      </c>
      <c r="P73">
        <v>2014</v>
      </c>
    </row>
    <row r="74" spans="1:16" x14ac:dyDescent="0.2">
      <c r="A74" s="43" t="s">
        <v>31</v>
      </c>
      <c r="B74" s="43" t="s">
        <v>35</v>
      </c>
      <c r="C74" s="43" t="s">
        <v>26</v>
      </c>
      <c r="D74" s="43" t="s">
        <v>43</v>
      </c>
      <c r="E74">
        <v>2498</v>
      </c>
      <c r="F74">
        <v>5</v>
      </c>
      <c r="G74">
        <v>300</v>
      </c>
      <c r="H74">
        <v>749400</v>
      </c>
      <c r="I74" s="43" t="s">
        <v>185</v>
      </c>
      <c r="J74">
        <v>741906</v>
      </c>
      <c r="K74">
        <v>624500</v>
      </c>
      <c r="L74" s="43" t="s">
        <v>186</v>
      </c>
      <c r="M74" s="44">
        <v>41518</v>
      </c>
      <c r="N74">
        <v>9</v>
      </c>
      <c r="O74" s="43" t="s">
        <v>33</v>
      </c>
      <c r="P74">
        <v>2013</v>
      </c>
    </row>
    <row r="75" spans="1:16" x14ac:dyDescent="0.2">
      <c r="A75" s="43" t="s">
        <v>29</v>
      </c>
      <c r="B75" s="43" t="s">
        <v>35</v>
      </c>
      <c r="C75" s="43" t="s">
        <v>26</v>
      </c>
      <c r="D75" s="43" t="s">
        <v>43</v>
      </c>
      <c r="E75">
        <v>663</v>
      </c>
      <c r="F75">
        <v>5</v>
      </c>
      <c r="G75">
        <v>125</v>
      </c>
      <c r="H75">
        <v>82875</v>
      </c>
      <c r="I75" s="43" t="s">
        <v>187</v>
      </c>
      <c r="J75">
        <v>82046.25</v>
      </c>
      <c r="K75">
        <v>79560</v>
      </c>
      <c r="L75" s="43" t="s">
        <v>188</v>
      </c>
      <c r="M75" s="44">
        <v>41548</v>
      </c>
      <c r="N75">
        <v>10</v>
      </c>
      <c r="O75" s="43" t="s">
        <v>34</v>
      </c>
      <c r="P75">
        <v>2013</v>
      </c>
    </row>
    <row r="76" spans="1:16" x14ac:dyDescent="0.2">
      <c r="A76" s="43" t="s">
        <v>21</v>
      </c>
      <c r="B76" s="43" t="s">
        <v>35</v>
      </c>
      <c r="C76" s="43" t="s">
        <v>36</v>
      </c>
      <c r="D76" s="43" t="s">
        <v>43</v>
      </c>
      <c r="E76">
        <v>1514</v>
      </c>
      <c r="F76">
        <v>10</v>
      </c>
      <c r="G76">
        <v>15</v>
      </c>
      <c r="H76">
        <v>22710</v>
      </c>
      <c r="I76" s="43" t="s">
        <v>189</v>
      </c>
      <c r="J76">
        <v>22482.9</v>
      </c>
      <c r="K76">
        <v>15140</v>
      </c>
      <c r="L76" s="43" t="s">
        <v>190</v>
      </c>
      <c r="M76" s="44">
        <v>41671</v>
      </c>
      <c r="N76">
        <v>2</v>
      </c>
      <c r="O76" s="43" t="s">
        <v>37</v>
      </c>
      <c r="P76">
        <v>2014</v>
      </c>
    </row>
    <row r="77" spans="1:16" x14ac:dyDescent="0.2">
      <c r="A77" s="43" t="s">
        <v>15</v>
      </c>
      <c r="B77" s="43" t="s">
        <v>35</v>
      </c>
      <c r="C77" s="43" t="s">
        <v>36</v>
      </c>
      <c r="D77" s="43" t="s">
        <v>43</v>
      </c>
      <c r="E77">
        <v>4492.5</v>
      </c>
      <c r="F77">
        <v>10</v>
      </c>
      <c r="G77">
        <v>7</v>
      </c>
      <c r="H77">
        <v>31447.5</v>
      </c>
      <c r="I77" s="43" t="s">
        <v>191</v>
      </c>
      <c r="J77">
        <v>31133.02</v>
      </c>
      <c r="K77">
        <v>22462.5</v>
      </c>
      <c r="L77" s="43" t="s">
        <v>192</v>
      </c>
      <c r="M77" s="44">
        <v>41730</v>
      </c>
      <c r="N77">
        <v>4</v>
      </c>
      <c r="O77" s="43" t="s">
        <v>41</v>
      </c>
      <c r="P77">
        <v>2014</v>
      </c>
    </row>
    <row r="78" spans="1:16" x14ac:dyDescent="0.2">
      <c r="A78" s="43" t="s">
        <v>29</v>
      </c>
      <c r="B78" s="43" t="s">
        <v>35</v>
      </c>
      <c r="C78" s="43" t="s">
        <v>36</v>
      </c>
      <c r="D78" s="43" t="s">
        <v>43</v>
      </c>
      <c r="E78">
        <v>727</v>
      </c>
      <c r="F78">
        <v>10</v>
      </c>
      <c r="G78">
        <v>125</v>
      </c>
      <c r="H78">
        <v>90875</v>
      </c>
      <c r="I78" s="43" t="s">
        <v>193</v>
      </c>
      <c r="J78">
        <v>89966.25</v>
      </c>
      <c r="K78">
        <v>87240</v>
      </c>
      <c r="L78" s="43" t="s">
        <v>194</v>
      </c>
      <c r="M78" s="44">
        <v>41791</v>
      </c>
      <c r="N78">
        <v>6</v>
      </c>
      <c r="O78" s="43" t="s">
        <v>23</v>
      </c>
      <c r="P78">
        <v>2014</v>
      </c>
    </row>
    <row r="79" spans="1:16" x14ac:dyDescent="0.2">
      <c r="A79" s="43" t="s">
        <v>29</v>
      </c>
      <c r="B79" s="43" t="s">
        <v>22</v>
      </c>
      <c r="C79" s="43" t="s">
        <v>36</v>
      </c>
      <c r="D79" s="43" t="s">
        <v>43</v>
      </c>
      <c r="E79">
        <v>787</v>
      </c>
      <c r="F79">
        <v>10</v>
      </c>
      <c r="G79">
        <v>125</v>
      </c>
      <c r="H79">
        <v>98375</v>
      </c>
      <c r="I79" s="43" t="s">
        <v>195</v>
      </c>
      <c r="J79">
        <v>97391.25</v>
      </c>
      <c r="K79">
        <v>94440</v>
      </c>
      <c r="L79" s="43" t="s">
        <v>196</v>
      </c>
      <c r="M79" s="44">
        <v>41791</v>
      </c>
      <c r="N79">
        <v>6</v>
      </c>
      <c r="O79" s="43" t="s">
        <v>23</v>
      </c>
      <c r="P79">
        <v>2014</v>
      </c>
    </row>
    <row r="80" spans="1:16" x14ac:dyDescent="0.2">
      <c r="A80" s="43" t="s">
        <v>29</v>
      </c>
      <c r="B80" s="43" t="s">
        <v>24</v>
      </c>
      <c r="C80" s="43" t="s">
        <v>36</v>
      </c>
      <c r="D80" s="43" t="s">
        <v>43</v>
      </c>
      <c r="E80">
        <v>1823</v>
      </c>
      <c r="F80">
        <v>10</v>
      </c>
      <c r="G80">
        <v>125</v>
      </c>
      <c r="H80">
        <v>227875</v>
      </c>
      <c r="I80" s="43" t="s">
        <v>197</v>
      </c>
      <c r="J80">
        <v>225596.25</v>
      </c>
      <c r="K80">
        <v>218760</v>
      </c>
      <c r="L80" s="43" t="s">
        <v>198</v>
      </c>
      <c r="M80" s="44">
        <v>41821</v>
      </c>
      <c r="N80">
        <v>7</v>
      </c>
      <c r="O80" s="43" t="s">
        <v>30</v>
      </c>
      <c r="P80">
        <v>2014</v>
      </c>
    </row>
    <row r="81" spans="1:16" x14ac:dyDescent="0.2">
      <c r="A81" s="43" t="s">
        <v>21</v>
      </c>
      <c r="B81" s="43" t="s">
        <v>20</v>
      </c>
      <c r="C81" s="43" t="s">
        <v>36</v>
      </c>
      <c r="D81" s="43" t="s">
        <v>43</v>
      </c>
      <c r="E81">
        <v>747</v>
      </c>
      <c r="F81">
        <v>10</v>
      </c>
      <c r="G81">
        <v>15</v>
      </c>
      <c r="H81">
        <v>11205</v>
      </c>
      <c r="I81" s="43" t="s">
        <v>199</v>
      </c>
      <c r="J81">
        <v>11092.95</v>
      </c>
      <c r="K81">
        <v>7470</v>
      </c>
      <c r="L81" s="43" t="s">
        <v>200</v>
      </c>
      <c r="M81" s="44">
        <v>41883</v>
      </c>
      <c r="N81">
        <v>9</v>
      </c>
      <c r="O81" s="43" t="s">
        <v>33</v>
      </c>
      <c r="P81">
        <v>2014</v>
      </c>
    </row>
    <row r="82" spans="1:16" x14ac:dyDescent="0.2">
      <c r="A82" s="43" t="s">
        <v>28</v>
      </c>
      <c r="B82" s="43" t="s">
        <v>20</v>
      </c>
      <c r="C82" s="43" t="s">
        <v>36</v>
      </c>
      <c r="D82" s="43" t="s">
        <v>43</v>
      </c>
      <c r="E82">
        <v>766</v>
      </c>
      <c r="F82">
        <v>10</v>
      </c>
      <c r="G82">
        <v>12</v>
      </c>
      <c r="H82">
        <v>9192</v>
      </c>
      <c r="I82" s="43" t="s">
        <v>169</v>
      </c>
      <c r="J82">
        <v>9100.08</v>
      </c>
      <c r="K82">
        <v>2298</v>
      </c>
      <c r="L82" s="43" t="s">
        <v>170</v>
      </c>
      <c r="M82" s="44">
        <v>41548</v>
      </c>
      <c r="N82">
        <v>10</v>
      </c>
      <c r="O82" s="43" t="s">
        <v>34</v>
      </c>
      <c r="P82">
        <v>2013</v>
      </c>
    </row>
    <row r="83" spans="1:16" x14ac:dyDescent="0.2">
      <c r="A83" s="43" t="s">
        <v>31</v>
      </c>
      <c r="B83" s="43" t="s">
        <v>35</v>
      </c>
      <c r="C83" s="43" t="s">
        <v>36</v>
      </c>
      <c r="D83" s="43" t="s">
        <v>43</v>
      </c>
      <c r="E83">
        <v>2905</v>
      </c>
      <c r="F83">
        <v>10</v>
      </c>
      <c r="G83">
        <v>300</v>
      </c>
      <c r="H83">
        <v>871500</v>
      </c>
      <c r="I83" s="43" t="s">
        <v>201</v>
      </c>
      <c r="J83">
        <v>862785</v>
      </c>
      <c r="K83">
        <v>726250</v>
      </c>
      <c r="L83" s="43" t="s">
        <v>202</v>
      </c>
      <c r="M83" s="44">
        <v>41944</v>
      </c>
      <c r="N83">
        <v>11</v>
      </c>
      <c r="O83" s="43" t="s">
        <v>38</v>
      </c>
      <c r="P83">
        <v>2014</v>
      </c>
    </row>
    <row r="84" spans="1:16" x14ac:dyDescent="0.2">
      <c r="A84" s="43" t="s">
        <v>15</v>
      </c>
      <c r="B84" s="43" t="s">
        <v>22</v>
      </c>
      <c r="C84" s="43" t="s">
        <v>36</v>
      </c>
      <c r="D84" s="43" t="s">
        <v>43</v>
      </c>
      <c r="E84">
        <v>2155</v>
      </c>
      <c r="F84">
        <v>10</v>
      </c>
      <c r="G84">
        <v>350</v>
      </c>
      <c r="H84">
        <v>754250</v>
      </c>
      <c r="I84" s="43" t="s">
        <v>175</v>
      </c>
      <c r="J84">
        <v>746707.5</v>
      </c>
      <c r="K84">
        <v>560300</v>
      </c>
      <c r="L84" s="43" t="s">
        <v>176</v>
      </c>
      <c r="M84" s="44">
        <v>41974</v>
      </c>
      <c r="N84">
        <v>12</v>
      </c>
      <c r="O84" s="43" t="s">
        <v>25</v>
      </c>
      <c r="P84">
        <v>2014</v>
      </c>
    </row>
    <row r="85" spans="1:16" x14ac:dyDescent="0.2">
      <c r="A85" s="43" t="s">
        <v>15</v>
      </c>
      <c r="B85" s="43" t="s">
        <v>22</v>
      </c>
      <c r="C85" s="43" t="s">
        <v>39</v>
      </c>
      <c r="D85" s="43" t="s">
        <v>43</v>
      </c>
      <c r="E85">
        <v>3864</v>
      </c>
      <c r="F85">
        <v>120</v>
      </c>
      <c r="G85">
        <v>20</v>
      </c>
      <c r="H85">
        <v>77280</v>
      </c>
      <c r="I85" s="43" t="s">
        <v>203</v>
      </c>
      <c r="J85">
        <v>76507.199999999997</v>
      </c>
      <c r="K85">
        <v>38640</v>
      </c>
      <c r="L85" s="43" t="s">
        <v>204</v>
      </c>
      <c r="M85" s="44">
        <v>41730</v>
      </c>
      <c r="N85">
        <v>4</v>
      </c>
      <c r="O85" s="43" t="s">
        <v>41</v>
      </c>
      <c r="P85">
        <v>2014</v>
      </c>
    </row>
    <row r="86" spans="1:16" x14ac:dyDescent="0.2">
      <c r="A86" s="43" t="s">
        <v>15</v>
      </c>
      <c r="B86" s="43" t="s">
        <v>24</v>
      </c>
      <c r="C86" s="43" t="s">
        <v>39</v>
      </c>
      <c r="D86" s="43" t="s">
        <v>43</v>
      </c>
      <c r="E86">
        <v>362</v>
      </c>
      <c r="F86">
        <v>120</v>
      </c>
      <c r="G86">
        <v>7</v>
      </c>
      <c r="H86">
        <v>2534</v>
      </c>
      <c r="I86" s="43" t="s">
        <v>205</v>
      </c>
      <c r="J86">
        <v>2508.66</v>
      </c>
      <c r="K86">
        <v>1810</v>
      </c>
      <c r="L86" s="43" t="s">
        <v>206</v>
      </c>
      <c r="M86" s="44">
        <v>41760</v>
      </c>
      <c r="N86">
        <v>5</v>
      </c>
      <c r="O86" s="43" t="s">
        <v>44</v>
      </c>
      <c r="P86">
        <v>2014</v>
      </c>
    </row>
    <row r="87" spans="1:16" x14ac:dyDescent="0.2">
      <c r="A87" s="43" t="s">
        <v>29</v>
      </c>
      <c r="B87" s="43" t="s">
        <v>16</v>
      </c>
      <c r="C87" s="43" t="s">
        <v>39</v>
      </c>
      <c r="D87" s="43" t="s">
        <v>43</v>
      </c>
      <c r="E87">
        <v>923</v>
      </c>
      <c r="F87">
        <v>120</v>
      </c>
      <c r="G87">
        <v>125</v>
      </c>
      <c r="H87">
        <v>115375</v>
      </c>
      <c r="I87" s="43" t="s">
        <v>207</v>
      </c>
      <c r="J87">
        <v>114221.25</v>
      </c>
      <c r="K87">
        <v>110760</v>
      </c>
      <c r="L87" s="43" t="s">
        <v>208</v>
      </c>
      <c r="M87" s="44">
        <v>41852</v>
      </c>
      <c r="N87">
        <v>8</v>
      </c>
      <c r="O87" s="43" t="s">
        <v>32</v>
      </c>
      <c r="P87">
        <v>2014</v>
      </c>
    </row>
    <row r="88" spans="1:16" x14ac:dyDescent="0.2">
      <c r="A88" s="43" t="s">
        <v>29</v>
      </c>
      <c r="B88" s="43" t="s">
        <v>35</v>
      </c>
      <c r="C88" s="43" t="s">
        <v>39</v>
      </c>
      <c r="D88" s="43" t="s">
        <v>43</v>
      </c>
      <c r="E88">
        <v>663</v>
      </c>
      <c r="F88">
        <v>120</v>
      </c>
      <c r="G88">
        <v>125</v>
      </c>
      <c r="H88">
        <v>82875</v>
      </c>
      <c r="I88" s="43" t="s">
        <v>187</v>
      </c>
      <c r="J88">
        <v>82046.25</v>
      </c>
      <c r="K88">
        <v>79560</v>
      </c>
      <c r="L88" s="43" t="s">
        <v>188</v>
      </c>
      <c r="M88" s="44">
        <v>41548</v>
      </c>
      <c r="N88">
        <v>10</v>
      </c>
      <c r="O88" s="43" t="s">
        <v>34</v>
      </c>
      <c r="P88">
        <v>2013</v>
      </c>
    </row>
    <row r="89" spans="1:16" x14ac:dyDescent="0.2">
      <c r="A89" s="43" t="s">
        <v>15</v>
      </c>
      <c r="B89" s="43" t="s">
        <v>16</v>
      </c>
      <c r="C89" s="43" t="s">
        <v>39</v>
      </c>
      <c r="D89" s="43" t="s">
        <v>43</v>
      </c>
      <c r="E89">
        <v>2092</v>
      </c>
      <c r="F89">
        <v>120</v>
      </c>
      <c r="G89">
        <v>7</v>
      </c>
      <c r="H89">
        <v>14644</v>
      </c>
      <c r="I89" s="43" t="s">
        <v>209</v>
      </c>
      <c r="J89">
        <v>14497.56</v>
      </c>
      <c r="K89">
        <v>10460</v>
      </c>
      <c r="L89" s="43" t="s">
        <v>210</v>
      </c>
      <c r="M89" s="44">
        <v>41579</v>
      </c>
      <c r="N89">
        <v>11</v>
      </c>
      <c r="O89" s="43" t="s">
        <v>38</v>
      </c>
      <c r="P89">
        <v>2013</v>
      </c>
    </row>
    <row r="90" spans="1:16" x14ac:dyDescent="0.2">
      <c r="A90" s="43" t="s">
        <v>15</v>
      </c>
      <c r="B90" s="43" t="s">
        <v>20</v>
      </c>
      <c r="C90" s="43" t="s">
        <v>40</v>
      </c>
      <c r="D90" s="43" t="s">
        <v>43</v>
      </c>
      <c r="E90">
        <v>263</v>
      </c>
      <c r="F90">
        <v>250</v>
      </c>
      <c r="G90">
        <v>7</v>
      </c>
      <c r="H90">
        <v>1841</v>
      </c>
      <c r="I90" s="43" t="s">
        <v>211</v>
      </c>
      <c r="J90">
        <v>1822.59</v>
      </c>
      <c r="K90">
        <v>1315</v>
      </c>
      <c r="L90" s="43" t="s">
        <v>212</v>
      </c>
      <c r="M90" s="44">
        <v>41699</v>
      </c>
      <c r="N90">
        <v>3</v>
      </c>
      <c r="O90" s="43" t="s">
        <v>27</v>
      </c>
      <c r="P90">
        <v>2014</v>
      </c>
    </row>
    <row r="91" spans="1:16" x14ac:dyDescent="0.2">
      <c r="A91" s="43" t="s">
        <v>15</v>
      </c>
      <c r="B91" s="43" t="s">
        <v>16</v>
      </c>
      <c r="C91" s="43" t="s">
        <v>40</v>
      </c>
      <c r="D91" s="43" t="s">
        <v>43</v>
      </c>
      <c r="E91">
        <v>943.5</v>
      </c>
      <c r="F91">
        <v>250</v>
      </c>
      <c r="G91">
        <v>350</v>
      </c>
      <c r="H91">
        <v>330225</v>
      </c>
      <c r="I91" s="43" t="s">
        <v>213</v>
      </c>
      <c r="J91">
        <v>326922.75</v>
      </c>
      <c r="K91">
        <v>245310</v>
      </c>
      <c r="L91" s="43" t="s">
        <v>214</v>
      </c>
      <c r="M91" s="44">
        <v>41730</v>
      </c>
      <c r="N91">
        <v>4</v>
      </c>
      <c r="O91" s="43" t="s">
        <v>41</v>
      </c>
      <c r="P91">
        <v>2014</v>
      </c>
    </row>
    <row r="92" spans="1:16" x14ac:dyDescent="0.2">
      <c r="A92" s="43" t="s">
        <v>29</v>
      </c>
      <c r="B92" s="43" t="s">
        <v>35</v>
      </c>
      <c r="C92" s="43" t="s">
        <v>40</v>
      </c>
      <c r="D92" s="43" t="s">
        <v>43</v>
      </c>
      <c r="E92">
        <v>727</v>
      </c>
      <c r="F92">
        <v>250</v>
      </c>
      <c r="G92">
        <v>125</v>
      </c>
      <c r="H92">
        <v>90875</v>
      </c>
      <c r="I92" s="43" t="s">
        <v>193</v>
      </c>
      <c r="J92">
        <v>89966.25</v>
      </c>
      <c r="K92">
        <v>87240</v>
      </c>
      <c r="L92" s="43" t="s">
        <v>194</v>
      </c>
      <c r="M92" s="44">
        <v>41791</v>
      </c>
      <c r="N92">
        <v>6</v>
      </c>
      <c r="O92" s="43" t="s">
        <v>23</v>
      </c>
      <c r="P92">
        <v>2014</v>
      </c>
    </row>
    <row r="93" spans="1:16" x14ac:dyDescent="0.2">
      <c r="A93" s="43" t="s">
        <v>29</v>
      </c>
      <c r="B93" s="43" t="s">
        <v>22</v>
      </c>
      <c r="C93" s="43" t="s">
        <v>40</v>
      </c>
      <c r="D93" s="43" t="s">
        <v>43</v>
      </c>
      <c r="E93">
        <v>787</v>
      </c>
      <c r="F93">
        <v>250</v>
      </c>
      <c r="G93">
        <v>125</v>
      </c>
      <c r="H93">
        <v>98375</v>
      </c>
      <c r="I93" s="43" t="s">
        <v>195</v>
      </c>
      <c r="J93">
        <v>97391.25</v>
      </c>
      <c r="K93">
        <v>94440</v>
      </c>
      <c r="L93" s="43" t="s">
        <v>196</v>
      </c>
      <c r="M93" s="44">
        <v>41791</v>
      </c>
      <c r="N93">
        <v>6</v>
      </c>
      <c r="O93" s="43" t="s">
        <v>23</v>
      </c>
      <c r="P93">
        <v>2014</v>
      </c>
    </row>
    <row r="94" spans="1:16" x14ac:dyDescent="0.2">
      <c r="A94" s="43" t="s">
        <v>31</v>
      </c>
      <c r="B94" s="43" t="s">
        <v>20</v>
      </c>
      <c r="C94" s="43" t="s">
        <v>40</v>
      </c>
      <c r="D94" s="43" t="s">
        <v>43</v>
      </c>
      <c r="E94">
        <v>986</v>
      </c>
      <c r="F94">
        <v>250</v>
      </c>
      <c r="G94">
        <v>300</v>
      </c>
      <c r="H94">
        <v>295800</v>
      </c>
      <c r="I94" s="43" t="s">
        <v>215</v>
      </c>
      <c r="J94">
        <v>292842</v>
      </c>
      <c r="K94">
        <v>246500</v>
      </c>
      <c r="L94" s="43" t="s">
        <v>216</v>
      </c>
      <c r="M94" s="44">
        <v>41883</v>
      </c>
      <c r="N94">
        <v>9</v>
      </c>
      <c r="O94" s="43" t="s">
        <v>33</v>
      </c>
      <c r="P94">
        <v>2014</v>
      </c>
    </row>
    <row r="95" spans="1:16" x14ac:dyDescent="0.2">
      <c r="A95" s="43" t="s">
        <v>31</v>
      </c>
      <c r="B95" s="43" t="s">
        <v>24</v>
      </c>
      <c r="C95" s="43" t="s">
        <v>40</v>
      </c>
      <c r="D95" s="43" t="s">
        <v>43</v>
      </c>
      <c r="E95">
        <v>494</v>
      </c>
      <c r="F95">
        <v>250</v>
      </c>
      <c r="G95">
        <v>300</v>
      </c>
      <c r="H95">
        <v>148200</v>
      </c>
      <c r="I95" s="43" t="s">
        <v>171</v>
      </c>
      <c r="J95">
        <v>146718</v>
      </c>
      <c r="K95">
        <v>123500</v>
      </c>
      <c r="L95" s="43" t="s">
        <v>172</v>
      </c>
      <c r="M95" s="44">
        <v>41548</v>
      </c>
      <c r="N95">
        <v>10</v>
      </c>
      <c r="O95" s="43" t="s">
        <v>34</v>
      </c>
      <c r="P95">
        <v>2013</v>
      </c>
    </row>
    <row r="96" spans="1:16" x14ac:dyDescent="0.2">
      <c r="A96" s="43" t="s">
        <v>15</v>
      </c>
      <c r="B96" s="43" t="s">
        <v>24</v>
      </c>
      <c r="C96" s="43" t="s">
        <v>40</v>
      </c>
      <c r="D96" s="43" t="s">
        <v>43</v>
      </c>
      <c r="E96">
        <v>1397</v>
      </c>
      <c r="F96">
        <v>250</v>
      </c>
      <c r="G96">
        <v>350</v>
      </c>
      <c r="H96">
        <v>488950</v>
      </c>
      <c r="I96" s="43" t="s">
        <v>173</v>
      </c>
      <c r="J96">
        <v>484060.5</v>
      </c>
      <c r="K96">
        <v>363220</v>
      </c>
      <c r="L96" s="43" t="s">
        <v>174</v>
      </c>
      <c r="M96" s="44">
        <v>41913</v>
      </c>
      <c r="N96">
        <v>10</v>
      </c>
      <c r="O96" s="43" t="s">
        <v>34</v>
      </c>
      <c r="P96">
        <v>2014</v>
      </c>
    </row>
    <row r="97" spans="1:16" x14ac:dyDescent="0.2">
      <c r="A97" s="43" t="s">
        <v>29</v>
      </c>
      <c r="B97" s="43" t="s">
        <v>22</v>
      </c>
      <c r="C97" s="43" t="s">
        <v>40</v>
      </c>
      <c r="D97" s="43" t="s">
        <v>43</v>
      </c>
      <c r="E97">
        <v>1744</v>
      </c>
      <c r="F97">
        <v>250</v>
      </c>
      <c r="G97">
        <v>125</v>
      </c>
      <c r="H97">
        <v>218000</v>
      </c>
      <c r="I97" s="43" t="s">
        <v>217</v>
      </c>
      <c r="J97">
        <v>215820</v>
      </c>
      <c r="K97">
        <v>209280</v>
      </c>
      <c r="L97" s="43" t="s">
        <v>218</v>
      </c>
      <c r="M97" s="44">
        <v>41944</v>
      </c>
      <c r="N97">
        <v>11</v>
      </c>
      <c r="O97" s="43" t="s">
        <v>38</v>
      </c>
      <c r="P97">
        <v>2014</v>
      </c>
    </row>
    <row r="98" spans="1:16" x14ac:dyDescent="0.2">
      <c r="A98" s="43" t="s">
        <v>28</v>
      </c>
      <c r="B98" s="43" t="s">
        <v>35</v>
      </c>
      <c r="C98" s="43" t="s">
        <v>42</v>
      </c>
      <c r="D98" s="43" t="s">
        <v>43</v>
      </c>
      <c r="E98">
        <v>1989</v>
      </c>
      <c r="F98">
        <v>260</v>
      </c>
      <c r="G98">
        <v>12</v>
      </c>
      <c r="H98">
        <v>23868</v>
      </c>
      <c r="I98" s="43" t="s">
        <v>219</v>
      </c>
      <c r="J98">
        <v>23629.32</v>
      </c>
      <c r="K98">
        <v>5967</v>
      </c>
      <c r="L98" s="43" t="s">
        <v>220</v>
      </c>
      <c r="M98" s="44">
        <v>41518</v>
      </c>
      <c r="N98">
        <v>9</v>
      </c>
      <c r="O98" s="43" t="s">
        <v>33</v>
      </c>
      <c r="P98">
        <v>2013</v>
      </c>
    </row>
    <row r="99" spans="1:16" x14ac:dyDescent="0.2">
      <c r="A99" s="43" t="s">
        <v>21</v>
      </c>
      <c r="B99" s="43" t="s">
        <v>22</v>
      </c>
      <c r="C99" s="43" t="s">
        <v>42</v>
      </c>
      <c r="D99" s="43" t="s">
        <v>43</v>
      </c>
      <c r="E99">
        <v>321</v>
      </c>
      <c r="F99">
        <v>260</v>
      </c>
      <c r="G99">
        <v>15</v>
      </c>
      <c r="H99">
        <v>4815</v>
      </c>
      <c r="I99" s="43" t="s">
        <v>221</v>
      </c>
      <c r="J99">
        <v>4766.8500000000004</v>
      </c>
      <c r="K99">
        <v>3210</v>
      </c>
      <c r="L99" s="43" t="s">
        <v>222</v>
      </c>
      <c r="M99" s="44">
        <v>41579</v>
      </c>
      <c r="N99">
        <v>11</v>
      </c>
      <c r="O99" s="43" t="s">
        <v>38</v>
      </c>
      <c r="P99">
        <v>2013</v>
      </c>
    </row>
    <row r="100" spans="1:16" x14ac:dyDescent="0.2">
      <c r="A100" s="43" t="s">
        <v>29</v>
      </c>
      <c r="B100" s="43" t="s">
        <v>16</v>
      </c>
      <c r="C100" s="43" t="s">
        <v>17</v>
      </c>
      <c r="D100" s="43" t="s">
        <v>43</v>
      </c>
      <c r="E100">
        <v>742.5</v>
      </c>
      <c r="F100">
        <v>3</v>
      </c>
      <c r="G100">
        <v>125</v>
      </c>
      <c r="H100">
        <v>92812.5</v>
      </c>
      <c r="I100" s="43" t="s">
        <v>223</v>
      </c>
      <c r="J100">
        <v>90956.25</v>
      </c>
      <c r="K100">
        <v>89100</v>
      </c>
      <c r="L100" s="43" t="s">
        <v>223</v>
      </c>
      <c r="M100" s="44">
        <v>41730</v>
      </c>
      <c r="N100">
        <v>4</v>
      </c>
      <c r="O100" s="43" t="s">
        <v>41</v>
      </c>
      <c r="P100">
        <v>2014</v>
      </c>
    </row>
    <row r="101" spans="1:16" x14ac:dyDescent="0.2">
      <c r="A101" s="43" t="s">
        <v>28</v>
      </c>
      <c r="B101" s="43" t="s">
        <v>16</v>
      </c>
      <c r="C101" s="43" t="s">
        <v>17</v>
      </c>
      <c r="D101" s="43" t="s">
        <v>43</v>
      </c>
      <c r="E101">
        <v>1295</v>
      </c>
      <c r="F101">
        <v>3</v>
      </c>
      <c r="G101">
        <v>12</v>
      </c>
      <c r="H101">
        <v>15540</v>
      </c>
      <c r="I101" s="43" t="s">
        <v>224</v>
      </c>
      <c r="J101">
        <v>15229.2</v>
      </c>
      <c r="K101">
        <v>3885</v>
      </c>
      <c r="L101" s="43" t="s">
        <v>225</v>
      </c>
      <c r="M101" s="44">
        <v>41913</v>
      </c>
      <c r="N101">
        <v>10</v>
      </c>
      <c r="O101" s="43" t="s">
        <v>34</v>
      </c>
      <c r="P101">
        <v>2014</v>
      </c>
    </row>
    <row r="102" spans="1:16" x14ac:dyDescent="0.2">
      <c r="A102" s="43" t="s">
        <v>31</v>
      </c>
      <c r="B102" s="43" t="s">
        <v>20</v>
      </c>
      <c r="C102" s="43" t="s">
        <v>17</v>
      </c>
      <c r="D102" s="43" t="s">
        <v>43</v>
      </c>
      <c r="E102">
        <v>214</v>
      </c>
      <c r="F102">
        <v>3</v>
      </c>
      <c r="G102">
        <v>300</v>
      </c>
      <c r="H102">
        <v>64200</v>
      </c>
      <c r="I102" s="43" t="s">
        <v>226</v>
      </c>
      <c r="J102">
        <v>62916</v>
      </c>
      <c r="K102">
        <v>53500</v>
      </c>
      <c r="L102" s="43" t="s">
        <v>227</v>
      </c>
      <c r="M102" s="44">
        <v>41548</v>
      </c>
      <c r="N102">
        <v>10</v>
      </c>
      <c r="O102" s="43" t="s">
        <v>34</v>
      </c>
      <c r="P102">
        <v>2013</v>
      </c>
    </row>
    <row r="103" spans="1:16" x14ac:dyDescent="0.2">
      <c r="A103" s="43" t="s">
        <v>15</v>
      </c>
      <c r="B103" s="43" t="s">
        <v>22</v>
      </c>
      <c r="C103" s="43" t="s">
        <v>17</v>
      </c>
      <c r="D103" s="43" t="s">
        <v>43</v>
      </c>
      <c r="E103">
        <v>2145</v>
      </c>
      <c r="F103">
        <v>3</v>
      </c>
      <c r="G103">
        <v>7</v>
      </c>
      <c r="H103">
        <v>15015</v>
      </c>
      <c r="I103" s="43" t="s">
        <v>228</v>
      </c>
      <c r="J103">
        <v>14714.7</v>
      </c>
      <c r="K103">
        <v>10725</v>
      </c>
      <c r="L103" s="43" t="s">
        <v>229</v>
      </c>
      <c r="M103" s="44">
        <v>41579</v>
      </c>
      <c r="N103">
        <v>11</v>
      </c>
      <c r="O103" s="43" t="s">
        <v>38</v>
      </c>
      <c r="P103">
        <v>2013</v>
      </c>
    </row>
    <row r="104" spans="1:16" x14ac:dyDescent="0.2">
      <c r="A104" s="43" t="s">
        <v>15</v>
      </c>
      <c r="B104" s="43" t="s">
        <v>16</v>
      </c>
      <c r="C104" s="43" t="s">
        <v>17</v>
      </c>
      <c r="D104" s="43" t="s">
        <v>43</v>
      </c>
      <c r="E104">
        <v>2852</v>
      </c>
      <c r="F104">
        <v>3</v>
      </c>
      <c r="G104">
        <v>350</v>
      </c>
      <c r="H104">
        <v>998200</v>
      </c>
      <c r="I104" s="43" t="s">
        <v>230</v>
      </c>
      <c r="J104">
        <v>978236</v>
      </c>
      <c r="K104">
        <v>741520</v>
      </c>
      <c r="L104" s="43" t="s">
        <v>231</v>
      </c>
      <c r="M104" s="44">
        <v>41974</v>
      </c>
      <c r="N104">
        <v>12</v>
      </c>
      <c r="O104" s="43" t="s">
        <v>25</v>
      </c>
      <c r="P104">
        <v>2014</v>
      </c>
    </row>
    <row r="105" spans="1:16" x14ac:dyDescent="0.2">
      <c r="A105" s="43" t="s">
        <v>28</v>
      </c>
      <c r="B105" s="43" t="s">
        <v>35</v>
      </c>
      <c r="C105" s="43" t="s">
        <v>26</v>
      </c>
      <c r="D105" s="43" t="s">
        <v>43</v>
      </c>
      <c r="E105">
        <v>1142</v>
      </c>
      <c r="F105">
        <v>5</v>
      </c>
      <c r="G105">
        <v>12</v>
      </c>
      <c r="H105">
        <v>13704</v>
      </c>
      <c r="I105" s="43" t="s">
        <v>232</v>
      </c>
      <c r="J105">
        <v>13429.92</v>
      </c>
      <c r="K105">
        <v>3426</v>
      </c>
      <c r="L105" s="43" t="s">
        <v>233</v>
      </c>
      <c r="M105" s="44">
        <v>41791</v>
      </c>
      <c r="N105">
        <v>6</v>
      </c>
      <c r="O105" s="43" t="s">
        <v>23</v>
      </c>
      <c r="P105">
        <v>2014</v>
      </c>
    </row>
    <row r="106" spans="1:16" x14ac:dyDescent="0.2">
      <c r="A106" s="43" t="s">
        <v>15</v>
      </c>
      <c r="B106" s="43" t="s">
        <v>35</v>
      </c>
      <c r="C106" s="43" t="s">
        <v>26</v>
      </c>
      <c r="D106" s="43" t="s">
        <v>43</v>
      </c>
      <c r="E106">
        <v>1566</v>
      </c>
      <c r="F106">
        <v>5</v>
      </c>
      <c r="G106">
        <v>20</v>
      </c>
      <c r="H106">
        <v>31320</v>
      </c>
      <c r="I106" s="43" t="s">
        <v>234</v>
      </c>
      <c r="J106">
        <v>30693.599999999999</v>
      </c>
      <c r="K106">
        <v>15660</v>
      </c>
      <c r="L106" s="43" t="s">
        <v>235</v>
      </c>
      <c r="M106" s="44">
        <v>41913</v>
      </c>
      <c r="N106">
        <v>10</v>
      </c>
      <c r="O106" s="43" t="s">
        <v>34</v>
      </c>
      <c r="P106">
        <v>2014</v>
      </c>
    </row>
    <row r="107" spans="1:16" x14ac:dyDescent="0.2">
      <c r="A107" s="43" t="s">
        <v>28</v>
      </c>
      <c r="B107" s="43" t="s">
        <v>24</v>
      </c>
      <c r="C107" s="43" t="s">
        <v>26</v>
      </c>
      <c r="D107" s="43" t="s">
        <v>43</v>
      </c>
      <c r="E107">
        <v>690</v>
      </c>
      <c r="F107">
        <v>5</v>
      </c>
      <c r="G107">
        <v>12</v>
      </c>
      <c r="H107">
        <v>8280</v>
      </c>
      <c r="I107" s="43" t="s">
        <v>236</v>
      </c>
      <c r="J107">
        <v>8114.4</v>
      </c>
      <c r="K107">
        <v>2070</v>
      </c>
      <c r="L107" s="43" t="s">
        <v>237</v>
      </c>
      <c r="M107" s="44">
        <v>41944</v>
      </c>
      <c r="N107">
        <v>11</v>
      </c>
      <c r="O107" s="43" t="s">
        <v>38</v>
      </c>
      <c r="P107">
        <v>2014</v>
      </c>
    </row>
    <row r="108" spans="1:16" x14ac:dyDescent="0.2">
      <c r="A108" s="43" t="s">
        <v>29</v>
      </c>
      <c r="B108" s="43" t="s">
        <v>24</v>
      </c>
      <c r="C108" s="43" t="s">
        <v>26</v>
      </c>
      <c r="D108" s="43" t="s">
        <v>43</v>
      </c>
      <c r="E108">
        <v>1660</v>
      </c>
      <c r="F108">
        <v>5</v>
      </c>
      <c r="G108">
        <v>125</v>
      </c>
      <c r="H108">
        <v>207500</v>
      </c>
      <c r="I108" s="43" t="s">
        <v>238</v>
      </c>
      <c r="J108">
        <v>203350</v>
      </c>
      <c r="K108">
        <v>199200</v>
      </c>
      <c r="L108" s="43" t="s">
        <v>238</v>
      </c>
      <c r="M108" s="44">
        <v>41579</v>
      </c>
      <c r="N108">
        <v>11</v>
      </c>
      <c r="O108" s="43" t="s">
        <v>38</v>
      </c>
      <c r="P108">
        <v>2013</v>
      </c>
    </row>
    <row r="109" spans="1:16" x14ac:dyDescent="0.2">
      <c r="A109" s="43" t="s">
        <v>21</v>
      </c>
      <c r="B109" s="43" t="s">
        <v>16</v>
      </c>
      <c r="C109" s="43" t="s">
        <v>36</v>
      </c>
      <c r="D109" s="43" t="s">
        <v>43</v>
      </c>
      <c r="E109">
        <v>2363</v>
      </c>
      <c r="F109">
        <v>10</v>
      </c>
      <c r="G109">
        <v>15</v>
      </c>
      <c r="H109">
        <v>35445</v>
      </c>
      <c r="I109" s="43" t="s">
        <v>239</v>
      </c>
      <c r="J109">
        <v>34736.1</v>
      </c>
      <c r="K109">
        <v>23630</v>
      </c>
      <c r="L109" s="43" t="s">
        <v>240</v>
      </c>
      <c r="M109" s="44">
        <v>41671</v>
      </c>
      <c r="N109">
        <v>2</v>
      </c>
      <c r="O109" s="43" t="s">
        <v>37</v>
      </c>
      <c r="P109">
        <v>2014</v>
      </c>
    </row>
    <row r="110" spans="1:16" x14ac:dyDescent="0.2">
      <c r="A110" s="43" t="s">
        <v>31</v>
      </c>
      <c r="B110" s="43" t="s">
        <v>22</v>
      </c>
      <c r="C110" s="43" t="s">
        <v>36</v>
      </c>
      <c r="D110" s="43" t="s">
        <v>43</v>
      </c>
      <c r="E110">
        <v>918</v>
      </c>
      <c r="F110">
        <v>10</v>
      </c>
      <c r="G110">
        <v>300</v>
      </c>
      <c r="H110">
        <v>275400</v>
      </c>
      <c r="I110" s="43" t="s">
        <v>241</v>
      </c>
      <c r="J110">
        <v>269892</v>
      </c>
      <c r="K110">
        <v>229500</v>
      </c>
      <c r="L110" s="43" t="s">
        <v>242</v>
      </c>
      <c r="M110" s="44">
        <v>41760</v>
      </c>
      <c r="N110">
        <v>5</v>
      </c>
      <c r="O110" s="43" t="s">
        <v>44</v>
      </c>
      <c r="P110">
        <v>2014</v>
      </c>
    </row>
    <row r="111" spans="1:16" x14ac:dyDescent="0.2">
      <c r="A111" s="43" t="s">
        <v>31</v>
      </c>
      <c r="B111" s="43" t="s">
        <v>20</v>
      </c>
      <c r="C111" s="43" t="s">
        <v>36</v>
      </c>
      <c r="D111" s="43" t="s">
        <v>43</v>
      </c>
      <c r="E111">
        <v>1728</v>
      </c>
      <c r="F111">
        <v>10</v>
      </c>
      <c r="G111">
        <v>300</v>
      </c>
      <c r="H111">
        <v>518400</v>
      </c>
      <c r="I111" s="43" t="s">
        <v>243</v>
      </c>
      <c r="J111">
        <v>508032</v>
      </c>
      <c r="K111">
        <v>432000</v>
      </c>
      <c r="L111" s="43" t="s">
        <v>244</v>
      </c>
      <c r="M111" s="44">
        <v>41760</v>
      </c>
      <c r="N111">
        <v>5</v>
      </c>
      <c r="O111" s="43" t="s">
        <v>44</v>
      </c>
      <c r="P111">
        <v>2014</v>
      </c>
    </row>
    <row r="112" spans="1:16" x14ac:dyDescent="0.2">
      <c r="A112" s="43" t="s">
        <v>28</v>
      </c>
      <c r="B112" s="43" t="s">
        <v>35</v>
      </c>
      <c r="C112" s="43" t="s">
        <v>36</v>
      </c>
      <c r="D112" s="43" t="s">
        <v>43</v>
      </c>
      <c r="E112">
        <v>1142</v>
      </c>
      <c r="F112">
        <v>10</v>
      </c>
      <c r="G112">
        <v>12</v>
      </c>
      <c r="H112">
        <v>13704</v>
      </c>
      <c r="I112" s="43" t="s">
        <v>232</v>
      </c>
      <c r="J112">
        <v>13429.92</v>
      </c>
      <c r="K112">
        <v>3426</v>
      </c>
      <c r="L112" s="43" t="s">
        <v>233</v>
      </c>
      <c r="M112" s="44">
        <v>41791</v>
      </c>
      <c r="N112">
        <v>6</v>
      </c>
      <c r="O112" s="43" t="s">
        <v>23</v>
      </c>
      <c r="P112">
        <v>2014</v>
      </c>
    </row>
    <row r="113" spans="1:16" x14ac:dyDescent="0.2">
      <c r="A113" s="43" t="s">
        <v>29</v>
      </c>
      <c r="B113" s="43" t="s">
        <v>24</v>
      </c>
      <c r="C113" s="43" t="s">
        <v>36</v>
      </c>
      <c r="D113" s="43" t="s">
        <v>43</v>
      </c>
      <c r="E113">
        <v>662</v>
      </c>
      <c r="F113">
        <v>10</v>
      </c>
      <c r="G113">
        <v>125</v>
      </c>
      <c r="H113">
        <v>82750</v>
      </c>
      <c r="I113" s="43" t="s">
        <v>245</v>
      </c>
      <c r="J113">
        <v>81095</v>
      </c>
      <c r="K113">
        <v>79440</v>
      </c>
      <c r="L113" s="43" t="s">
        <v>245</v>
      </c>
      <c r="M113" s="44">
        <v>41791</v>
      </c>
      <c r="N113">
        <v>6</v>
      </c>
      <c r="O113" s="43" t="s">
        <v>23</v>
      </c>
      <c r="P113">
        <v>2014</v>
      </c>
    </row>
    <row r="114" spans="1:16" x14ac:dyDescent="0.2">
      <c r="A114" s="43" t="s">
        <v>28</v>
      </c>
      <c r="B114" s="43" t="s">
        <v>16</v>
      </c>
      <c r="C114" s="43" t="s">
        <v>36</v>
      </c>
      <c r="D114" s="43" t="s">
        <v>43</v>
      </c>
      <c r="E114">
        <v>1295</v>
      </c>
      <c r="F114">
        <v>10</v>
      </c>
      <c r="G114">
        <v>12</v>
      </c>
      <c r="H114">
        <v>15540</v>
      </c>
      <c r="I114" s="43" t="s">
        <v>224</v>
      </c>
      <c r="J114">
        <v>15229.2</v>
      </c>
      <c r="K114">
        <v>3885</v>
      </c>
      <c r="L114" s="43" t="s">
        <v>225</v>
      </c>
      <c r="M114" s="44">
        <v>41913</v>
      </c>
      <c r="N114">
        <v>10</v>
      </c>
      <c r="O114" s="43" t="s">
        <v>34</v>
      </c>
      <c r="P114">
        <v>2014</v>
      </c>
    </row>
    <row r="115" spans="1:16" x14ac:dyDescent="0.2">
      <c r="A115" s="43" t="s">
        <v>29</v>
      </c>
      <c r="B115" s="43" t="s">
        <v>20</v>
      </c>
      <c r="C115" s="43" t="s">
        <v>36</v>
      </c>
      <c r="D115" s="43" t="s">
        <v>43</v>
      </c>
      <c r="E115">
        <v>809</v>
      </c>
      <c r="F115">
        <v>10</v>
      </c>
      <c r="G115">
        <v>125</v>
      </c>
      <c r="H115">
        <v>101125</v>
      </c>
      <c r="I115" s="43" t="s">
        <v>246</v>
      </c>
      <c r="J115">
        <v>99102.5</v>
      </c>
      <c r="K115">
        <v>97080</v>
      </c>
      <c r="L115" s="43" t="s">
        <v>246</v>
      </c>
      <c r="M115" s="44">
        <v>41548</v>
      </c>
      <c r="N115">
        <v>10</v>
      </c>
      <c r="O115" s="43" t="s">
        <v>34</v>
      </c>
      <c r="P115">
        <v>2013</v>
      </c>
    </row>
    <row r="116" spans="1:16" x14ac:dyDescent="0.2">
      <c r="A116" s="43" t="s">
        <v>29</v>
      </c>
      <c r="B116" s="43" t="s">
        <v>24</v>
      </c>
      <c r="C116" s="43" t="s">
        <v>36</v>
      </c>
      <c r="D116" s="43" t="s">
        <v>43</v>
      </c>
      <c r="E116">
        <v>2145</v>
      </c>
      <c r="F116">
        <v>10</v>
      </c>
      <c r="G116">
        <v>125</v>
      </c>
      <c r="H116">
        <v>268125</v>
      </c>
      <c r="I116" s="43" t="s">
        <v>247</v>
      </c>
      <c r="J116">
        <v>262762.5</v>
      </c>
      <c r="K116">
        <v>257400</v>
      </c>
      <c r="L116" s="43" t="s">
        <v>247</v>
      </c>
      <c r="M116" s="44">
        <v>41548</v>
      </c>
      <c r="N116">
        <v>10</v>
      </c>
      <c r="O116" s="43" t="s">
        <v>34</v>
      </c>
      <c r="P116">
        <v>2013</v>
      </c>
    </row>
    <row r="117" spans="1:16" x14ac:dyDescent="0.2">
      <c r="A117" s="43" t="s">
        <v>28</v>
      </c>
      <c r="B117" s="43" t="s">
        <v>22</v>
      </c>
      <c r="C117" s="43" t="s">
        <v>36</v>
      </c>
      <c r="D117" s="43" t="s">
        <v>43</v>
      </c>
      <c r="E117">
        <v>1785</v>
      </c>
      <c r="F117">
        <v>10</v>
      </c>
      <c r="G117">
        <v>12</v>
      </c>
      <c r="H117">
        <v>21420</v>
      </c>
      <c r="I117" s="43" t="s">
        <v>248</v>
      </c>
      <c r="J117">
        <v>20991.599999999999</v>
      </c>
      <c r="K117">
        <v>5355</v>
      </c>
      <c r="L117" s="43" t="s">
        <v>249</v>
      </c>
      <c r="M117" s="44">
        <v>41579</v>
      </c>
      <c r="N117">
        <v>11</v>
      </c>
      <c r="O117" s="43" t="s">
        <v>38</v>
      </c>
      <c r="P117">
        <v>2013</v>
      </c>
    </row>
    <row r="118" spans="1:16" x14ac:dyDescent="0.2">
      <c r="A118" s="43" t="s">
        <v>31</v>
      </c>
      <c r="B118" s="43" t="s">
        <v>16</v>
      </c>
      <c r="C118" s="43" t="s">
        <v>36</v>
      </c>
      <c r="D118" s="43" t="s">
        <v>43</v>
      </c>
      <c r="E118">
        <v>1916</v>
      </c>
      <c r="F118">
        <v>10</v>
      </c>
      <c r="G118">
        <v>300</v>
      </c>
      <c r="H118">
        <v>574800</v>
      </c>
      <c r="I118" s="43" t="s">
        <v>250</v>
      </c>
      <c r="J118">
        <v>563304</v>
      </c>
      <c r="K118">
        <v>479000</v>
      </c>
      <c r="L118" s="43" t="s">
        <v>251</v>
      </c>
      <c r="M118" s="44">
        <v>41974</v>
      </c>
      <c r="N118">
        <v>12</v>
      </c>
      <c r="O118" s="43" t="s">
        <v>25</v>
      </c>
      <c r="P118">
        <v>2014</v>
      </c>
    </row>
    <row r="119" spans="1:16" x14ac:dyDescent="0.2">
      <c r="A119" s="43" t="s">
        <v>15</v>
      </c>
      <c r="B119" s="43" t="s">
        <v>16</v>
      </c>
      <c r="C119" s="43" t="s">
        <v>36</v>
      </c>
      <c r="D119" s="43" t="s">
        <v>43</v>
      </c>
      <c r="E119">
        <v>2852</v>
      </c>
      <c r="F119">
        <v>10</v>
      </c>
      <c r="G119">
        <v>350</v>
      </c>
      <c r="H119">
        <v>998200</v>
      </c>
      <c r="I119" s="43" t="s">
        <v>230</v>
      </c>
      <c r="J119">
        <v>978236</v>
      </c>
      <c r="K119">
        <v>741520</v>
      </c>
      <c r="L119" s="43" t="s">
        <v>231</v>
      </c>
      <c r="M119" s="44">
        <v>41974</v>
      </c>
      <c r="N119">
        <v>12</v>
      </c>
      <c r="O119" s="43" t="s">
        <v>25</v>
      </c>
      <c r="P119">
        <v>2014</v>
      </c>
    </row>
    <row r="120" spans="1:16" x14ac:dyDescent="0.2">
      <c r="A120" s="43" t="s">
        <v>29</v>
      </c>
      <c r="B120" s="43" t="s">
        <v>16</v>
      </c>
      <c r="C120" s="43" t="s">
        <v>36</v>
      </c>
      <c r="D120" s="43" t="s">
        <v>43</v>
      </c>
      <c r="E120">
        <v>2729</v>
      </c>
      <c r="F120">
        <v>10</v>
      </c>
      <c r="G120">
        <v>125</v>
      </c>
      <c r="H120">
        <v>341125</v>
      </c>
      <c r="I120" s="43" t="s">
        <v>252</v>
      </c>
      <c r="J120">
        <v>334302.5</v>
      </c>
      <c r="K120">
        <v>327480</v>
      </c>
      <c r="L120" s="43" t="s">
        <v>252</v>
      </c>
      <c r="M120" s="44">
        <v>41974</v>
      </c>
      <c r="N120">
        <v>12</v>
      </c>
      <c r="O120" s="43" t="s">
        <v>25</v>
      </c>
      <c r="P120">
        <v>2014</v>
      </c>
    </row>
    <row r="121" spans="1:16" x14ac:dyDescent="0.2">
      <c r="A121" s="43" t="s">
        <v>21</v>
      </c>
      <c r="B121" s="43" t="s">
        <v>35</v>
      </c>
      <c r="C121" s="43" t="s">
        <v>36</v>
      </c>
      <c r="D121" s="43" t="s">
        <v>43</v>
      </c>
      <c r="E121">
        <v>1925</v>
      </c>
      <c r="F121">
        <v>10</v>
      </c>
      <c r="G121">
        <v>15</v>
      </c>
      <c r="H121">
        <v>28875</v>
      </c>
      <c r="I121" s="43" t="s">
        <v>253</v>
      </c>
      <c r="J121">
        <v>28297.5</v>
      </c>
      <c r="K121">
        <v>19250</v>
      </c>
      <c r="L121" s="43" t="s">
        <v>254</v>
      </c>
      <c r="M121" s="44">
        <v>41609</v>
      </c>
      <c r="N121">
        <v>12</v>
      </c>
      <c r="O121" s="43" t="s">
        <v>25</v>
      </c>
      <c r="P121">
        <v>2013</v>
      </c>
    </row>
    <row r="122" spans="1:16" x14ac:dyDescent="0.2">
      <c r="A122" s="43" t="s">
        <v>15</v>
      </c>
      <c r="B122" s="43" t="s">
        <v>35</v>
      </c>
      <c r="C122" s="43" t="s">
        <v>36</v>
      </c>
      <c r="D122" s="43" t="s">
        <v>43</v>
      </c>
      <c r="E122">
        <v>2013</v>
      </c>
      <c r="F122">
        <v>10</v>
      </c>
      <c r="G122">
        <v>7</v>
      </c>
      <c r="H122">
        <v>14091</v>
      </c>
      <c r="I122" s="43" t="s">
        <v>255</v>
      </c>
      <c r="J122">
        <v>13809.18</v>
      </c>
      <c r="K122">
        <v>10065</v>
      </c>
      <c r="L122" s="43" t="s">
        <v>256</v>
      </c>
      <c r="M122" s="44">
        <v>41609</v>
      </c>
      <c r="N122">
        <v>12</v>
      </c>
      <c r="O122" s="43" t="s">
        <v>25</v>
      </c>
      <c r="P122">
        <v>2013</v>
      </c>
    </row>
    <row r="123" spans="1:16" x14ac:dyDescent="0.2">
      <c r="A123" s="43" t="s">
        <v>28</v>
      </c>
      <c r="B123" s="43" t="s">
        <v>22</v>
      </c>
      <c r="C123" s="43" t="s">
        <v>36</v>
      </c>
      <c r="D123" s="43" t="s">
        <v>43</v>
      </c>
      <c r="E123">
        <v>1055</v>
      </c>
      <c r="F123">
        <v>10</v>
      </c>
      <c r="G123">
        <v>12</v>
      </c>
      <c r="H123">
        <v>12660</v>
      </c>
      <c r="I123" s="43" t="s">
        <v>257</v>
      </c>
      <c r="J123">
        <v>12406.8</v>
      </c>
      <c r="K123">
        <v>3165</v>
      </c>
      <c r="L123" s="43" t="s">
        <v>258</v>
      </c>
      <c r="M123" s="44">
        <v>41974</v>
      </c>
      <c r="N123">
        <v>12</v>
      </c>
      <c r="O123" s="43" t="s">
        <v>25</v>
      </c>
      <c r="P123">
        <v>2014</v>
      </c>
    </row>
    <row r="124" spans="1:16" x14ac:dyDescent="0.2">
      <c r="A124" s="43" t="s">
        <v>28</v>
      </c>
      <c r="B124" s="43" t="s">
        <v>24</v>
      </c>
      <c r="C124" s="43" t="s">
        <v>36</v>
      </c>
      <c r="D124" s="43" t="s">
        <v>43</v>
      </c>
      <c r="E124">
        <v>1084</v>
      </c>
      <c r="F124">
        <v>10</v>
      </c>
      <c r="G124">
        <v>12</v>
      </c>
      <c r="H124">
        <v>13008</v>
      </c>
      <c r="I124" s="43" t="s">
        <v>259</v>
      </c>
      <c r="J124">
        <v>12747.84</v>
      </c>
      <c r="K124">
        <v>3252</v>
      </c>
      <c r="L124" s="43" t="s">
        <v>260</v>
      </c>
      <c r="M124" s="44">
        <v>41974</v>
      </c>
      <c r="N124">
        <v>12</v>
      </c>
      <c r="O124" s="43" t="s">
        <v>25</v>
      </c>
      <c r="P124">
        <v>2014</v>
      </c>
    </row>
    <row r="125" spans="1:16" x14ac:dyDescent="0.2">
      <c r="A125" s="43" t="s">
        <v>15</v>
      </c>
      <c r="B125" s="43" t="s">
        <v>35</v>
      </c>
      <c r="C125" s="43" t="s">
        <v>39</v>
      </c>
      <c r="D125" s="43" t="s">
        <v>43</v>
      </c>
      <c r="E125">
        <v>1566</v>
      </c>
      <c r="F125">
        <v>120</v>
      </c>
      <c r="G125">
        <v>20</v>
      </c>
      <c r="H125">
        <v>31320</v>
      </c>
      <c r="I125" s="43" t="s">
        <v>234</v>
      </c>
      <c r="J125">
        <v>30693.599999999999</v>
      </c>
      <c r="K125">
        <v>15660</v>
      </c>
      <c r="L125" s="43" t="s">
        <v>235</v>
      </c>
      <c r="M125" s="44">
        <v>41913</v>
      </c>
      <c r="N125">
        <v>10</v>
      </c>
      <c r="O125" s="43" t="s">
        <v>34</v>
      </c>
      <c r="P125">
        <v>2014</v>
      </c>
    </row>
    <row r="126" spans="1:16" x14ac:dyDescent="0.2">
      <c r="A126" s="43" t="s">
        <v>15</v>
      </c>
      <c r="B126" s="43" t="s">
        <v>20</v>
      </c>
      <c r="C126" s="43" t="s">
        <v>39</v>
      </c>
      <c r="D126" s="43" t="s">
        <v>43</v>
      </c>
      <c r="E126">
        <v>2966</v>
      </c>
      <c r="F126">
        <v>120</v>
      </c>
      <c r="G126">
        <v>350</v>
      </c>
      <c r="H126">
        <v>1038100</v>
      </c>
      <c r="I126" s="43" t="s">
        <v>261</v>
      </c>
      <c r="J126">
        <v>1017338</v>
      </c>
      <c r="K126">
        <v>771160</v>
      </c>
      <c r="L126" s="43" t="s">
        <v>262</v>
      </c>
      <c r="M126" s="44">
        <v>41548</v>
      </c>
      <c r="N126">
        <v>10</v>
      </c>
      <c r="O126" s="43" t="s">
        <v>34</v>
      </c>
      <c r="P126">
        <v>2013</v>
      </c>
    </row>
    <row r="127" spans="1:16" x14ac:dyDescent="0.2">
      <c r="A127" s="43" t="s">
        <v>15</v>
      </c>
      <c r="B127" s="43" t="s">
        <v>20</v>
      </c>
      <c r="C127" s="43" t="s">
        <v>39</v>
      </c>
      <c r="D127" s="43" t="s">
        <v>43</v>
      </c>
      <c r="E127">
        <v>2877</v>
      </c>
      <c r="F127">
        <v>120</v>
      </c>
      <c r="G127">
        <v>350</v>
      </c>
      <c r="H127">
        <v>1006950</v>
      </c>
      <c r="I127" s="43" t="s">
        <v>263</v>
      </c>
      <c r="J127">
        <v>986811</v>
      </c>
      <c r="K127">
        <v>748020</v>
      </c>
      <c r="L127" s="43" t="s">
        <v>264</v>
      </c>
      <c r="M127" s="44">
        <v>41913</v>
      </c>
      <c r="N127">
        <v>10</v>
      </c>
      <c r="O127" s="43" t="s">
        <v>34</v>
      </c>
      <c r="P127">
        <v>2014</v>
      </c>
    </row>
    <row r="128" spans="1:16" x14ac:dyDescent="0.2">
      <c r="A128" s="43" t="s">
        <v>29</v>
      </c>
      <c r="B128" s="43" t="s">
        <v>20</v>
      </c>
      <c r="C128" s="43" t="s">
        <v>39</v>
      </c>
      <c r="D128" s="43" t="s">
        <v>43</v>
      </c>
      <c r="E128">
        <v>809</v>
      </c>
      <c r="F128">
        <v>120</v>
      </c>
      <c r="G128">
        <v>125</v>
      </c>
      <c r="H128">
        <v>101125</v>
      </c>
      <c r="I128" s="43" t="s">
        <v>246</v>
      </c>
      <c r="J128">
        <v>99102.5</v>
      </c>
      <c r="K128">
        <v>97080</v>
      </c>
      <c r="L128" s="43" t="s">
        <v>246</v>
      </c>
      <c r="M128" s="44">
        <v>41548</v>
      </c>
      <c r="N128">
        <v>10</v>
      </c>
      <c r="O128" s="43" t="s">
        <v>34</v>
      </c>
      <c r="P128">
        <v>2013</v>
      </c>
    </row>
    <row r="129" spans="1:16" x14ac:dyDescent="0.2">
      <c r="A129" s="43" t="s">
        <v>29</v>
      </c>
      <c r="B129" s="43" t="s">
        <v>24</v>
      </c>
      <c r="C129" s="43" t="s">
        <v>39</v>
      </c>
      <c r="D129" s="43" t="s">
        <v>43</v>
      </c>
      <c r="E129">
        <v>2145</v>
      </c>
      <c r="F129">
        <v>120</v>
      </c>
      <c r="G129">
        <v>125</v>
      </c>
      <c r="H129">
        <v>268125</v>
      </c>
      <c r="I129" s="43" t="s">
        <v>247</v>
      </c>
      <c r="J129">
        <v>262762.5</v>
      </c>
      <c r="K129">
        <v>257400</v>
      </c>
      <c r="L129" s="43" t="s">
        <v>247</v>
      </c>
      <c r="M129" s="44">
        <v>41548</v>
      </c>
      <c r="N129">
        <v>10</v>
      </c>
      <c r="O129" s="43" t="s">
        <v>34</v>
      </c>
      <c r="P129">
        <v>2013</v>
      </c>
    </row>
    <row r="130" spans="1:16" x14ac:dyDescent="0.2">
      <c r="A130" s="43" t="s">
        <v>28</v>
      </c>
      <c r="B130" s="43" t="s">
        <v>22</v>
      </c>
      <c r="C130" s="43" t="s">
        <v>39</v>
      </c>
      <c r="D130" s="43" t="s">
        <v>43</v>
      </c>
      <c r="E130">
        <v>1055</v>
      </c>
      <c r="F130">
        <v>120</v>
      </c>
      <c r="G130">
        <v>12</v>
      </c>
      <c r="H130">
        <v>12660</v>
      </c>
      <c r="I130" s="43" t="s">
        <v>257</v>
      </c>
      <c r="J130">
        <v>12406.8</v>
      </c>
      <c r="K130">
        <v>3165</v>
      </c>
      <c r="L130" s="43" t="s">
        <v>258</v>
      </c>
      <c r="M130" s="44">
        <v>41974</v>
      </c>
      <c r="N130">
        <v>12</v>
      </c>
      <c r="O130" s="43" t="s">
        <v>25</v>
      </c>
      <c r="P130">
        <v>2014</v>
      </c>
    </row>
    <row r="131" spans="1:16" x14ac:dyDescent="0.2">
      <c r="A131" s="43" t="s">
        <v>15</v>
      </c>
      <c r="B131" s="43" t="s">
        <v>24</v>
      </c>
      <c r="C131" s="43" t="s">
        <v>39</v>
      </c>
      <c r="D131" s="43" t="s">
        <v>43</v>
      </c>
      <c r="E131">
        <v>544</v>
      </c>
      <c r="F131">
        <v>120</v>
      </c>
      <c r="G131">
        <v>20</v>
      </c>
      <c r="H131">
        <v>10880</v>
      </c>
      <c r="I131" s="43" t="s">
        <v>265</v>
      </c>
      <c r="J131">
        <v>10662.4</v>
      </c>
      <c r="K131">
        <v>5440</v>
      </c>
      <c r="L131" s="43" t="s">
        <v>266</v>
      </c>
      <c r="M131" s="44">
        <v>41609</v>
      </c>
      <c r="N131">
        <v>12</v>
      </c>
      <c r="O131" s="43" t="s">
        <v>25</v>
      </c>
      <c r="P131">
        <v>2013</v>
      </c>
    </row>
    <row r="132" spans="1:16" x14ac:dyDescent="0.2">
      <c r="A132" s="43" t="s">
        <v>28</v>
      </c>
      <c r="B132" s="43" t="s">
        <v>24</v>
      </c>
      <c r="C132" s="43" t="s">
        <v>39</v>
      </c>
      <c r="D132" s="43" t="s">
        <v>43</v>
      </c>
      <c r="E132">
        <v>1084</v>
      </c>
      <c r="F132">
        <v>120</v>
      </c>
      <c r="G132">
        <v>12</v>
      </c>
      <c r="H132">
        <v>13008</v>
      </c>
      <c r="I132" s="43" t="s">
        <v>259</v>
      </c>
      <c r="J132">
        <v>12747.84</v>
      </c>
      <c r="K132">
        <v>3252</v>
      </c>
      <c r="L132" s="43" t="s">
        <v>260</v>
      </c>
      <c r="M132" s="44">
        <v>41974</v>
      </c>
      <c r="N132">
        <v>12</v>
      </c>
      <c r="O132" s="43" t="s">
        <v>25</v>
      </c>
      <c r="P132">
        <v>2014</v>
      </c>
    </row>
    <row r="133" spans="1:16" x14ac:dyDescent="0.2">
      <c r="A133" s="43" t="s">
        <v>29</v>
      </c>
      <c r="B133" s="43" t="s">
        <v>24</v>
      </c>
      <c r="C133" s="43" t="s">
        <v>40</v>
      </c>
      <c r="D133" s="43" t="s">
        <v>43</v>
      </c>
      <c r="E133">
        <v>662</v>
      </c>
      <c r="F133">
        <v>250</v>
      </c>
      <c r="G133">
        <v>125</v>
      </c>
      <c r="H133">
        <v>82750</v>
      </c>
      <c r="I133" s="43" t="s">
        <v>245</v>
      </c>
      <c r="J133">
        <v>81095</v>
      </c>
      <c r="K133">
        <v>79440</v>
      </c>
      <c r="L133" s="43" t="s">
        <v>245</v>
      </c>
      <c r="M133" s="44">
        <v>41791</v>
      </c>
      <c r="N133">
        <v>6</v>
      </c>
      <c r="O133" s="43" t="s">
        <v>23</v>
      </c>
      <c r="P133">
        <v>2014</v>
      </c>
    </row>
    <row r="134" spans="1:16" x14ac:dyDescent="0.2">
      <c r="A134" s="43" t="s">
        <v>31</v>
      </c>
      <c r="B134" s="43" t="s">
        <v>20</v>
      </c>
      <c r="C134" s="43" t="s">
        <v>40</v>
      </c>
      <c r="D134" s="43" t="s">
        <v>43</v>
      </c>
      <c r="E134">
        <v>214</v>
      </c>
      <c r="F134">
        <v>250</v>
      </c>
      <c r="G134">
        <v>300</v>
      </c>
      <c r="H134">
        <v>64200</v>
      </c>
      <c r="I134" s="43" t="s">
        <v>226</v>
      </c>
      <c r="J134">
        <v>62916</v>
      </c>
      <c r="K134">
        <v>53500</v>
      </c>
      <c r="L134" s="43" t="s">
        <v>227</v>
      </c>
      <c r="M134" s="44">
        <v>41548</v>
      </c>
      <c r="N134">
        <v>10</v>
      </c>
      <c r="O134" s="43" t="s">
        <v>34</v>
      </c>
      <c r="P134">
        <v>2013</v>
      </c>
    </row>
    <row r="135" spans="1:16" x14ac:dyDescent="0.2">
      <c r="A135" s="43" t="s">
        <v>15</v>
      </c>
      <c r="B135" s="43" t="s">
        <v>20</v>
      </c>
      <c r="C135" s="43" t="s">
        <v>40</v>
      </c>
      <c r="D135" s="43" t="s">
        <v>43</v>
      </c>
      <c r="E135">
        <v>2877</v>
      </c>
      <c r="F135">
        <v>250</v>
      </c>
      <c r="G135">
        <v>350</v>
      </c>
      <c r="H135">
        <v>1006950</v>
      </c>
      <c r="I135" s="43" t="s">
        <v>263</v>
      </c>
      <c r="J135">
        <v>986811</v>
      </c>
      <c r="K135">
        <v>748020</v>
      </c>
      <c r="L135" s="43" t="s">
        <v>264</v>
      </c>
      <c r="M135" s="44">
        <v>41913</v>
      </c>
      <c r="N135">
        <v>10</v>
      </c>
      <c r="O135" s="43" t="s">
        <v>34</v>
      </c>
      <c r="P135">
        <v>2014</v>
      </c>
    </row>
    <row r="136" spans="1:16" x14ac:dyDescent="0.2">
      <c r="A136" s="43" t="s">
        <v>29</v>
      </c>
      <c r="B136" s="43" t="s">
        <v>16</v>
      </c>
      <c r="C136" s="43" t="s">
        <v>40</v>
      </c>
      <c r="D136" s="43" t="s">
        <v>43</v>
      </c>
      <c r="E136">
        <v>2729</v>
      </c>
      <c r="F136">
        <v>250</v>
      </c>
      <c r="G136">
        <v>125</v>
      </c>
      <c r="H136">
        <v>341125</v>
      </c>
      <c r="I136" s="43" t="s">
        <v>252</v>
      </c>
      <c r="J136">
        <v>334302.5</v>
      </c>
      <c r="K136">
        <v>327480</v>
      </c>
      <c r="L136" s="43" t="s">
        <v>252</v>
      </c>
      <c r="M136" s="44">
        <v>41974</v>
      </c>
      <c r="N136">
        <v>12</v>
      </c>
      <c r="O136" s="43" t="s">
        <v>25</v>
      </c>
      <c r="P136">
        <v>2014</v>
      </c>
    </row>
    <row r="137" spans="1:16" x14ac:dyDescent="0.2">
      <c r="A137" s="43" t="s">
        <v>15</v>
      </c>
      <c r="B137" s="43" t="s">
        <v>35</v>
      </c>
      <c r="C137" s="43" t="s">
        <v>40</v>
      </c>
      <c r="D137" s="43" t="s">
        <v>43</v>
      </c>
      <c r="E137">
        <v>266</v>
      </c>
      <c r="F137">
        <v>250</v>
      </c>
      <c r="G137">
        <v>350</v>
      </c>
      <c r="H137">
        <v>93100</v>
      </c>
      <c r="I137" s="43" t="s">
        <v>267</v>
      </c>
      <c r="J137">
        <v>91238</v>
      </c>
      <c r="K137">
        <v>69160</v>
      </c>
      <c r="L137" s="43" t="s">
        <v>268</v>
      </c>
      <c r="M137" s="44">
        <v>41609</v>
      </c>
      <c r="N137">
        <v>12</v>
      </c>
      <c r="O137" s="43" t="s">
        <v>25</v>
      </c>
      <c r="P137">
        <v>2013</v>
      </c>
    </row>
    <row r="138" spans="1:16" x14ac:dyDescent="0.2">
      <c r="A138" s="43" t="s">
        <v>15</v>
      </c>
      <c r="B138" s="43" t="s">
        <v>24</v>
      </c>
      <c r="C138" s="43" t="s">
        <v>40</v>
      </c>
      <c r="D138" s="43" t="s">
        <v>43</v>
      </c>
      <c r="E138">
        <v>1940</v>
      </c>
      <c r="F138">
        <v>250</v>
      </c>
      <c r="G138">
        <v>350</v>
      </c>
      <c r="H138">
        <v>679000</v>
      </c>
      <c r="I138" s="43" t="s">
        <v>269</v>
      </c>
      <c r="J138">
        <v>665420</v>
      </c>
      <c r="K138">
        <v>504400</v>
      </c>
      <c r="L138" s="43" t="s">
        <v>270</v>
      </c>
      <c r="M138" s="44">
        <v>41609</v>
      </c>
      <c r="N138">
        <v>12</v>
      </c>
      <c r="O138" s="43" t="s">
        <v>25</v>
      </c>
      <c r="P138">
        <v>2013</v>
      </c>
    </row>
    <row r="139" spans="1:16" x14ac:dyDescent="0.2">
      <c r="A139" s="43" t="s">
        <v>31</v>
      </c>
      <c r="B139" s="43" t="s">
        <v>20</v>
      </c>
      <c r="C139" s="43" t="s">
        <v>42</v>
      </c>
      <c r="D139" s="43" t="s">
        <v>43</v>
      </c>
      <c r="E139">
        <v>259</v>
      </c>
      <c r="F139">
        <v>260</v>
      </c>
      <c r="G139">
        <v>300</v>
      </c>
      <c r="H139">
        <v>77700</v>
      </c>
      <c r="I139" s="43" t="s">
        <v>271</v>
      </c>
      <c r="J139">
        <v>76146</v>
      </c>
      <c r="K139">
        <v>64750</v>
      </c>
      <c r="L139" s="43" t="s">
        <v>272</v>
      </c>
      <c r="M139" s="44">
        <v>41699</v>
      </c>
      <c r="N139">
        <v>3</v>
      </c>
      <c r="O139" s="43" t="s">
        <v>27</v>
      </c>
      <c r="P139">
        <v>2014</v>
      </c>
    </row>
    <row r="140" spans="1:16" x14ac:dyDescent="0.2">
      <c r="A140" s="43" t="s">
        <v>31</v>
      </c>
      <c r="B140" s="43" t="s">
        <v>24</v>
      </c>
      <c r="C140" s="43" t="s">
        <v>42</v>
      </c>
      <c r="D140" s="43" t="s">
        <v>43</v>
      </c>
      <c r="E140">
        <v>1101</v>
      </c>
      <c r="F140">
        <v>260</v>
      </c>
      <c r="G140">
        <v>300</v>
      </c>
      <c r="H140">
        <v>330300</v>
      </c>
      <c r="I140" s="43" t="s">
        <v>273</v>
      </c>
      <c r="J140">
        <v>323694</v>
      </c>
      <c r="K140">
        <v>275250</v>
      </c>
      <c r="L140" s="43" t="s">
        <v>274</v>
      </c>
      <c r="M140" s="44">
        <v>41699</v>
      </c>
      <c r="N140">
        <v>3</v>
      </c>
      <c r="O140" s="43" t="s">
        <v>27</v>
      </c>
      <c r="P140">
        <v>2014</v>
      </c>
    </row>
    <row r="141" spans="1:16" x14ac:dyDescent="0.2">
      <c r="A141" s="43" t="s">
        <v>29</v>
      </c>
      <c r="B141" s="43" t="s">
        <v>20</v>
      </c>
      <c r="C141" s="43" t="s">
        <v>42</v>
      </c>
      <c r="D141" s="43" t="s">
        <v>43</v>
      </c>
      <c r="E141">
        <v>2276</v>
      </c>
      <c r="F141">
        <v>260</v>
      </c>
      <c r="G141">
        <v>125</v>
      </c>
      <c r="H141">
        <v>284500</v>
      </c>
      <c r="I141" s="43" t="s">
        <v>275</v>
      </c>
      <c r="J141">
        <v>278810</v>
      </c>
      <c r="K141">
        <v>273120</v>
      </c>
      <c r="L141" s="43" t="s">
        <v>275</v>
      </c>
      <c r="M141" s="44">
        <v>41760</v>
      </c>
      <c r="N141">
        <v>5</v>
      </c>
      <c r="O141" s="43" t="s">
        <v>44</v>
      </c>
      <c r="P141">
        <v>2014</v>
      </c>
    </row>
    <row r="142" spans="1:16" x14ac:dyDescent="0.2">
      <c r="A142" s="43" t="s">
        <v>15</v>
      </c>
      <c r="B142" s="43" t="s">
        <v>20</v>
      </c>
      <c r="C142" s="43" t="s">
        <v>42</v>
      </c>
      <c r="D142" s="43" t="s">
        <v>43</v>
      </c>
      <c r="E142">
        <v>2966</v>
      </c>
      <c r="F142">
        <v>260</v>
      </c>
      <c r="G142">
        <v>350</v>
      </c>
      <c r="H142">
        <v>1038100</v>
      </c>
      <c r="I142" s="43" t="s">
        <v>261</v>
      </c>
      <c r="J142">
        <v>1017338</v>
      </c>
      <c r="K142">
        <v>771160</v>
      </c>
      <c r="L142" s="43" t="s">
        <v>262</v>
      </c>
      <c r="M142" s="44">
        <v>41548</v>
      </c>
      <c r="N142">
        <v>10</v>
      </c>
      <c r="O142" s="43" t="s">
        <v>34</v>
      </c>
      <c r="P142">
        <v>2013</v>
      </c>
    </row>
    <row r="143" spans="1:16" x14ac:dyDescent="0.2">
      <c r="A143" s="43" t="s">
        <v>15</v>
      </c>
      <c r="B143" s="43" t="s">
        <v>35</v>
      </c>
      <c r="C143" s="43" t="s">
        <v>42</v>
      </c>
      <c r="D143" s="43" t="s">
        <v>43</v>
      </c>
      <c r="E143">
        <v>1236</v>
      </c>
      <c r="F143">
        <v>260</v>
      </c>
      <c r="G143">
        <v>20</v>
      </c>
      <c r="H143">
        <v>24720</v>
      </c>
      <c r="I143" s="43" t="s">
        <v>276</v>
      </c>
      <c r="J143">
        <v>24225.599999999999</v>
      </c>
      <c r="K143">
        <v>12360</v>
      </c>
      <c r="L143" s="43" t="s">
        <v>277</v>
      </c>
      <c r="M143" s="44">
        <v>41944</v>
      </c>
      <c r="N143">
        <v>11</v>
      </c>
      <c r="O143" s="43" t="s">
        <v>38</v>
      </c>
      <c r="P143">
        <v>2014</v>
      </c>
    </row>
    <row r="144" spans="1:16" x14ac:dyDescent="0.2">
      <c r="A144" s="43" t="s">
        <v>15</v>
      </c>
      <c r="B144" s="43" t="s">
        <v>22</v>
      </c>
      <c r="C144" s="43" t="s">
        <v>42</v>
      </c>
      <c r="D144" s="43" t="s">
        <v>43</v>
      </c>
      <c r="E144">
        <v>941</v>
      </c>
      <c r="F144">
        <v>260</v>
      </c>
      <c r="G144">
        <v>20</v>
      </c>
      <c r="H144">
        <v>18820</v>
      </c>
      <c r="I144" s="43" t="s">
        <v>278</v>
      </c>
      <c r="J144">
        <v>18443.599999999999</v>
      </c>
      <c r="K144">
        <v>9410</v>
      </c>
      <c r="L144" s="43" t="s">
        <v>279</v>
      </c>
      <c r="M144" s="44">
        <v>41944</v>
      </c>
      <c r="N144">
        <v>11</v>
      </c>
      <c r="O144" s="43" t="s">
        <v>38</v>
      </c>
      <c r="P144">
        <v>2014</v>
      </c>
    </row>
    <row r="145" spans="1:16" x14ac:dyDescent="0.2">
      <c r="A145" s="43" t="s">
        <v>31</v>
      </c>
      <c r="B145" s="43" t="s">
        <v>16</v>
      </c>
      <c r="C145" s="43" t="s">
        <v>42</v>
      </c>
      <c r="D145" s="43" t="s">
        <v>43</v>
      </c>
      <c r="E145">
        <v>1916</v>
      </c>
      <c r="F145">
        <v>260</v>
      </c>
      <c r="G145">
        <v>300</v>
      </c>
      <c r="H145">
        <v>574800</v>
      </c>
      <c r="I145" s="43" t="s">
        <v>250</v>
      </c>
      <c r="J145">
        <v>563304</v>
      </c>
      <c r="K145">
        <v>479000</v>
      </c>
      <c r="L145" s="43" t="s">
        <v>251</v>
      </c>
      <c r="M145" s="44">
        <v>41974</v>
      </c>
      <c r="N145">
        <v>12</v>
      </c>
      <c r="O145" s="43" t="s">
        <v>25</v>
      </c>
      <c r="P145">
        <v>2014</v>
      </c>
    </row>
    <row r="146" spans="1:16" x14ac:dyDescent="0.2">
      <c r="A146" s="43" t="s">
        <v>29</v>
      </c>
      <c r="B146" s="43" t="s">
        <v>22</v>
      </c>
      <c r="C146" s="43" t="s">
        <v>17</v>
      </c>
      <c r="D146" s="43" t="s">
        <v>43</v>
      </c>
      <c r="E146">
        <v>4243.5</v>
      </c>
      <c r="F146">
        <v>3</v>
      </c>
      <c r="G146">
        <v>125</v>
      </c>
      <c r="H146">
        <v>530437.5</v>
      </c>
      <c r="I146" s="43" t="s">
        <v>280</v>
      </c>
      <c r="J146">
        <v>514524.38</v>
      </c>
      <c r="K146">
        <v>509220</v>
      </c>
      <c r="L146" s="43" t="s">
        <v>281</v>
      </c>
      <c r="M146" s="44">
        <v>41730</v>
      </c>
      <c r="N146">
        <v>4</v>
      </c>
      <c r="O146" s="43" t="s">
        <v>41</v>
      </c>
      <c r="P146">
        <v>2014</v>
      </c>
    </row>
    <row r="147" spans="1:16" x14ac:dyDescent="0.2">
      <c r="A147" s="43" t="s">
        <v>15</v>
      </c>
      <c r="B147" s="43" t="s">
        <v>20</v>
      </c>
      <c r="C147" s="43" t="s">
        <v>17</v>
      </c>
      <c r="D147" s="43" t="s">
        <v>43</v>
      </c>
      <c r="E147">
        <v>2580</v>
      </c>
      <c r="F147">
        <v>3</v>
      </c>
      <c r="G147">
        <v>20</v>
      </c>
      <c r="H147">
        <v>51600</v>
      </c>
      <c r="I147" s="43" t="s">
        <v>282</v>
      </c>
      <c r="J147">
        <v>50052</v>
      </c>
      <c r="K147">
        <v>25800</v>
      </c>
      <c r="L147" s="43" t="s">
        <v>283</v>
      </c>
      <c r="M147" s="44">
        <v>41730</v>
      </c>
      <c r="N147">
        <v>4</v>
      </c>
      <c r="O147" s="43" t="s">
        <v>41</v>
      </c>
      <c r="P147">
        <v>2014</v>
      </c>
    </row>
    <row r="148" spans="1:16" x14ac:dyDescent="0.2">
      <c r="A148" s="43" t="s">
        <v>31</v>
      </c>
      <c r="B148" s="43" t="s">
        <v>20</v>
      </c>
      <c r="C148" s="43" t="s">
        <v>17</v>
      </c>
      <c r="D148" s="43" t="s">
        <v>43</v>
      </c>
      <c r="E148">
        <v>689</v>
      </c>
      <c r="F148">
        <v>3</v>
      </c>
      <c r="G148">
        <v>300</v>
      </c>
      <c r="H148">
        <v>206700</v>
      </c>
      <c r="I148" s="43" t="s">
        <v>284</v>
      </c>
      <c r="J148">
        <v>200499</v>
      </c>
      <c r="K148">
        <v>172250</v>
      </c>
      <c r="L148" s="43" t="s">
        <v>285</v>
      </c>
      <c r="M148" s="44">
        <v>41791</v>
      </c>
      <c r="N148">
        <v>6</v>
      </c>
      <c r="O148" s="43" t="s">
        <v>23</v>
      </c>
      <c r="P148">
        <v>2014</v>
      </c>
    </row>
    <row r="149" spans="1:16" x14ac:dyDescent="0.2">
      <c r="A149" s="43" t="s">
        <v>28</v>
      </c>
      <c r="B149" s="43" t="s">
        <v>35</v>
      </c>
      <c r="C149" s="43" t="s">
        <v>17</v>
      </c>
      <c r="D149" s="43" t="s">
        <v>43</v>
      </c>
      <c r="E149">
        <v>1947</v>
      </c>
      <c r="F149">
        <v>3</v>
      </c>
      <c r="G149">
        <v>12</v>
      </c>
      <c r="H149">
        <v>23364</v>
      </c>
      <c r="I149" s="43" t="s">
        <v>286</v>
      </c>
      <c r="J149">
        <v>22663.08</v>
      </c>
      <c r="K149">
        <v>5841</v>
      </c>
      <c r="L149" s="43" t="s">
        <v>287</v>
      </c>
      <c r="M149" s="44">
        <v>41883</v>
      </c>
      <c r="N149">
        <v>9</v>
      </c>
      <c r="O149" s="43" t="s">
        <v>33</v>
      </c>
      <c r="P149">
        <v>2014</v>
      </c>
    </row>
    <row r="150" spans="1:16" x14ac:dyDescent="0.2">
      <c r="A150" s="43" t="s">
        <v>28</v>
      </c>
      <c r="B150" s="43" t="s">
        <v>16</v>
      </c>
      <c r="C150" s="43" t="s">
        <v>17</v>
      </c>
      <c r="D150" s="43" t="s">
        <v>43</v>
      </c>
      <c r="E150">
        <v>908</v>
      </c>
      <c r="F150">
        <v>3</v>
      </c>
      <c r="G150">
        <v>12</v>
      </c>
      <c r="H150">
        <v>10896</v>
      </c>
      <c r="I150" s="43" t="s">
        <v>288</v>
      </c>
      <c r="J150">
        <v>10569.12</v>
      </c>
      <c r="K150">
        <v>2724</v>
      </c>
      <c r="L150" s="43" t="s">
        <v>289</v>
      </c>
      <c r="M150" s="44">
        <v>41609</v>
      </c>
      <c r="N150">
        <v>12</v>
      </c>
      <c r="O150" s="43" t="s">
        <v>25</v>
      </c>
      <c r="P150">
        <v>2013</v>
      </c>
    </row>
    <row r="151" spans="1:16" x14ac:dyDescent="0.2">
      <c r="A151" s="43" t="s">
        <v>15</v>
      </c>
      <c r="B151" s="43" t="s">
        <v>20</v>
      </c>
      <c r="C151" s="43" t="s">
        <v>26</v>
      </c>
      <c r="D151" s="43" t="s">
        <v>43</v>
      </c>
      <c r="E151">
        <v>1958</v>
      </c>
      <c r="F151">
        <v>5</v>
      </c>
      <c r="G151">
        <v>7</v>
      </c>
      <c r="H151">
        <v>13706</v>
      </c>
      <c r="I151" s="43" t="s">
        <v>290</v>
      </c>
      <c r="J151">
        <v>13294.82</v>
      </c>
      <c r="K151">
        <v>9790</v>
      </c>
      <c r="L151" s="43" t="s">
        <v>291</v>
      </c>
      <c r="M151" s="44">
        <v>41671</v>
      </c>
      <c r="N151">
        <v>2</v>
      </c>
      <c r="O151" s="43" t="s">
        <v>37</v>
      </c>
      <c r="P151">
        <v>2014</v>
      </c>
    </row>
    <row r="152" spans="1:16" x14ac:dyDescent="0.2">
      <c r="A152" s="43" t="s">
        <v>28</v>
      </c>
      <c r="B152" s="43" t="s">
        <v>22</v>
      </c>
      <c r="C152" s="43" t="s">
        <v>26</v>
      </c>
      <c r="D152" s="43" t="s">
        <v>43</v>
      </c>
      <c r="E152">
        <v>1901</v>
      </c>
      <c r="F152">
        <v>5</v>
      </c>
      <c r="G152">
        <v>12</v>
      </c>
      <c r="H152">
        <v>22812</v>
      </c>
      <c r="I152" s="43" t="s">
        <v>292</v>
      </c>
      <c r="J152">
        <v>22127.64</v>
      </c>
      <c r="K152">
        <v>5703</v>
      </c>
      <c r="L152" s="43" t="s">
        <v>293</v>
      </c>
      <c r="M152" s="44">
        <v>41791</v>
      </c>
      <c r="N152">
        <v>6</v>
      </c>
      <c r="O152" s="43" t="s">
        <v>23</v>
      </c>
      <c r="P152">
        <v>2014</v>
      </c>
    </row>
    <row r="153" spans="1:16" x14ac:dyDescent="0.2">
      <c r="A153" s="43" t="s">
        <v>15</v>
      </c>
      <c r="B153" s="43" t="s">
        <v>22</v>
      </c>
      <c r="C153" s="43" t="s">
        <v>26</v>
      </c>
      <c r="D153" s="43" t="s">
        <v>43</v>
      </c>
      <c r="E153">
        <v>544</v>
      </c>
      <c r="F153">
        <v>5</v>
      </c>
      <c r="G153">
        <v>7</v>
      </c>
      <c r="H153">
        <v>3808</v>
      </c>
      <c r="I153" s="43" t="s">
        <v>294</v>
      </c>
      <c r="J153">
        <v>3693.76</v>
      </c>
      <c r="K153">
        <v>2720</v>
      </c>
      <c r="L153" s="43" t="s">
        <v>295</v>
      </c>
      <c r="M153" s="44">
        <v>41883</v>
      </c>
      <c r="N153">
        <v>9</v>
      </c>
      <c r="O153" s="43" t="s">
        <v>33</v>
      </c>
      <c r="P153">
        <v>2014</v>
      </c>
    </row>
    <row r="154" spans="1:16" x14ac:dyDescent="0.2">
      <c r="A154" s="43" t="s">
        <v>15</v>
      </c>
      <c r="B154" s="43" t="s">
        <v>20</v>
      </c>
      <c r="C154" s="43" t="s">
        <v>26</v>
      </c>
      <c r="D154" s="43" t="s">
        <v>43</v>
      </c>
      <c r="E154">
        <v>1797</v>
      </c>
      <c r="F154">
        <v>5</v>
      </c>
      <c r="G154">
        <v>350</v>
      </c>
      <c r="H154">
        <v>628950</v>
      </c>
      <c r="I154" s="43" t="s">
        <v>296</v>
      </c>
      <c r="J154">
        <v>610081.5</v>
      </c>
      <c r="K154">
        <v>467220</v>
      </c>
      <c r="L154" s="43" t="s">
        <v>297</v>
      </c>
      <c r="M154" s="44">
        <v>41518</v>
      </c>
      <c r="N154">
        <v>9</v>
      </c>
      <c r="O154" s="43" t="s">
        <v>33</v>
      </c>
      <c r="P154">
        <v>2013</v>
      </c>
    </row>
    <row r="155" spans="1:16" x14ac:dyDescent="0.2">
      <c r="A155" s="43" t="s">
        <v>29</v>
      </c>
      <c r="B155" s="43" t="s">
        <v>22</v>
      </c>
      <c r="C155" s="43" t="s">
        <v>26</v>
      </c>
      <c r="D155" s="43" t="s">
        <v>43</v>
      </c>
      <c r="E155">
        <v>1287</v>
      </c>
      <c r="F155">
        <v>5</v>
      </c>
      <c r="G155">
        <v>125</v>
      </c>
      <c r="H155">
        <v>160875</v>
      </c>
      <c r="I155" s="43" t="s">
        <v>298</v>
      </c>
      <c r="J155">
        <v>156048.75</v>
      </c>
      <c r="K155">
        <v>154440</v>
      </c>
      <c r="L155" s="43" t="s">
        <v>299</v>
      </c>
      <c r="M155" s="44">
        <v>41974</v>
      </c>
      <c r="N155">
        <v>12</v>
      </c>
      <c r="O155" s="43" t="s">
        <v>25</v>
      </c>
      <c r="P155">
        <v>2014</v>
      </c>
    </row>
    <row r="156" spans="1:16" x14ac:dyDescent="0.2">
      <c r="A156" s="43" t="s">
        <v>29</v>
      </c>
      <c r="B156" s="43" t="s">
        <v>20</v>
      </c>
      <c r="C156" s="43" t="s">
        <v>26</v>
      </c>
      <c r="D156" s="43" t="s">
        <v>43</v>
      </c>
      <c r="E156">
        <v>1706</v>
      </c>
      <c r="F156">
        <v>5</v>
      </c>
      <c r="G156">
        <v>125</v>
      </c>
      <c r="H156">
        <v>213250</v>
      </c>
      <c r="I156" s="43" t="s">
        <v>300</v>
      </c>
      <c r="J156">
        <v>206852.5</v>
      </c>
      <c r="K156">
        <v>204720</v>
      </c>
      <c r="L156" s="43" t="s">
        <v>301</v>
      </c>
      <c r="M156" s="44">
        <v>41974</v>
      </c>
      <c r="N156">
        <v>12</v>
      </c>
      <c r="O156" s="43" t="s">
        <v>25</v>
      </c>
      <c r="P156">
        <v>2014</v>
      </c>
    </row>
    <row r="157" spans="1:16" x14ac:dyDescent="0.2">
      <c r="A157" s="43" t="s">
        <v>31</v>
      </c>
      <c r="B157" s="43" t="s">
        <v>22</v>
      </c>
      <c r="C157" s="43" t="s">
        <v>36</v>
      </c>
      <c r="D157" s="43" t="s">
        <v>43</v>
      </c>
      <c r="E157">
        <v>2434.5</v>
      </c>
      <c r="F157">
        <v>10</v>
      </c>
      <c r="G157">
        <v>300</v>
      </c>
      <c r="H157">
        <v>730350</v>
      </c>
      <c r="I157" s="43" t="s">
        <v>302</v>
      </c>
      <c r="J157">
        <v>708439.5</v>
      </c>
      <c r="K157">
        <v>608625</v>
      </c>
      <c r="L157" s="43" t="s">
        <v>303</v>
      </c>
      <c r="M157" s="44">
        <v>41640</v>
      </c>
      <c r="N157">
        <v>1</v>
      </c>
      <c r="O157" s="43" t="s">
        <v>19</v>
      </c>
      <c r="P157">
        <v>2014</v>
      </c>
    </row>
    <row r="158" spans="1:16" x14ac:dyDescent="0.2">
      <c r="A158" s="43" t="s">
        <v>29</v>
      </c>
      <c r="B158" s="43" t="s">
        <v>16</v>
      </c>
      <c r="C158" s="43" t="s">
        <v>36</v>
      </c>
      <c r="D158" s="43" t="s">
        <v>43</v>
      </c>
      <c r="E158">
        <v>1774</v>
      </c>
      <c r="F158">
        <v>10</v>
      </c>
      <c r="G158">
        <v>125</v>
      </c>
      <c r="H158">
        <v>221750</v>
      </c>
      <c r="I158" s="43" t="s">
        <v>304</v>
      </c>
      <c r="J158">
        <v>215097.5</v>
      </c>
      <c r="K158">
        <v>212880</v>
      </c>
      <c r="L158" s="43" t="s">
        <v>305</v>
      </c>
      <c r="M158" s="44">
        <v>41699</v>
      </c>
      <c r="N158">
        <v>3</v>
      </c>
      <c r="O158" s="43" t="s">
        <v>27</v>
      </c>
      <c r="P158">
        <v>2014</v>
      </c>
    </row>
    <row r="159" spans="1:16" x14ac:dyDescent="0.2">
      <c r="A159" s="43" t="s">
        <v>28</v>
      </c>
      <c r="B159" s="43" t="s">
        <v>22</v>
      </c>
      <c r="C159" s="43" t="s">
        <v>36</v>
      </c>
      <c r="D159" s="43" t="s">
        <v>43</v>
      </c>
      <c r="E159">
        <v>1901</v>
      </c>
      <c r="F159">
        <v>10</v>
      </c>
      <c r="G159">
        <v>12</v>
      </c>
      <c r="H159">
        <v>22812</v>
      </c>
      <c r="I159" s="43" t="s">
        <v>292</v>
      </c>
      <c r="J159">
        <v>22127.64</v>
      </c>
      <c r="K159">
        <v>5703</v>
      </c>
      <c r="L159" s="43" t="s">
        <v>293</v>
      </c>
      <c r="M159" s="44">
        <v>41791</v>
      </c>
      <c r="N159">
        <v>6</v>
      </c>
      <c r="O159" s="43" t="s">
        <v>23</v>
      </c>
      <c r="P159">
        <v>2014</v>
      </c>
    </row>
    <row r="160" spans="1:16" x14ac:dyDescent="0.2">
      <c r="A160" s="43" t="s">
        <v>31</v>
      </c>
      <c r="B160" s="43" t="s">
        <v>20</v>
      </c>
      <c r="C160" s="43" t="s">
        <v>36</v>
      </c>
      <c r="D160" s="43" t="s">
        <v>43</v>
      </c>
      <c r="E160">
        <v>689</v>
      </c>
      <c r="F160">
        <v>10</v>
      </c>
      <c r="G160">
        <v>300</v>
      </c>
      <c r="H160">
        <v>206700</v>
      </c>
      <c r="I160" s="43" t="s">
        <v>284</v>
      </c>
      <c r="J160">
        <v>200499</v>
      </c>
      <c r="K160">
        <v>172250</v>
      </c>
      <c r="L160" s="43" t="s">
        <v>285</v>
      </c>
      <c r="M160" s="44">
        <v>41791</v>
      </c>
      <c r="N160">
        <v>6</v>
      </c>
      <c r="O160" s="43" t="s">
        <v>23</v>
      </c>
      <c r="P160">
        <v>2014</v>
      </c>
    </row>
    <row r="161" spans="1:16" x14ac:dyDescent="0.2">
      <c r="A161" s="43" t="s">
        <v>29</v>
      </c>
      <c r="B161" s="43" t="s">
        <v>20</v>
      </c>
      <c r="C161" s="43" t="s">
        <v>36</v>
      </c>
      <c r="D161" s="43" t="s">
        <v>43</v>
      </c>
      <c r="E161">
        <v>1570</v>
      </c>
      <c r="F161">
        <v>10</v>
      </c>
      <c r="G161">
        <v>125</v>
      </c>
      <c r="H161">
        <v>196250</v>
      </c>
      <c r="I161" s="43" t="s">
        <v>306</v>
      </c>
      <c r="J161">
        <v>190362.5</v>
      </c>
      <c r="K161">
        <v>188400</v>
      </c>
      <c r="L161" s="43" t="s">
        <v>307</v>
      </c>
      <c r="M161" s="44">
        <v>41791</v>
      </c>
      <c r="N161">
        <v>6</v>
      </c>
      <c r="O161" s="43" t="s">
        <v>23</v>
      </c>
      <c r="P161">
        <v>2014</v>
      </c>
    </row>
    <row r="162" spans="1:16" x14ac:dyDescent="0.2">
      <c r="A162" s="43" t="s">
        <v>28</v>
      </c>
      <c r="B162" s="43" t="s">
        <v>35</v>
      </c>
      <c r="C162" s="43" t="s">
        <v>36</v>
      </c>
      <c r="D162" s="43" t="s">
        <v>43</v>
      </c>
      <c r="E162">
        <v>1369.5</v>
      </c>
      <c r="F162">
        <v>10</v>
      </c>
      <c r="G162">
        <v>12</v>
      </c>
      <c r="H162">
        <v>16434</v>
      </c>
      <c r="I162" s="43" t="s">
        <v>308</v>
      </c>
      <c r="J162">
        <v>15940.98</v>
      </c>
      <c r="K162">
        <v>4108.5</v>
      </c>
      <c r="L162" s="43" t="s">
        <v>309</v>
      </c>
      <c r="M162" s="44">
        <v>41821</v>
      </c>
      <c r="N162">
        <v>7</v>
      </c>
      <c r="O162" s="43" t="s">
        <v>30</v>
      </c>
      <c r="P162">
        <v>2014</v>
      </c>
    </row>
    <row r="163" spans="1:16" x14ac:dyDescent="0.2">
      <c r="A163" s="43" t="s">
        <v>29</v>
      </c>
      <c r="B163" s="43" t="s">
        <v>16</v>
      </c>
      <c r="C163" s="43" t="s">
        <v>36</v>
      </c>
      <c r="D163" s="43" t="s">
        <v>43</v>
      </c>
      <c r="E163">
        <v>2009</v>
      </c>
      <c r="F163">
        <v>10</v>
      </c>
      <c r="G163">
        <v>125</v>
      </c>
      <c r="H163">
        <v>251125</v>
      </c>
      <c r="I163" s="43" t="s">
        <v>310</v>
      </c>
      <c r="J163">
        <v>243591.25</v>
      </c>
      <c r="K163">
        <v>241080</v>
      </c>
      <c r="L163" s="43" t="s">
        <v>311</v>
      </c>
      <c r="M163" s="44">
        <v>41913</v>
      </c>
      <c r="N163">
        <v>10</v>
      </c>
      <c r="O163" s="43" t="s">
        <v>34</v>
      </c>
      <c r="P163">
        <v>2014</v>
      </c>
    </row>
    <row r="164" spans="1:16" x14ac:dyDescent="0.2">
      <c r="A164" s="43" t="s">
        <v>21</v>
      </c>
      <c r="B164" s="43" t="s">
        <v>20</v>
      </c>
      <c r="C164" s="43" t="s">
        <v>36</v>
      </c>
      <c r="D164" s="43" t="s">
        <v>43</v>
      </c>
      <c r="E164">
        <v>1945</v>
      </c>
      <c r="F164">
        <v>10</v>
      </c>
      <c r="G164">
        <v>15</v>
      </c>
      <c r="H164">
        <v>29175</v>
      </c>
      <c r="I164" s="43" t="s">
        <v>312</v>
      </c>
      <c r="J164">
        <v>28299.75</v>
      </c>
      <c r="K164">
        <v>19450</v>
      </c>
      <c r="L164" s="43" t="s">
        <v>313</v>
      </c>
      <c r="M164" s="44">
        <v>41548</v>
      </c>
      <c r="N164">
        <v>10</v>
      </c>
      <c r="O164" s="43" t="s">
        <v>34</v>
      </c>
      <c r="P164">
        <v>2013</v>
      </c>
    </row>
    <row r="165" spans="1:16" x14ac:dyDescent="0.2">
      <c r="A165" s="43" t="s">
        <v>29</v>
      </c>
      <c r="B165" s="43" t="s">
        <v>22</v>
      </c>
      <c r="C165" s="43" t="s">
        <v>36</v>
      </c>
      <c r="D165" s="43" t="s">
        <v>43</v>
      </c>
      <c r="E165">
        <v>1287</v>
      </c>
      <c r="F165">
        <v>10</v>
      </c>
      <c r="G165">
        <v>125</v>
      </c>
      <c r="H165">
        <v>160875</v>
      </c>
      <c r="I165" s="43" t="s">
        <v>298</v>
      </c>
      <c r="J165">
        <v>156048.75</v>
      </c>
      <c r="K165">
        <v>154440</v>
      </c>
      <c r="L165" s="43" t="s">
        <v>299</v>
      </c>
      <c r="M165" s="44">
        <v>41974</v>
      </c>
      <c r="N165">
        <v>12</v>
      </c>
      <c r="O165" s="43" t="s">
        <v>25</v>
      </c>
      <c r="P165">
        <v>2014</v>
      </c>
    </row>
    <row r="166" spans="1:16" x14ac:dyDescent="0.2">
      <c r="A166" s="43" t="s">
        <v>29</v>
      </c>
      <c r="B166" s="43" t="s">
        <v>20</v>
      </c>
      <c r="C166" s="43" t="s">
        <v>36</v>
      </c>
      <c r="D166" s="43" t="s">
        <v>43</v>
      </c>
      <c r="E166">
        <v>1706</v>
      </c>
      <c r="F166">
        <v>10</v>
      </c>
      <c r="G166">
        <v>125</v>
      </c>
      <c r="H166">
        <v>213250</v>
      </c>
      <c r="I166" s="43" t="s">
        <v>300</v>
      </c>
      <c r="J166">
        <v>206852.5</v>
      </c>
      <c r="K166">
        <v>204720</v>
      </c>
      <c r="L166" s="43" t="s">
        <v>301</v>
      </c>
      <c r="M166" s="44">
        <v>41974</v>
      </c>
      <c r="N166">
        <v>12</v>
      </c>
      <c r="O166" s="43" t="s">
        <v>25</v>
      </c>
      <c r="P166">
        <v>2014</v>
      </c>
    </row>
    <row r="167" spans="1:16" x14ac:dyDescent="0.2">
      <c r="A167" s="43" t="s">
        <v>29</v>
      </c>
      <c r="B167" s="43" t="s">
        <v>16</v>
      </c>
      <c r="C167" s="43" t="s">
        <v>39</v>
      </c>
      <c r="D167" s="43" t="s">
        <v>43</v>
      </c>
      <c r="E167">
        <v>2009</v>
      </c>
      <c r="F167">
        <v>120</v>
      </c>
      <c r="G167">
        <v>125</v>
      </c>
      <c r="H167">
        <v>251125</v>
      </c>
      <c r="I167" s="43" t="s">
        <v>310</v>
      </c>
      <c r="J167">
        <v>243591.25</v>
      </c>
      <c r="K167">
        <v>241080</v>
      </c>
      <c r="L167" s="43" t="s">
        <v>311</v>
      </c>
      <c r="M167" s="44">
        <v>41913</v>
      </c>
      <c r="N167">
        <v>10</v>
      </c>
      <c r="O167" s="43" t="s">
        <v>34</v>
      </c>
      <c r="P167">
        <v>2014</v>
      </c>
    </row>
    <row r="168" spans="1:16" x14ac:dyDescent="0.2">
      <c r="A168" s="43" t="s">
        <v>31</v>
      </c>
      <c r="B168" s="43" t="s">
        <v>35</v>
      </c>
      <c r="C168" s="43" t="s">
        <v>40</v>
      </c>
      <c r="D168" s="43" t="s">
        <v>43</v>
      </c>
      <c r="E168">
        <v>2844</v>
      </c>
      <c r="F168">
        <v>250</v>
      </c>
      <c r="G168">
        <v>300</v>
      </c>
      <c r="H168">
        <v>853200</v>
      </c>
      <c r="I168" s="43" t="s">
        <v>314</v>
      </c>
      <c r="J168">
        <v>827604</v>
      </c>
      <c r="K168">
        <v>711000</v>
      </c>
      <c r="L168" s="43" t="s">
        <v>315</v>
      </c>
      <c r="M168" s="44">
        <v>41671</v>
      </c>
      <c r="N168">
        <v>2</v>
      </c>
      <c r="O168" s="43" t="s">
        <v>37</v>
      </c>
      <c r="P168">
        <v>2014</v>
      </c>
    </row>
    <row r="169" spans="1:16" x14ac:dyDescent="0.2">
      <c r="A169" s="43" t="s">
        <v>28</v>
      </c>
      <c r="B169" s="43" t="s">
        <v>24</v>
      </c>
      <c r="C169" s="43" t="s">
        <v>40</v>
      </c>
      <c r="D169" s="43" t="s">
        <v>43</v>
      </c>
      <c r="E169">
        <v>1916</v>
      </c>
      <c r="F169">
        <v>250</v>
      </c>
      <c r="G169">
        <v>12</v>
      </c>
      <c r="H169">
        <v>22992</v>
      </c>
      <c r="I169" s="43" t="s">
        <v>316</v>
      </c>
      <c r="J169">
        <v>22302.240000000002</v>
      </c>
      <c r="K169">
        <v>5748</v>
      </c>
      <c r="L169" s="43" t="s">
        <v>317</v>
      </c>
      <c r="M169" s="44">
        <v>41730</v>
      </c>
      <c r="N169">
        <v>4</v>
      </c>
      <c r="O169" s="43" t="s">
        <v>41</v>
      </c>
      <c r="P169">
        <v>2014</v>
      </c>
    </row>
    <row r="170" spans="1:16" x14ac:dyDescent="0.2">
      <c r="A170" s="43" t="s">
        <v>29</v>
      </c>
      <c r="B170" s="43" t="s">
        <v>20</v>
      </c>
      <c r="C170" s="43" t="s">
        <v>40</v>
      </c>
      <c r="D170" s="43" t="s">
        <v>43</v>
      </c>
      <c r="E170">
        <v>1570</v>
      </c>
      <c r="F170">
        <v>250</v>
      </c>
      <c r="G170">
        <v>125</v>
      </c>
      <c r="H170">
        <v>196250</v>
      </c>
      <c r="I170" s="43" t="s">
        <v>306</v>
      </c>
      <c r="J170">
        <v>190362.5</v>
      </c>
      <c r="K170">
        <v>188400</v>
      </c>
      <c r="L170" s="43" t="s">
        <v>307</v>
      </c>
      <c r="M170" s="44">
        <v>41791</v>
      </c>
      <c r="N170">
        <v>6</v>
      </c>
      <c r="O170" s="43" t="s">
        <v>23</v>
      </c>
      <c r="P170">
        <v>2014</v>
      </c>
    </row>
    <row r="171" spans="1:16" x14ac:dyDescent="0.2">
      <c r="A171" s="43" t="s">
        <v>31</v>
      </c>
      <c r="B171" s="43" t="s">
        <v>16</v>
      </c>
      <c r="C171" s="43" t="s">
        <v>40</v>
      </c>
      <c r="D171" s="43" t="s">
        <v>43</v>
      </c>
      <c r="E171">
        <v>1874</v>
      </c>
      <c r="F171">
        <v>250</v>
      </c>
      <c r="G171">
        <v>300</v>
      </c>
      <c r="H171">
        <v>562200</v>
      </c>
      <c r="I171" s="43" t="s">
        <v>318</v>
      </c>
      <c r="J171">
        <v>545334</v>
      </c>
      <c r="K171">
        <v>468500</v>
      </c>
      <c r="L171" s="43" t="s">
        <v>319</v>
      </c>
      <c r="M171" s="44">
        <v>41852</v>
      </c>
      <c r="N171">
        <v>8</v>
      </c>
      <c r="O171" s="43" t="s">
        <v>32</v>
      </c>
      <c r="P171">
        <v>2014</v>
      </c>
    </row>
    <row r="172" spans="1:16" x14ac:dyDescent="0.2">
      <c r="A172" s="43" t="s">
        <v>15</v>
      </c>
      <c r="B172" s="43" t="s">
        <v>24</v>
      </c>
      <c r="C172" s="43" t="s">
        <v>40</v>
      </c>
      <c r="D172" s="43" t="s">
        <v>43</v>
      </c>
      <c r="E172">
        <v>1642</v>
      </c>
      <c r="F172">
        <v>250</v>
      </c>
      <c r="G172">
        <v>350</v>
      </c>
      <c r="H172">
        <v>574700</v>
      </c>
      <c r="I172" s="43" t="s">
        <v>320</v>
      </c>
      <c r="J172">
        <v>557459</v>
      </c>
      <c r="K172">
        <v>426920</v>
      </c>
      <c r="L172" s="43" t="s">
        <v>321</v>
      </c>
      <c r="M172" s="44">
        <v>41852</v>
      </c>
      <c r="N172">
        <v>8</v>
      </c>
      <c r="O172" s="43" t="s">
        <v>32</v>
      </c>
      <c r="P172">
        <v>2014</v>
      </c>
    </row>
    <row r="173" spans="1:16" x14ac:dyDescent="0.2">
      <c r="A173" s="43" t="s">
        <v>21</v>
      </c>
      <c r="B173" s="43" t="s">
        <v>20</v>
      </c>
      <c r="C173" s="43" t="s">
        <v>40</v>
      </c>
      <c r="D173" s="43" t="s">
        <v>43</v>
      </c>
      <c r="E173">
        <v>1945</v>
      </c>
      <c r="F173">
        <v>250</v>
      </c>
      <c r="G173">
        <v>15</v>
      </c>
      <c r="H173">
        <v>29175</v>
      </c>
      <c r="I173" s="43" t="s">
        <v>312</v>
      </c>
      <c r="J173">
        <v>28299.75</v>
      </c>
      <c r="K173">
        <v>19450</v>
      </c>
      <c r="L173" s="43" t="s">
        <v>313</v>
      </c>
      <c r="M173" s="44">
        <v>41548</v>
      </c>
      <c r="N173">
        <v>10</v>
      </c>
      <c r="O173" s="43" t="s">
        <v>34</v>
      </c>
      <c r="P173">
        <v>2013</v>
      </c>
    </row>
    <row r="174" spans="1:16" x14ac:dyDescent="0.2">
      <c r="A174" s="43" t="s">
        <v>15</v>
      </c>
      <c r="B174" s="43" t="s">
        <v>16</v>
      </c>
      <c r="C174" s="43" t="s">
        <v>17</v>
      </c>
      <c r="D174" s="43" t="s">
        <v>43</v>
      </c>
      <c r="E174">
        <v>831</v>
      </c>
      <c r="F174">
        <v>3</v>
      </c>
      <c r="G174">
        <v>20</v>
      </c>
      <c r="H174">
        <v>16620</v>
      </c>
      <c r="I174" s="43" t="s">
        <v>322</v>
      </c>
      <c r="J174">
        <v>16121.4</v>
      </c>
      <c r="K174">
        <v>8310</v>
      </c>
      <c r="L174" s="43" t="s">
        <v>323</v>
      </c>
      <c r="M174" s="44">
        <v>41760</v>
      </c>
      <c r="N174">
        <v>5</v>
      </c>
      <c r="O174" s="43" t="s">
        <v>44</v>
      </c>
      <c r="P174">
        <v>2014</v>
      </c>
    </row>
    <row r="175" spans="1:16" x14ac:dyDescent="0.2">
      <c r="A175" s="43" t="s">
        <v>15</v>
      </c>
      <c r="B175" s="43" t="s">
        <v>24</v>
      </c>
      <c r="C175" s="43" t="s">
        <v>36</v>
      </c>
      <c r="D175" s="43" t="s">
        <v>43</v>
      </c>
      <c r="E175">
        <v>1760</v>
      </c>
      <c r="F175">
        <v>10</v>
      </c>
      <c r="G175">
        <v>7</v>
      </c>
      <c r="H175">
        <v>12320</v>
      </c>
      <c r="I175" s="43" t="s">
        <v>324</v>
      </c>
      <c r="J175">
        <v>11950.4</v>
      </c>
      <c r="K175">
        <v>8800</v>
      </c>
      <c r="L175" s="43" t="s">
        <v>325</v>
      </c>
      <c r="M175" s="44">
        <v>41518</v>
      </c>
      <c r="N175">
        <v>9</v>
      </c>
      <c r="O175" s="43" t="s">
        <v>33</v>
      </c>
      <c r="P175">
        <v>2013</v>
      </c>
    </row>
    <row r="176" spans="1:16" x14ac:dyDescent="0.2">
      <c r="A176" s="43" t="s">
        <v>15</v>
      </c>
      <c r="B176" s="43" t="s">
        <v>16</v>
      </c>
      <c r="C176" s="43" t="s">
        <v>39</v>
      </c>
      <c r="D176" s="43" t="s">
        <v>43</v>
      </c>
      <c r="E176">
        <v>3850.5</v>
      </c>
      <c r="F176">
        <v>120</v>
      </c>
      <c r="G176">
        <v>20</v>
      </c>
      <c r="H176">
        <v>77010</v>
      </c>
      <c r="I176" s="43" t="s">
        <v>326</v>
      </c>
      <c r="J176">
        <v>74699.7</v>
      </c>
      <c r="K176">
        <v>38505</v>
      </c>
      <c r="L176" s="43" t="s">
        <v>327</v>
      </c>
      <c r="M176" s="44">
        <v>41730</v>
      </c>
      <c r="N176">
        <v>4</v>
      </c>
      <c r="O176" s="43" t="s">
        <v>41</v>
      </c>
      <c r="P176">
        <v>2014</v>
      </c>
    </row>
    <row r="177" spans="1:16" x14ac:dyDescent="0.2">
      <c r="A177" s="43" t="s">
        <v>28</v>
      </c>
      <c r="B177" s="43" t="s">
        <v>20</v>
      </c>
      <c r="C177" s="43" t="s">
        <v>40</v>
      </c>
      <c r="D177" s="43" t="s">
        <v>43</v>
      </c>
      <c r="E177">
        <v>2479</v>
      </c>
      <c r="F177">
        <v>250</v>
      </c>
      <c r="G177">
        <v>12</v>
      </c>
      <c r="H177">
        <v>29748</v>
      </c>
      <c r="I177" s="43" t="s">
        <v>328</v>
      </c>
      <c r="J177">
        <v>28855.56</v>
      </c>
      <c r="K177">
        <v>7437</v>
      </c>
      <c r="L177" s="43" t="s">
        <v>329</v>
      </c>
      <c r="M177" s="44">
        <v>41640</v>
      </c>
      <c r="N177">
        <v>1</v>
      </c>
      <c r="O177" s="43" t="s">
        <v>19</v>
      </c>
      <c r="P177">
        <v>2014</v>
      </c>
    </row>
    <row r="178" spans="1:16" x14ac:dyDescent="0.2">
      <c r="A178" s="43" t="s">
        <v>21</v>
      </c>
      <c r="B178" s="43" t="s">
        <v>24</v>
      </c>
      <c r="C178" s="43" t="s">
        <v>26</v>
      </c>
      <c r="D178" s="43" t="s">
        <v>43</v>
      </c>
      <c r="E178">
        <v>2031</v>
      </c>
      <c r="F178">
        <v>5</v>
      </c>
      <c r="G178">
        <v>15</v>
      </c>
      <c r="H178">
        <v>30465</v>
      </c>
      <c r="I178" s="43" t="s">
        <v>330</v>
      </c>
      <c r="J178">
        <v>29246.400000000001</v>
      </c>
      <c r="K178">
        <v>20310</v>
      </c>
      <c r="L178" s="43" t="s">
        <v>331</v>
      </c>
      <c r="M178" s="44">
        <v>41913</v>
      </c>
      <c r="N178">
        <v>10</v>
      </c>
      <c r="O178" s="43" t="s">
        <v>34</v>
      </c>
      <c r="P178">
        <v>2014</v>
      </c>
    </row>
    <row r="179" spans="1:16" x14ac:dyDescent="0.2">
      <c r="A179" s="43" t="s">
        <v>21</v>
      </c>
      <c r="B179" s="43" t="s">
        <v>24</v>
      </c>
      <c r="C179" s="43" t="s">
        <v>36</v>
      </c>
      <c r="D179" s="43" t="s">
        <v>43</v>
      </c>
      <c r="E179">
        <v>2031</v>
      </c>
      <c r="F179">
        <v>10</v>
      </c>
      <c r="G179">
        <v>15</v>
      </c>
      <c r="H179">
        <v>30465</v>
      </c>
      <c r="I179" s="43" t="s">
        <v>330</v>
      </c>
      <c r="J179">
        <v>29246.400000000001</v>
      </c>
      <c r="K179">
        <v>20310</v>
      </c>
      <c r="L179" s="43" t="s">
        <v>331</v>
      </c>
      <c r="M179" s="44">
        <v>41913</v>
      </c>
      <c r="N179">
        <v>10</v>
      </c>
      <c r="O179" s="43" t="s">
        <v>34</v>
      </c>
      <c r="P179">
        <v>2014</v>
      </c>
    </row>
    <row r="180" spans="1:16" x14ac:dyDescent="0.2">
      <c r="A180" s="43" t="s">
        <v>21</v>
      </c>
      <c r="B180" s="43" t="s">
        <v>22</v>
      </c>
      <c r="C180" s="43" t="s">
        <v>36</v>
      </c>
      <c r="D180" s="43" t="s">
        <v>43</v>
      </c>
      <c r="E180">
        <v>2261</v>
      </c>
      <c r="F180">
        <v>10</v>
      </c>
      <c r="G180">
        <v>15</v>
      </c>
      <c r="H180">
        <v>33915</v>
      </c>
      <c r="I180" s="43" t="s">
        <v>332</v>
      </c>
      <c r="J180">
        <v>32558.400000000001</v>
      </c>
      <c r="K180">
        <v>22610</v>
      </c>
      <c r="L180" s="43" t="s">
        <v>333</v>
      </c>
      <c r="M180" s="44">
        <v>41609</v>
      </c>
      <c r="N180">
        <v>12</v>
      </c>
      <c r="O180" s="43" t="s">
        <v>25</v>
      </c>
      <c r="P180">
        <v>2013</v>
      </c>
    </row>
    <row r="181" spans="1:16" x14ac:dyDescent="0.2">
      <c r="A181" s="43" t="s">
        <v>15</v>
      </c>
      <c r="B181" s="43" t="s">
        <v>35</v>
      </c>
      <c r="C181" s="43" t="s">
        <v>39</v>
      </c>
      <c r="D181" s="43" t="s">
        <v>43</v>
      </c>
      <c r="E181">
        <v>736</v>
      </c>
      <c r="F181">
        <v>120</v>
      </c>
      <c r="G181">
        <v>20</v>
      </c>
      <c r="H181">
        <v>14720</v>
      </c>
      <c r="I181" s="43" t="s">
        <v>334</v>
      </c>
      <c r="J181">
        <v>14131.2</v>
      </c>
      <c r="K181">
        <v>7360</v>
      </c>
      <c r="L181" s="43" t="s">
        <v>335</v>
      </c>
      <c r="M181" s="44">
        <v>41518</v>
      </c>
      <c r="N181">
        <v>9</v>
      </c>
      <c r="O181" s="43" t="s">
        <v>33</v>
      </c>
      <c r="P181">
        <v>2013</v>
      </c>
    </row>
    <row r="182" spans="1:16" x14ac:dyDescent="0.2">
      <c r="A182" s="43" t="s">
        <v>15</v>
      </c>
      <c r="B182" s="43" t="s">
        <v>16</v>
      </c>
      <c r="C182" s="43" t="s">
        <v>17</v>
      </c>
      <c r="D182" s="43" t="s">
        <v>43</v>
      </c>
      <c r="E182">
        <v>2851</v>
      </c>
      <c r="F182">
        <v>3</v>
      </c>
      <c r="G182">
        <v>7</v>
      </c>
      <c r="H182">
        <v>19957</v>
      </c>
      <c r="I182" s="43" t="s">
        <v>336</v>
      </c>
      <c r="J182">
        <v>19158.72</v>
      </c>
      <c r="K182">
        <v>14255</v>
      </c>
      <c r="L182" s="43" t="s">
        <v>337</v>
      </c>
      <c r="M182" s="44">
        <v>41548</v>
      </c>
      <c r="N182">
        <v>10</v>
      </c>
      <c r="O182" s="43" t="s">
        <v>34</v>
      </c>
      <c r="P182">
        <v>2013</v>
      </c>
    </row>
    <row r="183" spans="1:16" x14ac:dyDescent="0.2">
      <c r="A183" s="43" t="s">
        <v>31</v>
      </c>
      <c r="B183" s="43" t="s">
        <v>20</v>
      </c>
      <c r="C183" s="43" t="s">
        <v>17</v>
      </c>
      <c r="D183" s="43" t="s">
        <v>43</v>
      </c>
      <c r="E183">
        <v>2021</v>
      </c>
      <c r="F183">
        <v>3</v>
      </c>
      <c r="G183">
        <v>300</v>
      </c>
      <c r="H183">
        <v>606300</v>
      </c>
      <c r="I183" s="43" t="s">
        <v>283</v>
      </c>
      <c r="J183">
        <v>582048</v>
      </c>
      <c r="K183">
        <v>505250</v>
      </c>
      <c r="L183" s="43" t="s">
        <v>338</v>
      </c>
      <c r="M183" s="44">
        <v>41913</v>
      </c>
      <c r="N183">
        <v>10</v>
      </c>
      <c r="O183" s="43" t="s">
        <v>34</v>
      </c>
      <c r="P183">
        <v>2014</v>
      </c>
    </row>
    <row r="184" spans="1:16" x14ac:dyDescent="0.2">
      <c r="A184" s="43" t="s">
        <v>15</v>
      </c>
      <c r="B184" s="43" t="s">
        <v>35</v>
      </c>
      <c r="C184" s="43" t="s">
        <v>17</v>
      </c>
      <c r="D184" s="43" t="s">
        <v>43</v>
      </c>
      <c r="E184">
        <v>274</v>
      </c>
      <c r="F184">
        <v>3</v>
      </c>
      <c r="G184">
        <v>350</v>
      </c>
      <c r="H184">
        <v>95900</v>
      </c>
      <c r="I184" s="43" t="s">
        <v>339</v>
      </c>
      <c r="J184">
        <v>92064</v>
      </c>
      <c r="K184">
        <v>71240</v>
      </c>
      <c r="L184" s="43" t="s">
        <v>340</v>
      </c>
      <c r="M184" s="44">
        <v>41974</v>
      </c>
      <c r="N184">
        <v>12</v>
      </c>
      <c r="O184" s="43" t="s">
        <v>25</v>
      </c>
      <c r="P184">
        <v>2014</v>
      </c>
    </row>
    <row r="185" spans="1:16" x14ac:dyDescent="0.2">
      <c r="A185" s="43" t="s">
        <v>21</v>
      </c>
      <c r="B185" s="43" t="s">
        <v>16</v>
      </c>
      <c r="C185" s="43" t="s">
        <v>26</v>
      </c>
      <c r="D185" s="43" t="s">
        <v>43</v>
      </c>
      <c r="E185">
        <v>1967</v>
      </c>
      <c r="F185">
        <v>5</v>
      </c>
      <c r="G185">
        <v>15</v>
      </c>
      <c r="H185">
        <v>29505</v>
      </c>
      <c r="I185" s="43" t="s">
        <v>341</v>
      </c>
      <c r="J185">
        <v>28324.799999999999</v>
      </c>
      <c r="K185">
        <v>19670</v>
      </c>
      <c r="L185" s="43" t="s">
        <v>342</v>
      </c>
      <c r="M185" s="44">
        <v>41699</v>
      </c>
      <c r="N185">
        <v>3</v>
      </c>
      <c r="O185" s="43" t="s">
        <v>27</v>
      </c>
      <c r="P185">
        <v>2014</v>
      </c>
    </row>
    <row r="186" spans="1:16" x14ac:dyDescent="0.2">
      <c r="A186" s="43" t="s">
        <v>31</v>
      </c>
      <c r="B186" s="43" t="s">
        <v>20</v>
      </c>
      <c r="C186" s="43" t="s">
        <v>26</v>
      </c>
      <c r="D186" s="43" t="s">
        <v>43</v>
      </c>
      <c r="E186">
        <v>1859</v>
      </c>
      <c r="F186">
        <v>5</v>
      </c>
      <c r="G186">
        <v>300</v>
      </c>
      <c r="H186">
        <v>557700</v>
      </c>
      <c r="I186" s="43" t="s">
        <v>343</v>
      </c>
      <c r="J186">
        <v>535392</v>
      </c>
      <c r="K186">
        <v>464750</v>
      </c>
      <c r="L186" s="43" t="s">
        <v>344</v>
      </c>
      <c r="M186" s="44">
        <v>41852</v>
      </c>
      <c r="N186">
        <v>8</v>
      </c>
      <c r="O186" s="43" t="s">
        <v>32</v>
      </c>
      <c r="P186">
        <v>2014</v>
      </c>
    </row>
    <row r="187" spans="1:16" x14ac:dyDescent="0.2">
      <c r="A187" s="43" t="s">
        <v>15</v>
      </c>
      <c r="B187" s="43" t="s">
        <v>16</v>
      </c>
      <c r="C187" s="43" t="s">
        <v>26</v>
      </c>
      <c r="D187" s="43" t="s">
        <v>43</v>
      </c>
      <c r="E187">
        <v>2851</v>
      </c>
      <c r="F187">
        <v>5</v>
      </c>
      <c r="G187">
        <v>7</v>
      </c>
      <c r="H187">
        <v>19957</v>
      </c>
      <c r="I187" s="43" t="s">
        <v>336</v>
      </c>
      <c r="J187">
        <v>19158.72</v>
      </c>
      <c r="K187">
        <v>14255</v>
      </c>
      <c r="L187" s="43" t="s">
        <v>337</v>
      </c>
      <c r="M187" s="44">
        <v>41548</v>
      </c>
      <c r="N187">
        <v>10</v>
      </c>
      <c r="O187" s="43" t="s">
        <v>34</v>
      </c>
      <c r="P187">
        <v>2013</v>
      </c>
    </row>
    <row r="188" spans="1:16" x14ac:dyDescent="0.2">
      <c r="A188" s="43" t="s">
        <v>31</v>
      </c>
      <c r="B188" s="43" t="s">
        <v>20</v>
      </c>
      <c r="C188" s="43" t="s">
        <v>26</v>
      </c>
      <c r="D188" s="43" t="s">
        <v>43</v>
      </c>
      <c r="E188">
        <v>2021</v>
      </c>
      <c r="F188">
        <v>5</v>
      </c>
      <c r="G188">
        <v>300</v>
      </c>
      <c r="H188">
        <v>606300</v>
      </c>
      <c r="I188" s="43" t="s">
        <v>283</v>
      </c>
      <c r="J188">
        <v>582048</v>
      </c>
      <c r="K188">
        <v>505250</v>
      </c>
      <c r="L188" s="43" t="s">
        <v>338</v>
      </c>
      <c r="M188" s="44">
        <v>41913</v>
      </c>
      <c r="N188">
        <v>10</v>
      </c>
      <c r="O188" s="43" t="s">
        <v>34</v>
      </c>
      <c r="P188">
        <v>2014</v>
      </c>
    </row>
    <row r="189" spans="1:16" x14ac:dyDescent="0.2">
      <c r="A189" s="43" t="s">
        <v>29</v>
      </c>
      <c r="B189" s="43" t="s">
        <v>24</v>
      </c>
      <c r="C189" s="43" t="s">
        <v>26</v>
      </c>
      <c r="D189" s="43" t="s">
        <v>43</v>
      </c>
      <c r="E189">
        <v>1138</v>
      </c>
      <c r="F189">
        <v>5</v>
      </c>
      <c r="G189">
        <v>125</v>
      </c>
      <c r="H189">
        <v>142250</v>
      </c>
      <c r="I189" s="43" t="s">
        <v>275</v>
      </c>
      <c r="J189">
        <v>136560</v>
      </c>
      <c r="K189">
        <v>136560</v>
      </c>
      <c r="L189" s="43" t="s">
        <v>105</v>
      </c>
      <c r="M189" s="44">
        <v>41974</v>
      </c>
      <c r="N189">
        <v>12</v>
      </c>
      <c r="O189" s="43" t="s">
        <v>25</v>
      </c>
      <c r="P189">
        <v>2014</v>
      </c>
    </row>
    <row r="190" spans="1:16" x14ac:dyDescent="0.2">
      <c r="A190" s="43" t="s">
        <v>15</v>
      </c>
      <c r="B190" s="43" t="s">
        <v>16</v>
      </c>
      <c r="C190" s="43" t="s">
        <v>36</v>
      </c>
      <c r="D190" s="43" t="s">
        <v>43</v>
      </c>
      <c r="E190">
        <v>4251</v>
      </c>
      <c r="F190">
        <v>10</v>
      </c>
      <c r="G190">
        <v>7</v>
      </c>
      <c r="H190">
        <v>29757</v>
      </c>
      <c r="I190" s="43" t="s">
        <v>345</v>
      </c>
      <c r="J190">
        <v>28566.720000000001</v>
      </c>
      <c r="K190">
        <v>21255</v>
      </c>
      <c r="L190" s="43" t="s">
        <v>346</v>
      </c>
      <c r="M190" s="44">
        <v>41640</v>
      </c>
      <c r="N190">
        <v>1</v>
      </c>
      <c r="O190" s="43" t="s">
        <v>19</v>
      </c>
      <c r="P190">
        <v>2014</v>
      </c>
    </row>
    <row r="191" spans="1:16" x14ac:dyDescent="0.2">
      <c r="A191" s="43" t="s">
        <v>29</v>
      </c>
      <c r="B191" s="43" t="s">
        <v>20</v>
      </c>
      <c r="C191" s="43" t="s">
        <v>36</v>
      </c>
      <c r="D191" s="43" t="s">
        <v>43</v>
      </c>
      <c r="E191">
        <v>795</v>
      </c>
      <c r="F191">
        <v>10</v>
      </c>
      <c r="G191">
        <v>125</v>
      </c>
      <c r="H191">
        <v>99375</v>
      </c>
      <c r="I191" s="43" t="s">
        <v>347</v>
      </c>
      <c r="J191">
        <v>95400</v>
      </c>
      <c r="K191">
        <v>95400</v>
      </c>
      <c r="L191" s="43" t="s">
        <v>105</v>
      </c>
      <c r="M191" s="44">
        <v>41699</v>
      </c>
      <c r="N191">
        <v>3</v>
      </c>
      <c r="O191" s="43" t="s">
        <v>27</v>
      </c>
      <c r="P191">
        <v>2014</v>
      </c>
    </row>
    <row r="192" spans="1:16" x14ac:dyDescent="0.2">
      <c r="A192" s="43" t="s">
        <v>31</v>
      </c>
      <c r="B192" s="43" t="s">
        <v>20</v>
      </c>
      <c r="C192" s="43" t="s">
        <v>36</v>
      </c>
      <c r="D192" s="43" t="s">
        <v>43</v>
      </c>
      <c r="E192">
        <v>1414.5</v>
      </c>
      <c r="F192">
        <v>10</v>
      </c>
      <c r="G192">
        <v>300</v>
      </c>
      <c r="H192">
        <v>424350</v>
      </c>
      <c r="I192" s="43" t="s">
        <v>348</v>
      </c>
      <c r="J192">
        <v>407376</v>
      </c>
      <c r="K192">
        <v>353625</v>
      </c>
      <c r="L192" s="43" t="s">
        <v>349</v>
      </c>
      <c r="M192" s="44">
        <v>41730</v>
      </c>
      <c r="N192">
        <v>4</v>
      </c>
      <c r="O192" s="43" t="s">
        <v>41</v>
      </c>
      <c r="P192">
        <v>2014</v>
      </c>
    </row>
    <row r="193" spans="1:16" x14ac:dyDescent="0.2">
      <c r="A193" s="43" t="s">
        <v>31</v>
      </c>
      <c r="B193" s="43" t="s">
        <v>35</v>
      </c>
      <c r="C193" s="43" t="s">
        <v>36</v>
      </c>
      <c r="D193" s="43" t="s">
        <v>43</v>
      </c>
      <c r="E193">
        <v>2918</v>
      </c>
      <c r="F193">
        <v>10</v>
      </c>
      <c r="G193">
        <v>300</v>
      </c>
      <c r="H193">
        <v>875400</v>
      </c>
      <c r="I193" s="43" t="s">
        <v>350</v>
      </c>
      <c r="J193">
        <v>840384</v>
      </c>
      <c r="K193">
        <v>729500</v>
      </c>
      <c r="L193" s="43" t="s">
        <v>351</v>
      </c>
      <c r="M193" s="44">
        <v>41760</v>
      </c>
      <c r="N193">
        <v>5</v>
      </c>
      <c r="O193" s="43" t="s">
        <v>44</v>
      </c>
      <c r="P193">
        <v>2014</v>
      </c>
    </row>
    <row r="194" spans="1:16" x14ac:dyDescent="0.2">
      <c r="A194" s="43" t="s">
        <v>15</v>
      </c>
      <c r="B194" s="43" t="s">
        <v>35</v>
      </c>
      <c r="C194" s="43" t="s">
        <v>36</v>
      </c>
      <c r="D194" s="43" t="s">
        <v>43</v>
      </c>
      <c r="E194">
        <v>3450</v>
      </c>
      <c r="F194">
        <v>10</v>
      </c>
      <c r="G194">
        <v>350</v>
      </c>
      <c r="H194">
        <v>1207500</v>
      </c>
      <c r="I194" s="43" t="s">
        <v>352</v>
      </c>
      <c r="J194">
        <v>1159200</v>
      </c>
      <c r="K194">
        <v>897000</v>
      </c>
      <c r="L194" s="43" t="s">
        <v>353</v>
      </c>
      <c r="M194" s="44">
        <v>41821</v>
      </c>
      <c r="N194">
        <v>7</v>
      </c>
      <c r="O194" s="43" t="s">
        <v>30</v>
      </c>
      <c r="P194">
        <v>2014</v>
      </c>
    </row>
    <row r="195" spans="1:16" x14ac:dyDescent="0.2">
      <c r="A195" s="43" t="s">
        <v>29</v>
      </c>
      <c r="B195" s="43" t="s">
        <v>22</v>
      </c>
      <c r="C195" s="43" t="s">
        <v>36</v>
      </c>
      <c r="D195" s="43" t="s">
        <v>43</v>
      </c>
      <c r="E195">
        <v>2988</v>
      </c>
      <c r="F195">
        <v>10</v>
      </c>
      <c r="G195">
        <v>125</v>
      </c>
      <c r="H195">
        <v>373500</v>
      </c>
      <c r="I195" s="43" t="s">
        <v>354</v>
      </c>
      <c r="J195">
        <v>358560</v>
      </c>
      <c r="K195">
        <v>358560</v>
      </c>
      <c r="L195" s="43" t="s">
        <v>105</v>
      </c>
      <c r="M195" s="44">
        <v>41821</v>
      </c>
      <c r="N195">
        <v>7</v>
      </c>
      <c r="O195" s="43" t="s">
        <v>30</v>
      </c>
      <c r="P195">
        <v>2014</v>
      </c>
    </row>
    <row r="196" spans="1:16" x14ac:dyDescent="0.2">
      <c r="A196" s="43" t="s">
        <v>21</v>
      </c>
      <c r="B196" s="43" t="s">
        <v>16</v>
      </c>
      <c r="C196" s="43" t="s">
        <v>36</v>
      </c>
      <c r="D196" s="43" t="s">
        <v>43</v>
      </c>
      <c r="E196">
        <v>218</v>
      </c>
      <c r="F196">
        <v>10</v>
      </c>
      <c r="G196">
        <v>15</v>
      </c>
      <c r="H196">
        <v>3270</v>
      </c>
      <c r="I196" s="43" t="s">
        <v>355</v>
      </c>
      <c r="J196">
        <v>3139.2</v>
      </c>
      <c r="K196">
        <v>2180</v>
      </c>
      <c r="L196" s="43" t="s">
        <v>356</v>
      </c>
      <c r="M196" s="44">
        <v>41883</v>
      </c>
      <c r="N196">
        <v>9</v>
      </c>
      <c r="O196" s="43" t="s">
        <v>33</v>
      </c>
      <c r="P196">
        <v>2014</v>
      </c>
    </row>
    <row r="197" spans="1:16" x14ac:dyDescent="0.2">
      <c r="A197" s="43" t="s">
        <v>15</v>
      </c>
      <c r="B197" s="43" t="s">
        <v>16</v>
      </c>
      <c r="C197" s="43" t="s">
        <v>36</v>
      </c>
      <c r="D197" s="43" t="s">
        <v>43</v>
      </c>
      <c r="E197">
        <v>2074</v>
      </c>
      <c r="F197">
        <v>10</v>
      </c>
      <c r="G197">
        <v>20</v>
      </c>
      <c r="H197">
        <v>41480</v>
      </c>
      <c r="I197" s="43" t="s">
        <v>357</v>
      </c>
      <c r="J197">
        <v>39820.800000000003</v>
      </c>
      <c r="K197">
        <v>20740</v>
      </c>
      <c r="L197" s="43" t="s">
        <v>358</v>
      </c>
      <c r="M197" s="44">
        <v>41883</v>
      </c>
      <c r="N197">
        <v>9</v>
      </c>
      <c r="O197" s="43" t="s">
        <v>33</v>
      </c>
      <c r="P197">
        <v>2014</v>
      </c>
    </row>
    <row r="198" spans="1:16" x14ac:dyDescent="0.2">
      <c r="A198" s="43" t="s">
        <v>15</v>
      </c>
      <c r="B198" s="43" t="s">
        <v>35</v>
      </c>
      <c r="C198" s="43" t="s">
        <v>36</v>
      </c>
      <c r="D198" s="43" t="s">
        <v>43</v>
      </c>
      <c r="E198">
        <v>1056</v>
      </c>
      <c r="F198">
        <v>10</v>
      </c>
      <c r="G198">
        <v>20</v>
      </c>
      <c r="H198">
        <v>21120</v>
      </c>
      <c r="I198" s="43" t="s">
        <v>359</v>
      </c>
      <c r="J198">
        <v>20275.2</v>
      </c>
      <c r="K198">
        <v>10560</v>
      </c>
      <c r="L198" s="43" t="s">
        <v>360</v>
      </c>
      <c r="M198" s="44">
        <v>41883</v>
      </c>
      <c r="N198">
        <v>9</v>
      </c>
      <c r="O198" s="43" t="s">
        <v>33</v>
      </c>
      <c r="P198">
        <v>2014</v>
      </c>
    </row>
    <row r="199" spans="1:16" x14ac:dyDescent="0.2">
      <c r="A199" s="43" t="s">
        <v>21</v>
      </c>
      <c r="B199" s="43" t="s">
        <v>35</v>
      </c>
      <c r="C199" s="43" t="s">
        <v>36</v>
      </c>
      <c r="D199" s="43" t="s">
        <v>43</v>
      </c>
      <c r="E199">
        <v>671</v>
      </c>
      <c r="F199">
        <v>10</v>
      </c>
      <c r="G199">
        <v>15</v>
      </c>
      <c r="H199">
        <v>10065</v>
      </c>
      <c r="I199" s="43" t="s">
        <v>361</v>
      </c>
      <c r="J199">
        <v>9662.4</v>
      </c>
      <c r="K199">
        <v>6710</v>
      </c>
      <c r="L199" s="43" t="s">
        <v>362</v>
      </c>
      <c r="M199" s="44">
        <v>41548</v>
      </c>
      <c r="N199">
        <v>10</v>
      </c>
      <c r="O199" s="43" t="s">
        <v>34</v>
      </c>
      <c r="P199">
        <v>2013</v>
      </c>
    </row>
    <row r="200" spans="1:16" x14ac:dyDescent="0.2">
      <c r="A200" s="43" t="s">
        <v>21</v>
      </c>
      <c r="B200" s="43" t="s">
        <v>24</v>
      </c>
      <c r="C200" s="43" t="s">
        <v>36</v>
      </c>
      <c r="D200" s="43" t="s">
        <v>43</v>
      </c>
      <c r="E200">
        <v>1514</v>
      </c>
      <c r="F200">
        <v>10</v>
      </c>
      <c r="G200">
        <v>15</v>
      </c>
      <c r="H200">
        <v>22710</v>
      </c>
      <c r="I200" s="43" t="s">
        <v>363</v>
      </c>
      <c r="J200">
        <v>21801.599999999999</v>
      </c>
      <c r="K200">
        <v>15140</v>
      </c>
      <c r="L200" s="43" t="s">
        <v>364</v>
      </c>
      <c r="M200" s="44">
        <v>41548</v>
      </c>
      <c r="N200">
        <v>10</v>
      </c>
      <c r="O200" s="43" t="s">
        <v>34</v>
      </c>
      <c r="P200">
        <v>2013</v>
      </c>
    </row>
    <row r="201" spans="1:16" x14ac:dyDescent="0.2">
      <c r="A201" s="43" t="s">
        <v>15</v>
      </c>
      <c r="B201" s="43" t="s">
        <v>35</v>
      </c>
      <c r="C201" s="43" t="s">
        <v>36</v>
      </c>
      <c r="D201" s="43" t="s">
        <v>43</v>
      </c>
      <c r="E201">
        <v>274</v>
      </c>
      <c r="F201">
        <v>10</v>
      </c>
      <c r="G201">
        <v>350</v>
      </c>
      <c r="H201">
        <v>95900</v>
      </c>
      <c r="I201" s="43" t="s">
        <v>339</v>
      </c>
      <c r="J201">
        <v>92064</v>
      </c>
      <c r="K201">
        <v>71240</v>
      </c>
      <c r="L201" s="43" t="s">
        <v>340</v>
      </c>
      <c r="M201" s="44">
        <v>41974</v>
      </c>
      <c r="N201">
        <v>12</v>
      </c>
      <c r="O201" s="43" t="s">
        <v>25</v>
      </c>
      <c r="P201">
        <v>2014</v>
      </c>
    </row>
    <row r="202" spans="1:16" x14ac:dyDescent="0.2">
      <c r="A202" s="43" t="s">
        <v>29</v>
      </c>
      <c r="B202" s="43" t="s">
        <v>24</v>
      </c>
      <c r="C202" s="43" t="s">
        <v>36</v>
      </c>
      <c r="D202" s="43" t="s">
        <v>43</v>
      </c>
      <c r="E202">
        <v>1138</v>
      </c>
      <c r="F202">
        <v>10</v>
      </c>
      <c r="G202">
        <v>125</v>
      </c>
      <c r="H202">
        <v>142250</v>
      </c>
      <c r="I202" s="43" t="s">
        <v>275</v>
      </c>
      <c r="J202">
        <v>136560</v>
      </c>
      <c r="K202">
        <v>136560</v>
      </c>
      <c r="L202" s="43" t="s">
        <v>105</v>
      </c>
      <c r="M202" s="44">
        <v>41974</v>
      </c>
      <c r="N202">
        <v>12</v>
      </c>
      <c r="O202" s="43" t="s">
        <v>25</v>
      </c>
      <c r="P202">
        <v>2014</v>
      </c>
    </row>
    <row r="203" spans="1:16" x14ac:dyDescent="0.2">
      <c r="A203" s="43" t="s">
        <v>28</v>
      </c>
      <c r="B203" s="43" t="s">
        <v>35</v>
      </c>
      <c r="C203" s="43" t="s">
        <v>39</v>
      </c>
      <c r="D203" s="43" t="s">
        <v>43</v>
      </c>
      <c r="E203">
        <v>1465</v>
      </c>
      <c r="F203">
        <v>120</v>
      </c>
      <c r="G203">
        <v>12</v>
      </c>
      <c r="H203">
        <v>17580</v>
      </c>
      <c r="I203" s="43" t="s">
        <v>365</v>
      </c>
      <c r="J203">
        <v>16876.8</v>
      </c>
      <c r="K203">
        <v>4395</v>
      </c>
      <c r="L203" s="43" t="s">
        <v>366</v>
      </c>
      <c r="M203" s="44">
        <v>41699</v>
      </c>
      <c r="N203">
        <v>3</v>
      </c>
      <c r="O203" s="43" t="s">
        <v>27</v>
      </c>
      <c r="P203">
        <v>2014</v>
      </c>
    </row>
    <row r="204" spans="1:16" x14ac:dyDescent="0.2">
      <c r="A204" s="43" t="s">
        <v>15</v>
      </c>
      <c r="B204" s="43" t="s">
        <v>16</v>
      </c>
      <c r="C204" s="43" t="s">
        <v>39</v>
      </c>
      <c r="D204" s="43" t="s">
        <v>43</v>
      </c>
      <c r="E204">
        <v>2646</v>
      </c>
      <c r="F204">
        <v>120</v>
      </c>
      <c r="G204">
        <v>20</v>
      </c>
      <c r="H204">
        <v>52920</v>
      </c>
      <c r="I204" s="43" t="s">
        <v>367</v>
      </c>
      <c r="J204">
        <v>50803.199999999997</v>
      </c>
      <c r="K204">
        <v>26460</v>
      </c>
      <c r="L204" s="43" t="s">
        <v>368</v>
      </c>
      <c r="M204" s="44">
        <v>41518</v>
      </c>
      <c r="N204">
        <v>9</v>
      </c>
      <c r="O204" s="43" t="s">
        <v>33</v>
      </c>
      <c r="P204">
        <v>2013</v>
      </c>
    </row>
    <row r="205" spans="1:16" x14ac:dyDescent="0.2">
      <c r="A205" s="43" t="s">
        <v>15</v>
      </c>
      <c r="B205" s="43" t="s">
        <v>22</v>
      </c>
      <c r="C205" s="43" t="s">
        <v>39</v>
      </c>
      <c r="D205" s="43" t="s">
        <v>43</v>
      </c>
      <c r="E205">
        <v>2177</v>
      </c>
      <c r="F205">
        <v>120</v>
      </c>
      <c r="G205">
        <v>350</v>
      </c>
      <c r="H205">
        <v>761950</v>
      </c>
      <c r="I205" s="43" t="s">
        <v>369</v>
      </c>
      <c r="J205">
        <v>731472</v>
      </c>
      <c r="K205">
        <v>566020</v>
      </c>
      <c r="L205" s="43" t="s">
        <v>370</v>
      </c>
      <c r="M205" s="44">
        <v>41913</v>
      </c>
      <c r="N205">
        <v>10</v>
      </c>
      <c r="O205" s="43" t="s">
        <v>34</v>
      </c>
      <c r="P205">
        <v>2014</v>
      </c>
    </row>
    <row r="206" spans="1:16" x14ac:dyDescent="0.2">
      <c r="A206" s="43" t="s">
        <v>28</v>
      </c>
      <c r="B206" s="43" t="s">
        <v>22</v>
      </c>
      <c r="C206" s="43" t="s">
        <v>40</v>
      </c>
      <c r="D206" s="43" t="s">
        <v>43</v>
      </c>
      <c r="E206">
        <v>866</v>
      </c>
      <c r="F206">
        <v>250</v>
      </c>
      <c r="G206">
        <v>12</v>
      </c>
      <c r="H206">
        <v>10392</v>
      </c>
      <c r="I206" s="43" t="s">
        <v>371</v>
      </c>
      <c r="J206">
        <v>9976.32</v>
      </c>
      <c r="K206">
        <v>2598</v>
      </c>
      <c r="L206" s="43" t="s">
        <v>372</v>
      </c>
      <c r="M206" s="44">
        <v>41760</v>
      </c>
      <c r="N206">
        <v>5</v>
      </c>
      <c r="O206" s="43" t="s">
        <v>44</v>
      </c>
      <c r="P206">
        <v>2014</v>
      </c>
    </row>
    <row r="207" spans="1:16" x14ac:dyDescent="0.2">
      <c r="A207" s="43" t="s">
        <v>15</v>
      </c>
      <c r="B207" s="43" t="s">
        <v>35</v>
      </c>
      <c r="C207" s="43" t="s">
        <v>40</v>
      </c>
      <c r="D207" s="43" t="s">
        <v>43</v>
      </c>
      <c r="E207">
        <v>349</v>
      </c>
      <c r="F207">
        <v>250</v>
      </c>
      <c r="G207">
        <v>350</v>
      </c>
      <c r="H207">
        <v>122150</v>
      </c>
      <c r="I207" s="43" t="s">
        <v>373</v>
      </c>
      <c r="J207">
        <v>117264</v>
      </c>
      <c r="K207">
        <v>90740</v>
      </c>
      <c r="L207" s="43" t="s">
        <v>374</v>
      </c>
      <c r="M207" s="44">
        <v>41518</v>
      </c>
      <c r="N207">
        <v>9</v>
      </c>
      <c r="O207" s="43" t="s">
        <v>33</v>
      </c>
      <c r="P207">
        <v>2013</v>
      </c>
    </row>
    <row r="208" spans="1:16" x14ac:dyDescent="0.2">
      <c r="A208" s="43" t="s">
        <v>15</v>
      </c>
      <c r="B208" s="43" t="s">
        <v>22</v>
      </c>
      <c r="C208" s="43" t="s">
        <v>40</v>
      </c>
      <c r="D208" s="43" t="s">
        <v>43</v>
      </c>
      <c r="E208">
        <v>2177</v>
      </c>
      <c r="F208">
        <v>250</v>
      </c>
      <c r="G208">
        <v>350</v>
      </c>
      <c r="H208">
        <v>761950</v>
      </c>
      <c r="I208" s="43" t="s">
        <v>369</v>
      </c>
      <c r="J208">
        <v>731472</v>
      </c>
      <c r="K208">
        <v>566020</v>
      </c>
      <c r="L208" s="43" t="s">
        <v>370</v>
      </c>
      <c r="M208" s="44">
        <v>41913</v>
      </c>
      <c r="N208">
        <v>10</v>
      </c>
      <c r="O208" s="43" t="s">
        <v>34</v>
      </c>
      <c r="P208">
        <v>2014</v>
      </c>
    </row>
    <row r="209" spans="1:16" x14ac:dyDescent="0.2">
      <c r="A209" s="43" t="s">
        <v>21</v>
      </c>
      <c r="B209" s="43" t="s">
        <v>24</v>
      </c>
      <c r="C209" s="43" t="s">
        <v>40</v>
      </c>
      <c r="D209" s="43" t="s">
        <v>43</v>
      </c>
      <c r="E209">
        <v>1514</v>
      </c>
      <c r="F209">
        <v>250</v>
      </c>
      <c r="G209">
        <v>15</v>
      </c>
      <c r="H209">
        <v>22710</v>
      </c>
      <c r="I209" s="43" t="s">
        <v>363</v>
      </c>
      <c r="J209">
        <v>21801.599999999999</v>
      </c>
      <c r="K209">
        <v>15140</v>
      </c>
      <c r="L209" s="43" t="s">
        <v>364</v>
      </c>
      <c r="M209" s="44">
        <v>41548</v>
      </c>
      <c r="N209">
        <v>10</v>
      </c>
      <c r="O209" s="43" t="s">
        <v>34</v>
      </c>
      <c r="P209">
        <v>2013</v>
      </c>
    </row>
    <row r="210" spans="1:16" x14ac:dyDescent="0.2">
      <c r="A210" s="43" t="s">
        <v>15</v>
      </c>
      <c r="B210" s="43" t="s">
        <v>24</v>
      </c>
      <c r="C210" s="43" t="s">
        <v>42</v>
      </c>
      <c r="D210" s="43" t="s">
        <v>43</v>
      </c>
      <c r="E210">
        <v>1865</v>
      </c>
      <c r="F210">
        <v>260</v>
      </c>
      <c r="G210">
        <v>350</v>
      </c>
      <c r="H210">
        <v>652750</v>
      </c>
      <c r="I210" s="43" t="s">
        <v>375</v>
      </c>
      <c r="J210">
        <v>626640</v>
      </c>
      <c r="K210">
        <v>484900</v>
      </c>
      <c r="L210" s="43" t="s">
        <v>376</v>
      </c>
      <c r="M210" s="44">
        <v>41671</v>
      </c>
      <c r="N210">
        <v>2</v>
      </c>
      <c r="O210" s="43" t="s">
        <v>37</v>
      </c>
      <c r="P210">
        <v>2014</v>
      </c>
    </row>
    <row r="211" spans="1:16" x14ac:dyDescent="0.2">
      <c r="A211" s="43" t="s">
        <v>29</v>
      </c>
      <c r="B211" s="43" t="s">
        <v>24</v>
      </c>
      <c r="C211" s="43" t="s">
        <v>42</v>
      </c>
      <c r="D211" s="43" t="s">
        <v>43</v>
      </c>
      <c r="E211">
        <v>1074</v>
      </c>
      <c r="F211">
        <v>260</v>
      </c>
      <c r="G211">
        <v>125</v>
      </c>
      <c r="H211">
        <v>134250</v>
      </c>
      <c r="I211" s="43" t="s">
        <v>377</v>
      </c>
      <c r="J211">
        <v>128880</v>
      </c>
      <c r="K211">
        <v>128880</v>
      </c>
      <c r="L211" s="43" t="s">
        <v>105</v>
      </c>
      <c r="M211" s="44">
        <v>41730</v>
      </c>
      <c r="N211">
        <v>4</v>
      </c>
      <c r="O211" s="43" t="s">
        <v>41</v>
      </c>
      <c r="P211">
        <v>2014</v>
      </c>
    </row>
    <row r="212" spans="1:16" x14ac:dyDescent="0.2">
      <c r="A212" s="43" t="s">
        <v>15</v>
      </c>
      <c r="B212" s="43" t="s">
        <v>20</v>
      </c>
      <c r="C212" s="43" t="s">
        <v>42</v>
      </c>
      <c r="D212" s="43" t="s">
        <v>43</v>
      </c>
      <c r="E212">
        <v>1907</v>
      </c>
      <c r="F212">
        <v>260</v>
      </c>
      <c r="G212">
        <v>350</v>
      </c>
      <c r="H212">
        <v>667450</v>
      </c>
      <c r="I212" s="43" t="s">
        <v>378</v>
      </c>
      <c r="J212">
        <v>640752</v>
      </c>
      <c r="K212">
        <v>495820</v>
      </c>
      <c r="L212" s="43" t="s">
        <v>379</v>
      </c>
      <c r="M212" s="44">
        <v>41883</v>
      </c>
      <c r="N212">
        <v>9</v>
      </c>
      <c r="O212" s="43" t="s">
        <v>33</v>
      </c>
      <c r="P212">
        <v>2014</v>
      </c>
    </row>
    <row r="213" spans="1:16" x14ac:dyDescent="0.2">
      <c r="A213" s="43" t="s">
        <v>21</v>
      </c>
      <c r="B213" s="43" t="s">
        <v>35</v>
      </c>
      <c r="C213" s="43" t="s">
        <v>42</v>
      </c>
      <c r="D213" s="43" t="s">
        <v>43</v>
      </c>
      <c r="E213">
        <v>671</v>
      </c>
      <c r="F213">
        <v>260</v>
      </c>
      <c r="G213">
        <v>15</v>
      </c>
      <c r="H213">
        <v>10065</v>
      </c>
      <c r="I213" s="43" t="s">
        <v>361</v>
      </c>
      <c r="J213">
        <v>9662.4</v>
      </c>
      <c r="K213">
        <v>6710</v>
      </c>
      <c r="L213" s="43" t="s">
        <v>362</v>
      </c>
      <c r="M213" s="44">
        <v>41548</v>
      </c>
      <c r="N213">
        <v>10</v>
      </c>
      <c r="O213" s="43" t="s">
        <v>34</v>
      </c>
      <c r="P213">
        <v>2013</v>
      </c>
    </row>
    <row r="214" spans="1:16" x14ac:dyDescent="0.2">
      <c r="A214" s="43" t="s">
        <v>15</v>
      </c>
      <c r="B214" s="43" t="s">
        <v>16</v>
      </c>
      <c r="C214" s="43" t="s">
        <v>42</v>
      </c>
      <c r="D214" s="43" t="s">
        <v>43</v>
      </c>
      <c r="E214">
        <v>1778</v>
      </c>
      <c r="F214">
        <v>260</v>
      </c>
      <c r="G214">
        <v>350</v>
      </c>
      <c r="H214">
        <v>622300</v>
      </c>
      <c r="I214" s="43" t="s">
        <v>380</v>
      </c>
      <c r="J214">
        <v>597408</v>
      </c>
      <c r="K214">
        <v>462280</v>
      </c>
      <c r="L214" s="43" t="s">
        <v>381</v>
      </c>
      <c r="M214" s="44">
        <v>41609</v>
      </c>
      <c r="N214">
        <v>12</v>
      </c>
      <c r="O214" s="43" t="s">
        <v>25</v>
      </c>
      <c r="P214">
        <v>2013</v>
      </c>
    </row>
    <row r="215" spans="1:16" x14ac:dyDescent="0.2">
      <c r="A215" s="43" t="s">
        <v>15</v>
      </c>
      <c r="B215" s="43" t="s">
        <v>20</v>
      </c>
      <c r="C215" s="43" t="s">
        <v>26</v>
      </c>
      <c r="D215" s="43" t="s">
        <v>45</v>
      </c>
      <c r="E215">
        <v>1159</v>
      </c>
      <c r="F215">
        <v>5</v>
      </c>
      <c r="G215">
        <v>7</v>
      </c>
      <c r="H215">
        <v>8113</v>
      </c>
      <c r="I215" s="43" t="s">
        <v>382</v>
      </c>
      <c r="J215">
        <v>7707.35</v>
      </c>
      <c r="K215">
        <v>5795</v>
      </c>
      <c r="L215" s="43" t="s">
        <v>383</v>
      </c>
      <c r="M215" s="44">
        <v>41548</v>
      </c>
      <c r="N215">
        <v>10</v>
      </c>
      <c r="O215" s="43" t="s">
        <v>34</v>
      </c>
      <c r="P215">
        <v>2013</v>
      </c>
    </row>
    <row r="216" spans="1:16" x14ac:dyDescent="0.2">
      <c r="A216" s="43" t="s">
        <v>15</v>
      </c>
      <c r="B216" s="43" t="s">
        <v>20</v>
      </c>
      <c r="C216" s="43" t="s">
        <v>36</v>
      </c>
      <c r="D216" s="43" t="s">
        <v>45</v>
      </c>
      <c r="E216">
        <v>1372</v>
      </c>
      <c r="F216">
        <v>10</v>
      </c>
      <c r="G216">
        <v>7</v>
      </c>
      <c r="H216">
        <v>9604</v>
      </c>
      <c r="I216" s="43" t="s">
        <v>384</v>
      </c>
      <c r="J216">
        <v>9123.7999999999993</v>
      </c>
      <c r="K216">
        <v>6860</v>
      </c>
      <c r="L216" s="43" t="s">
        <v>385</v>
      </c>
      <c r="M216" s="44">
        <v>41640</v>
      </c>
      <c r="N216">
        <v>1</v>
      </c>
      <c r="O216" s="43" t="s">
        <v>19</v>
      </c>
      <c r="P216">
        <v>2014</v>
      </c>
    </row>
    <row r="217" spans="1:16" x14ac:dyDescent="0.2">
      <c r="A217" s="43" t="s">
        <v>15</v>
      </c>
      <c r="B217" s="43" t="s">
        <v>16</v>
      </c>
      <c r="C217" s="43" t="s">
        <v>36</v>
      </c>
      <c r="D217" s="43" t="s">
        <v>45</v>
      </c>
      <c r="E217">
        <v>2349</v>
      </c>
      <c r="F217">
        <v>10</v>
      </c>
      <c r="G217">
        <v>7</v>
      </c>
      <c r="H217">
        <v>16443</v>
      </c>
      <c r="I217" s="43" t="s">
        <v>386</v>
      </c>
      <c r="J217">
        <v>15620.85</v>
      </c>
      <c r="K217">
        <v>11745</v>
      </c>
      <c r="L217" s="43" t="s">
        <v>387</v>
      </c>
      <c r="M217" s="44">
        <v>41518</v>
      </c>
      <c r="N217">
        <v>9</v>
      </c>
      <c r="O217" s="43" t="s">
        <v>33</v>
      </c>
      <c r="P217">
        <v>2013</v>
      </c>
    </row>
    <row r="218" spans="1:16" x14ac:dyDescent="0.2">
      <c r="A218" s="43" t="s">
        <v>15</v>
      </c>
      <c r="B218" s="43" t="s">
        <v>24</v>
      </c>
      <c r="C218" s="43" t="s">
        <v>36</v>
      </c>
      <c r="D218" s="43" t="s">
        <v>45</v>
      </c>
      <c r="E218">
        <v>2689</v>
      </c>
      <c r="F218">
        <v>10</v>
      </c>
      <c r="G218">
        <v>7</v>
      </c>
      <c r="H218">
        <v>18823</v>
      </c>
      <c r="I218" s="43" t="s">
        <v>388</v>
      </c>
      <c r="J218">
        <v>17881.849999999999</v>
      </c>
      <c r="K218">
        <v>13445</v>
      </c>
      <c r="L218" s="43" t="s">
        <v>389</v>
      </c>
      <c r="M218" s="44">
        <v>41913</v>
      </c>
      <c r="N218">
        <v>10</v>
      </c>
      <c r="O218" s="43" t="s">
        <v>34</v>
      </c>
      <c r="P218">
        <v>2014</v>
      </c>
    </row>
    <row r="219" spans="1:16" x14ac:dyDescent="0.2">
      <c r="A219" s="43" t="s">
        <v>28</v>
      </c>
      <c r="B219" s="43" t="s">
        <v>16</v>
      </c>
      <c r="C219" s="43" t="s">
        <v>36</v>
      </c>
      <c r="D219" s="43" t="s">
        <v>45</v>
      </c>
      <c r="E219">
        <v>2431</v>
      </c>
      <c r="F219">
        <v>10</v>
      </c>
      <c r="G219">
        <v>12</v>
      </c>
      <c r="H219">
        <v>29172</v>
      </c>
      <c r="I219" s="43" t="s">
        <v>390</v>
      </c>
      <c r="J219">
        <v>27713.4</v>
      </c>
      <c r="K219">
        <v>7293</v>
      </c>
      <c r="L219" s="43" t="s">
        <v>391</v>
      </c>
      <c r="M219" s="44">
        <v>41974</v>
      </c>
      <c r="N219">
        <v>12</v>
      </c>
      <c r="O219" s="43" t="s">
        <v>25</v>
      </c>
      <c r="P219">
        <v>2014</v>
      </c>
    </row>
    <row r="220" spans="1:16" x14ac:dyDescent="0.2">
      <c r="A220" s="43" t="s">
        <v>28</v>
      </c>
      <c r="B220" s="43" t="s">
        <v>16</v>
      </c>
      <c r="C220" s="43" t="s">
        <v>39</v>
      </c>
      <c r="D220" s="43" t="s">
        <v>45</v>
      </c>
      <c r="E220">
        <v>2431</v>
      </c>
      <c r="F220">
        <v>120</v>
      </c>
      <c r="G220">
        <v>12</v>
      </c>
      <c r="H220">
        <v>29172</v>
      </c>
      <c r="I220" s="43" t="s">
        <v>390</v>
      </c>
      <c r="J220">
        <v>27713.4</v>
      </c>
      <c r="K220">
        <v>7293</v>
      </c>
      <c r="L220" s="43" t="s">
        <v>391</v>
      </c>
      <c r="M220" s="44">
        <v>41974</v>
      </c>
      <c r="N220">
        <v>12</v>
      </c>
      <c r="O220" s="43" t="s">
        <v>25</v>
      </c>
      <c r="P220">
        <v>2014</v>
      </c>
    </row>
    <row r="221" spans="1:16" x14ac:dyDescent="0.2">
      <c r="A221" s="43" t="s">
        <v>15</v>
      </c>
      <c r="B221" s="43" t="s">
        <v>24</v>
      </c>
      <c r="C221" s="43" t="s">
        <v>40</v>
      </c>
      <c r="D221" s="43" t="s">
        <v>45</v>
      </c>
      <c r="E221">
        <v>2689</v>
      </c>
      <c r="F221">
        <v>250</v>
      </c>
      <c r="G221">
        <v>7</v>
      </c>
      <c r="H221">
        <v>18823</v>
      </c>
      <c r="I221" s="43" t="s">
        <v>388</v>
      </c>
      <c r="J221">
        <v>17881.849999999999</v>
      </c>
      <c r="K221">
        <v>13445</v>
      </c>
      <c r="L221" s="43" t="s">
        <v>389</v>
      </c>
      <c r="M221" s="44">
        <v>41913</v>
      </c>
      <c r="N221">
        <v>10</v>
      </c>
      <c r="O221" s="43" t="s">
        <v>34</v>
      </c>
      <c r="P221">
        <v>2014</v>
      </c>
    </row>
    <row r="222" spans="1:16" x14ac:dyDescent="0.2">
      <c r="A222" s="43" t="s">
        <v>15</v>
      </c>
      <c r="B222" s="43" t="s">
        <v>24</v>
      </c>
      <c r="C222" s="43" t="s">
        <v>42</v>
      </c>
      <c r="D222" s="43" t="s">
        <v>45</v>
      </c>
      <c r="E222">
        <v>1683</v>
      </c>
      <c r="F222">
        <v>260</v>
      </c>
      <c r="G222">
        <v>7</v>
      </c>
      <c r="H222">
        <v>11781</v>
      </c>
      <c r="I222" s="43" t="s">
        <v>392</v>
      </c>
      <c r="J222">
        <v>11191.95</v>
      </c>
      <c r="K222">
        <v>8415</v>
      </c>
      <c r="L222" s="43" t="s">
        <v>393</v>
      </c>
      <c r="M222" s="44">
        <v>41821</v>
      </c>
      <c r="N222">
        <v>7</v>
      </c>
      <c r="O222" s="43" t="s">
        <v>30</v>
      </c>
      <c r="P222">
        <v>2014</v>
      </c>
    </row>
    <row r="223" spans="1:16" x14ac:dyDescent="0.2">
      <c r="A223" s="43" t="s">
        <v>28</v>
      </c>
      <c r="B223" s="43" t="s">
        <v>24</v>
      </c>
      <c r="C223" s="43" t="s">
        <v>42</v>
      </c>
      <c r="D223" s="43" t="s">
        <v>45</v>
      </c>
      <c r="E223">
        <v>1123</v>
      </c>
      <c r="F223">
        <v>260</v>
      </c>
      <c r="G223">
        <v>12</v>
      </c>
      <c r="H223">
        <v>13476</v>
      </c>
      <c r="I223" s="43" t="s">
        <v>394</v>
      </c>
      <c r="J223">
        <v>12802.2</v>
      </c>
      <c r="K223">
        <v>3369</v>
      </c>
      <c r="L223" s="43" t="s">
        <v>395</v>
      </c>
      <c r="M223" s="44">
        <v>41852</v>
      </c>
      <c r="N223">
        <v>8</v>
      </c>
      <c r="O223" s="43" t="s">
        <v>32</v>
      </c>
      <c r="P223">
        <v>2014</v>
      </c>
    </row>
    <row r="224" spans="1:16" x14ac:dyDescent="0.2">
      <c r="A224" s="43" t="s">
        <v>15</v>
      </c>
      <c r="B224" s="43" t="s">
        <v>20</v>
      </c>
      <c r="C224" s="43" t="s">
        <v>42</v>
      </c>
      <c r="D224" s="43" t="s">
        <v>45</v>
      </c>
      <c r="E224">
        <v>1159</v>
      </c>
      <c r="F224">
        <v>260</v>
      </c>
      <c r="G224">
        <v>7</v>
      </c>
      <c r="H224">
        <v>8113</v>
      </c>
      <c r="I224" s="43" t="s">
        <v>382</v>
      </c>
      <c r="J224">
        <v>7707.35</v>
      </c>
      <c r="K224">
        <v>5795</v>
      </c>
      <c r="L224" s="43" t="s">
        <v>383</v>
      </c>
      <c r="M224" s="44">
        <v>41548</v>
      </c>
      <c r="N224">
        <v>10</v>
      </c>
      <c r="O224" s="43" t="s">
        <v>34</v>
      </c>
      <c r="P224">
        <v>2013</v>
      </c>
    </row>
    <row r="225" spans="1:16" x14ac:dyDescent="0.2">
      <c r="A225" s="43" t="s">
        <v>28</v>
      </c>
      <c r="B225" s="43" t="s">
        <v>22</v>
      </c>
      <c r="C225" s="43" t="s">
        <v>17</v>
      </c>
      <c r="D225" s="43" t="s">
        <v>45</v>
      </c>
      <c r="E225">
        <v>1865</v>
      </c>
      <c r="F225">
        <v>3</v>
      </c>
      <c r="G225">
        <v>12</v>
      </c>
      <c r="H225">
        <v>22380</v>
      </c>
      <c r="I225" s="43" t="s">
        <v>396</v>
      </c>
      <c r="J225">
        <v>21261</v>
      </c>
      <c r="K225">
        <v>5595</v>
      </c>
      <c r="L225" s="43" t="s">
        <v>397</v>
      </c>
      <c r="M225" s="44">
        <v>41671</v>
      </c>
      <c r="N225">
        <v>2</v>
      </c>
      <c r="O225" s="43" t="s">
        <v>37</v>
      </c>
      <c r="P225">
        <v>2014</v>
      </c>
    </row>
    <row r="226" spans="1:16" x14ac:dyDescent="0.2">
      <c r="A226" s="43" t="s">
        <v>28</v>
      </c>
      <c r="B226" s="43" t="s">
        <v>20</v>
      </c>
      <c r="C226" s="43" t="s">
        <v>17</v>
      </c>
      <c r="D226" s="43" t="s">
        <v>45</v>
      </c>
      <c r="E226">
        <v>1116</v>
      </c>
      <c r="F226">
        <v>3</v>
      </c>
      <c r="G226">
        <v>12</v>
      </c>
      <c r="H226">
        <v>13392</v>
      </c>
      <c r="I226" s="43" t="s">
        <v>398</v>
      </c>
      <c r="J226">
        <v>12722.4</v>
      </c>
      <c r="K226">
        <v>3348</v>
      </c>
      <c r="L226" s="43" t="s">
        <v>399</v>
      </c>
      <c r="M226" s="44">
        <v>41671</v>
      </c>
      <c r="N226">
        <v>2</v>
      </c>
      <c r="O226" s="43" t="s">
        <v>37</v>
      </c>
      <c r="P226">
        <v>2014</v>
      </c>
    </row>
    <row r="227" spans="1:16" x14ac:dyDescent="0.2">
      <c r="A227" s="43" t="s">
        <v>15</v>
      </c>
      <c r="B227" s="43" t="s">
        <v>22</v>
      </c>
      <c r="C227" s="43" t="s">
        <v>17</v>
      </c>
      <c r="D227" s="43" t="s">
        <v>45</v>
      </c>
      <c r="E227">
        <v>1563</v>
      </c>
      <c r="F227">
        <v>3</v>
      </c>
      <c r="G227">
        <v>20</v>
      </c>
      <c r="H227">
        <v>31260</v>
      </c>
      <c r="I227" s="43" t="s">
        <v>400</v>
      </c>
      <c r="J227">
        <v>29697</v>
      </c>
      <c r="K227">
        <v>15630</v>
      </c>
      <c r="L227" s="43" t="s">
        <v>401</v>
      </c>
      <c r="M227" s="44">
        <v>41760</v>
      </c>
      <c r="N227">
        <v>5</v>
      </c>
      <c r="O227" s="43" t="s">
        <v>44</v>
      </c>
      <c r="P227">
        <v>2014</v>
      </c>
    </row>
    <row r="228" spans="1:16" x14ac:dyDescent="0.2">
      <c r="A228" s="43" t="s">
        <v>31</v>
      </c>
      <c r="B228" s="43" t="s">
        <v>35</v>
      </c>
      <c r="C228" s="43" t="s">
        <v>17</v>
      </c>
      <c r="D228" s="43" t="s">
        <v>45</v>
      </c>
      <c r="E228">
        <v>991</v>
      </c>
      <c r="F228">
        <v>3</v>
      </c>
      <c r="G228">
        <v>300</v>
      </c>
      <c r="H228">
        <v>297300</v>
      </c>
      <c r="I228" s="43" t="s">
        <v>402</v>
      </c>
      <c r="J228">
        <v>282435</v>
      </c>
      <c r="K228">
        <v>247750</v>
      </c>
      <c r="L228" s="43" t="s">
        <v>403</v>
      </c>
      <c r="M228" s="44">
        <v>41791</v>
      </c>
      <c r="N228">
        <v>6</v>
      </c>
      <c r="O228" s="43" t="s">
        <v>23</v>
      </c>
      <c r="P228">
        <v>2014</v>
      </c>
    </row>
    <row r="229" spans="1:16" x14ac:dyDescent="0.2">
      <c r="A229" s="43" t="s">
        <v>15</v>
      </c>
      <c r="B229" s="43" t="s">
        <v>20</v>
      </c>
      <c r="C229" s="43" t="s">
        <v>17</v>
      </c>
      <c r="D229" s="43" t="s">
        <v>45</v>
      </c>
      <c r="E229">
        <v>1016</v>
      </c>
      <c r="F229">
        <v>3</v>
      </c>
      <c r="G229">
        <v>7</v>
      </c>
      <c r="H229">
        <v>7112</v>
      </c>
      <c r="I229" s="43" t="s">
        <v>404</v>
      </c>
      <c r="J229">
        <v>6756.4</v>
      </c>
      <c r="K229">
        <v>5080</v>
      </c>
      <c r="L229" s="43" t="s">
        <v>405</v>
      </c>
      <c r="M229" s="44">
        <v>41579</v>
      </c>
      <c r="N229">
        <v>11</v>
      </c>
      <c r="O229" s="43" t="s">
        <v>38</v>
      </c>
      <c r="P229">
        <v>2013</v>
      </c>
    </row>
    <row r="230" spans="1:16" x14ac:dyDescent="0.2">
      <c r="A230" s="43" t="s">
        <v>21</v>
      </c>
      <c r="B230" s="43" t="s">
        <v>24</v>
      </c>
      <c r="C230" s="43" t="s">
        <v>17</v>
      </c>
      <c r="D230" s="43" t="s">
        <v>45</v>
      </c>
      <c r="E230">
        <v>2791</v>
      </c>
      <c r="F230">
        <v>3</v>
      </c>
      <c r="G230">
        <v>15</v>
      </c>
      <c r="H230">
        <v>41865</v>
      </c>
      <c r="I230" s="43" t="s">
        <v>406</v>
      </c>
      <c r="J230">
        <v>39771.75</v>
      </c>
      <c r="K230">
        <v>27910</v>
      </c>
      <c r="L230" s="43" t="s">
        <v>407</v>
      </c>
      <c r="M230" s="44">
        <v>41944</v>
      </c>
      <c r="N230">
        <v>11</v>
      </c>
      <c r="O230" s="43" t="s">
        <v>38</v>
      </c>
      <c r="P230">
        <v>2014</v>
      </c>
    </row>
    <row r="231" spans="1:16" x14ac:dyDescent="0.2">
      <c r="A231" s="43" t="s">
        <v>15</v>
      </c>
      <c r="B231" s="43" t="s">
        <v>35</v>
      </c>
      <c r="C231" s="43" t="s">
        <v>17</v>
      </c>
      <c r="D231" s="43" t="s">
        <v>45</v>
      </c>
      <c r="E231">
        <v>570</v>
      </c>
      <c r="F231">
        <v>3</v>
      </c>
      <c r="G231">
        <v>7</v>
      </c>
      <c r="H231">
        <v>3990</v>
      </c>
      <c r="I231" s="43" t="s">
        <v>408</v>
      </c>
      <c r="J231">
        <v>3790.5</v>
      </c>
      <c r="K231">
        <v>2850</v>
      </c>
      <c r="L231" s="43" t="s">
        <v>409</v>
      </c>
      <c r="M231" s="44">
        <v>41974</v>
      </c>
      <c r="N231">
        <v>12</v>
      </c>
      <c r="O231" s="43" t="s">
        <v>25</v>
      </c>
      <c r="P231">
        <v>2014</v>
      </c>
    </row>
    <row r="232" spans="1:16" x14ac:dyDescent="0.2">
      <c r="A232" s="43" t="s">
        <v>15</v>
      </c>
      <c r="B232" s="43" t="s">
        <v>22</v>
      </c>
      <c r="C232" s="43" t="s">
        <v>17</v>
      </c>
      <c r="D232" s="43" t="s">
        <v>45</v>
      </c>
      <c r="E232">
        <v>2487</v>
      </c>
      <c r="F232">
        <v>3</v>
      </c>
      <c r="G232">
        <v>7</v>
      </c>
      <c r="H232">
        <v>17409</v>
      </c>
      <c r="I232" s="43" t="s">
        <v>410</v>
      </c>
      <c r="J232">
        <v>16538.55</v>
      </c>
      <c r="K232">
        <v>12435</v>
      </c>
      <c r="L232" s="43" t="s">
        <v>411</v>
      </c>
      <c r="M232" s="44">
        <v>41974</v>
      </c>
      <c r="N232">
        <v>12</v>
      </c>
      <c r="O232" s="43" t="s">
        <v>25</v>
      </c>
      <c r="P232">
        <v>2014</v>
      </c>
    </row>
    <row r="233" spans="1:16" x14ac:dyDescent="0.2">
      <c r="A233" s="43" t="s">
        <v>15</v>
      </c>
      <c r="B233" s="43" t="s">
        <v>22</v>
      </c>
      <c r="C233" s="43" t="s">
        <v>26</v>
      </c>
      <c r="D233" s="43" t="s">
        <v>45</v>
      </c>
      <c r="E233">
        <v>1384.5</v>
      </c>
      <c r="F233">
        <v>5</v>
      </c>
      <c r="G233">
        <v>350</v>
      </c>
      <c r="H233">
        <v>484575</v>
      </c>
      <c r="I233" s="43" t="s">
        <v>412</v>
      </c>
      <c r="J233">
        <v>460346.25</v>
      </c>
      <c r="K233">
        <v>359970</v>
      </c>
      <c r="L233" s="43" t="s">
        <v>413</v>
      </c>
      <c r="M233" s="44">
        <v>41640</v>
      </c>
      <c r="N233">
        <v>1</v>
      </c>
      <c r="O233" s="43" t="s">
        <v>19</v>
      </c>
      <c r="P233">
        <v>2014</v>
      </c>
    </row>
    <row r="234" spans="1:16" x14ac:dyDescent="0.2">
      <c r="A234" s="43" t="s">
        <v>29</v>
      </c>
      <c r="B234" s="43" t="s">
        <v>35</v>
      </c>
      <c r="C234" s="43" t="s">
        <v>26</v>
      </c>
      <c r="D234" s="43" t="s">
        <v>45</v>
      </c>
      <c r="E234">
        <v>3627</v>
      </c>
      <c r="F234">
        <v>5</v>
      </c>
      <c r="G234">
        <v>125</v>
      </c>
      <c r="H234">
        <v>453375</v>
      </c>
      <c r="I234" s="43" t="s">
        <v>414</v>
      </c>
      <c r="J234">
        <v>430706.25</v>
      </c>
      <c r="K234">
        <v>435240</v>
      </c>
      <c r="L234" s="43" t="s">
        <v>415</v>
      </c>
      <c r="M234" s="44">
        <v>41821</v>
      </c>
      <c r="N234">
        <v>7</v>
      </c>
      <c r="O234" s="43" t="s">
        <v>30</v>
      </c>
      <c r="P234">
        <v>2014</v>
      </c>
    </row>
    <row r="235" spans="1:16" x14ac:dyDescent="0.2">
      <c r="A235" s="43" t="s">
        <v>15</v>
      </c>
      <c r="B235" s="43" t="s">
        <v>24</v>
      </c>
      <c r="C235" s="43" t="s">
        <v>26</v>
      </c>
      <c r="D235" s="43" t="s">
        <v>45</v>
      </c>
      <c r="E235">
        <v>720</v>
      </c>
      <c r="F235">
        <v>5</v>
      </c>
      <c r="G235">
        <v>350</v>
      </c>
      <c r="H235">
        <v>252000</v>
      </c>
      <c r="I235" s="43" t="s">
        <v>416</v>
      </c>
      <c r="J235">
        <v>239400</v>
      </c>
      <c r="K235">
        <v>187200</v>
      </c>
      <c r="L235" s="43" t="s">
        <v>417</v>
      </c>
      <c r="M235" s="44">
        <v>41518</v>
      </c>
      <c r="N235">
        <v>9</v>
      </c>
      <c r="O235" s="43" t="s">
        <v>33</v>
      </c>
      <c r="P235">
        <v>2013</v>
      </c>
    </row>
    <row r="236" spans="1:16" x14ac:dyDescent="0.2">
      <c r="A236" s="43" t="s">
        <v>28</v>
      </c>
      <c r="B236" s="43" t="s">
        <v>20</v>
      </c>
      <c r="C236" s="43" t="s">
        <v>26</v>
      </c>
      <c r="D236" s="43" t="s">
        <v>45</v>
      </c>
      <c r="E236">
        <v>2342</v>
      </c>
      <c r="F236">
        <v>5</v>
      </c>
      <c r="G236">
        <v>12</v>
      </c>
      <c r="H236">
        <v>28104</v>
      </c>
      <c r="I236" s="43" t="s">
        <v>418</v>
      </c>
      <c r="J236">
        <v>26698.799999999999</v>
      </c>
      <c r="K236">
        <v>7026</v>
      </c>
      <c r="L236" s="43" t="s">
        <v>419</v>
      </c>
      <c r="M236" s="44">
        <v>41944</v>
      </c>
      <c r="N236">
        <v>11</v>
      </c>
      <c r="O236" s="43" t="s">
        <v>38</v>
      </c>
      <c r="P236">
        <v>2014</v>
      </c>
    </row>
    <row r="237" spans="1:16" x14ac:dyDescent="0.2">
      <c r="A237" s="43" t="s">
        <v>31</v>
      </c>
      <c r="B237" s="43" t="s">
        <v>24</v>
      </c>
      <c r="C237" s="43" t="s">
        <v>26</v>
      </c>
      <c r="D237" s="43" t="s">
        <v>45</v>
      </c>
      <c r="E237">
        <v>1100</v>
      </c>
      <c r="F237">
        <v>5</v>
      </c>
      <c r="G237">
        <v>300</v>
      </c>
      <c r="H237">
        <v>330000</v>
      </c>
      <c r="I237" s="43" t="s">
        <v>420</v>
      </c>
      <c r="J237">
        <v>313500</v>
      </c>
      <c r="K237">
        <v>275000</v>
      </c>
      <c r="L237" s="43" t="s">
        <v>421</v>
      </c>
      <c r="M237" s="44">
        <v>41609</v>
      </c>
      <c r="N237">
        <v>12</v>
      </c>
      <c r="O237" s="43" t="s">
        <v>25</v>
      </c>
      <c r="P237">
        <v>2013</v>
      </c>
    </row>
    <row r="238" spans="1:16" x14ac:dyDescent="0.2">
      <c r="A238" s="43" t="s">
        <v>15</v>
      </c>
      <c r="B238" s="43" t="s">
        <v>22</v>
      </c>
      <c r="C238" s="43" t="s">
        <v>36</v>
      </c>
      <c r="D238" s="43" t="s">
        <v>45</v>
      </c>
      <c r="E238">
        <v>1303</v>
      </c>
      <c r="F238">
        <v>10</v>
      </c>
      <c r="G238">
        <v>20</v>
      </c>
      <c r="H238">
        <v>26060</v>
      </c>
      <c r="I238" s="43" t="s">
        <v>422</v>
      </c>
      <c r="J238">
        <v>24757</v>
      </c>
      <c r="K238">
        <v>13030</v>
      </c>
      <c r="L238" s="43" t="s">
        <v>423</v>
      </c>
      <c r="M238" s="44">
        <v>41671</v>
      </c>
      <c r="N238">
        <v>2</v>
      </c>
      <c r="O238" s="43" t="s">
        <v>37</v>
      </c>
      <c r="P238">
        <v>2014</v>
      </c>
    </row>
    <row r="239" spans="1:16" x14ac:dyDescent="0.2">
      <c r="A239" s="43" t="s">
        <v>29</v>
      </c>
      <c r="B239" s="43" t="s">
        <v>35</v>
      </c>
      <c r="C239" s="43" t="s">
        <v>36</v>
      </c>
      <c r="D239" s="43" t="s">
        <v>45</v>
      </c>
      <c r="E239">
        <v>2992</v>
      </c>
      <c r="F239">
        <v>10</v>
      </c>
      <c r="G239">
        <v>125</v>
      </c>
      <c r="H239">
        <v>374000</v>
      </c>
      <c r="I239" s="43" t="s">
        <v>424</v>
      </c>
      <c r="J239">
        <v>355300</v>
      </c>
      <c r="K239">
        <v>359040</v>
      </c>
      <c r="L239" s="43" t="s">
        <v>425</v>
      </c>
      <c r="M239" s="44">
        <v>41699</v>
      </c>
      <c r="N239">
        <v>3</v>
      </c>
      <c r="O239" s="43" t="s">
        <v>27</v>
      </c>
      <c r="P239">
        <v>2014</v>
      </c>
    </row>
    <row r="240" spans="1:16" x14ac:dyDescent="0.2">
      <c r="A240" s="43" t="s">
        <v>29</v>
      </c>
      <c r="B240" s="43" t="s">
        <v>22</v>
      </c>
      <c r="C240" s="43" t="s">
        <v>36</v>
      </c>
      <c r="D240" s="43" t="s">
        <v>45</v>
      </c>
      <c r="E240">
        <v>2385</v>
      </c>
      <c r="F240">
        <v>10</v>
      </c>
      <c r="G240">
        <v>125</v>
      </c>
      <c r="H240">
        <v>298125</v>
      </c>
      <c r="I240" s="43" t="s">
        <v>426</v>
      </c>
      <c r="J240">
        <v>283218.75</v>
      </c>
      <c r="K240">
        <v>286200</v>
      </c>
      <c r="L240" s="43" t="s">
        <v>427</v>
      </c>
      <c r="M240" s="44">
        <v>41699</v>
      </c>
      <c r="N240">
        <v>3</v>
      </c>
      <c r="O240" s="43" t="s">
        <v>27</v>
      </c>
      <c r="P240">
        <v>2014</v>
      </c>
    </row>
    <row r="241" spans="1:16" x14ac:dyDescent="0.2">
      <c r="A241" s="43" t="s">
        <v>31</v>
      </c>
      <c r="B241" s="43" t="s">
        <v>24</v>
      </c>
      <c r="C241" s="43" t="s">
        <v>36</v>
      </c>
      <c r="D241" s="43" t="s">
        <v>45</v>
      </c>
      <c r="E241">
        <v>1607</v>
      </c>
      <c r="F241">
        <v>10</v>
      </c>
      <c r="G241">
        <v>300</v>
      </c>
      <c r="H241">
        <v>482100</v>
      </c>
      <c r="I241" s="43" t="s">
        <v>428</v>
      </c>
      <c r="J241">
        <v>457995</v>
      </c>
      <c r="K241">
        <v>401750</v>
      </c>
      <c r="L241" s="43" t="s">
        <v>429</v>
      </c>
      <c r="M241" s="44">
        <v>41730</v>
      </c>
      <c r="N241">
        <v>4</v>
      </c>
      <c r="O241" s="43" t="s">
        <v>41</v>
      </c>
      <c r="P241">
        <v>2014</v>
      </c>
    </row>
    <row r="242" spans="1:16" x14ac:dyDescent="0.2">
      <c r="A242" s="43" t="s">
        <v>15</v>
      </c>
      <c r="B242" s="43" t="s">
        <v>35</v>
      </c>
      <c r="C242" s="43" t="s">
        <v>36</v>
      </c>
      <c r="D242" s="43" t="s">
        <v>45</v>
      </c>
      <c r="E242">
        <v>2327</v>
      </c>
      <c r="F242">
        <v>10</v>
      </c>
      <c r="G242">
        <v>7</v>
      </c>
      <c r="H242">
        <v>16289</v>
      </c>
      <c r="I242" s="43" t="s">
        <v>430</v>
      </c>
      <c r="J242">
        <v>15474.55</v>
      </c>
      <c r="K242">
        <v>11635</v>
      </c>
      <c r="L242" s="43" t="s">
        <v>431</v>
      </c>
      <c r="M242" s="44">
        <v>41760</v>
      </c>
      <c r="N242">
        <v>5</v>
      </c>
      <c r="O242" s="43" t="s">
        <v>44</v>
      </c>
      <c r="P242">
        <v>2014</v>
      </c>
    </row>
    <row r="243" spans="1:16" x14ac:dyDescent="0.2">
      <c r="A243" s="43" t="s">
        <v>31</v>
      </c>
      <c r="B243" s="43" t="s">
        <v>35</v>
      </c>
      <c r="C243" s="43" t="s">
        <v>36</v>
      </c>
      <c r="D243" s="43" t="s">
        <v>45</v>
      </c>
      <c r="E243">
        <v>991</v>
      </c>
      <c r="F243">
        <v>10</v>
      </c>
      <c r="G243">
        <v>300</v>
      </c>
      <c r="H243">
        <v>297300</v>
      </c>
      <c r="I243" s="43" t="s">
        <v>402</v>
      </c>
      <c r="J243">
        <v>282435</v>
      </c>
      <c r="K243">
        <v>247750</v>
      </c>
      <c r="L243" s="43" t="s">
        <v>403</v>
      </c>
      <c r="M243" s="44">
        <v>41791</v>
      </c>
      <c r="N243">
        <v>6</v>
      </c>
      <c r="O243" s="43" t="s">
        <v>23</v>
      </c>
      <c r="P243">
        <v>2014</v>
      </c>
    </row>
    <row r="244" spans="1:16" x14ac:dyDescent="0.2">
      <c r="A244" s="43" t="s">
        <v>15</v>
      </c>
      <c r="B244" s="43" t="s">
        <v>35</v>
      </c>
      <c r="C244" s="43" t="s">
        <v>36</v>
      </c>
      <c r="D244" s="43" t="s">
        <v>45</v>
      </c>
      <c r="E244">
        <v>602</v>
      </c>
      <c r="F244">
        <v>10</v>
      </c>
      <c r="G244">
        <v>350</v>
      </c>
      <c r="H244">
        <v>210700</v>
      </c>
      <c r="I244" s="43" t="s">
        <v>432</v>
      </c>
      <c r="J244">
        <v>200165</v>
      </c>
      <c r="K244">
        <v>156520</v>
      </c>
      <c r="L244" s="43" t="s">
        <v>433</v>
      </c>
      <c r="M244" s="44">
        <v>41791</v>
      </c>
      <c r="N244">
        <v>6</v>
      </c>
      <c r="O244" s="43" t="s">
        <v>23</v>
      </c>
      <c r="P244">
        <v>2014</v>
      </c>
    </row>
    <row r="245" spans="1:16" x14ac:dyDescent="0.2">
      <c r="A245" s="43" t="s">
        <v>21</v>
      </c>
      <c r="B245" s="43" t="s">
        <v>22</v>
      </c>
      <c r="C245" s="43" t="s">
        <v>36</v>
      </c>
      <c r="D245" s="43" t="s">
        <v>45</v>
      </c>
      <c r="E245">
        <v>2620</v>
      </c>
      <c r="F245">
        <v>10</v>
      </c>
      <c r="G245">
        <v>15</v>
      </c>
      <c r="H245">
        <v>39300</v>
      </c>
      <c r="I245" s="43" t="s">
        <v>434</v>
      </c>
      <c r="J245">
        <v>37335</v>
      </c>
      <c r="K245">
        <v>26200</v>
      </c>
      <c r="L245" s="43" t="s">
        <v>435</v>
      </c>
      <c r="M245" s="44">
        <v>41883</v>
      </c>
      <c r="N245">
        <v>9</v>
      </c>
      <c r="O245" s="43" t="s">
        <v>33</v>
      </c>
      <c r="P245">
        <v>2014</v>
      </c>
    </row>
    <row r="246" spans="1:16" x14ac:dyDescent="0.2">
      <c r="A246" s="43" t="s">
        <v>15</v>
      </c>
      <c r="B246" s="43" t="s">
        <v>16</v>
      </c>
      <c r="C246" s="43" t="s">
        <v>36</v>
      </c>
      <c r="D246" s="43" t="s">
        <v>45</v>
      </c>
      <c r="E246">
        <v>1228</v>
      </c>
      <c r="F246">
        <v>10</v>
      </c>
      <c r="G246">
        <v>350</v>
      </c>
      <c r="H246">
        <v>429800</v>
      </c>
      <c r="I246" s="43" t="s">
        <v>436</v>
      </c>
      <c r="J246">
        <v>408310</v>
      </c>
      <c r="K246">
        <v>319280</v>
      </c>
      <c r="L246" s="43" t="s">
        <v>437</v>
      </c>
      <c r="M246" s="44">
        <v>41548</v>
      </c>
      <c r="N246">
        <v>10</v>
      </c>
      <c r="O246" s="43" t="s">
        <v>34</v>
      </c>
      <c r="P246">
        <v>2013</v>
      </c>
    </row>
    <row r="247" spans="1:16" x14ac:dyDescent="0.2">
      <c r="A247" s="43" t="s">
        <v>15</v>
      </c>
      <c r="B247" s="43" t="s">
        <v>16</v>
      </c>
      <c r="C247" s="43" t="s">
        <v>36</v>
      </c>
      <c r="D247" s="43" t="s">
        <v>45</v>
      </c>
      <c r="E247">
        <v>1389</v>
      </c>
      <c r="F247">
        <v>10</v>
      </c>
      <c r="G247">
        <v>20</v>
      </c>
      <c r="H247">
        <v>27780</v>
      </c>
      <c r="I247" s="43" t="s">
        <v>438</v>
      </c>
      <c r="J247">
        <v>26391</v>
      </c>
      <c r="K247">
        <v>13890</v>
      </c>
      <c r="L247" s="43" t="s">
        <v>439</v>
      </c>
      <c r="M247" s="44">
        <v>41548</v>
      </c>
      <c r="N247">
        <v>10</v>
      </c>
      <c r="O247" s="43" t="s">
        <v>34</v>
      </c>
      <c r="P247">
        <v>2013</v>
      </c>
    </row>
    <row r="248" spans="1:16" x14ac:dyDescent="0.2">
      <c r="A248" s="43" t="s">
        <v>29</v>
      </c>
      <c r="B248" s="43" t="s">
        <v>35</v>
      </c>
      <c r="C248" s="43" t="s">
        <v>36</v>
      </c>
      <c r="D248" s="43" t="s">
        <v>45</v>
      </c>
      <c r="E248">
        <v>861</v>
      </c>
      <c r="F248">
        <v>10</v>
      </c>
      <c r="G248">
        <v>125</v>
      </c>
      <c r="H248">
        <v>107625</v>
      </c>
      <c r="I248" s="43" t="s">
        <v>440</v>
      </c>
      <c r="J248">
        <v>102243.75</v>
      </c>
      <c r="K248">
        <v>103320</v>
      </c>
      <c r="L248" s="43" t="s">
        <v>441</v>
      </c>
      <c r="M248" s="44">
        <v>41913</v>
      </c>
      <c r="N248">
        <v>10</v>
      </c>
      <c r="O248" s="43" t="s">
        <v>34</v>
      </c>
      <c r="P248">
        <v>2014</v>
      </c>
    </row>
    <row r="249" spans="1:16" x14ac:dyDescent="0.2">
      <c r="A249" s="43" t="s">
        <v>29</v>
      </c>
      <c r="B249" s="43" t="s">
        <v>22</v>
      </c>
      <c r="C249" s="43" t="s">
        <v>36</v>
      </c>
      <c r="D249" s="43" t="s">
        <v>45</v>
      </c>
      <c r="E249">
        <v>704</v>
      </c>
      <c r="F249">
        <v>10</v>
      </c>
      <c r="G249">
        <v>125</v>
      </c>
      <c r="H249">
        <v>88000</v>
      </c>
      <c r="I249" s="43" t="s">
        <v>442</v>
      </c>
      <c r="J249">
        <v>83600</v>
      </c>
      <c r="K249">
        <v>84480</v>
      </c>
      <c r="L249" s="43" t="s">
        <v>443</v>
      </c>
      <c r="M249" s="44">
        <v>41548</v>
      </c>
      <c r="N249">
        <v>10</v>
      </c>
      <c r="O249" s="43" t="s">
        <v>34</v>
      </c>
      <c r="P249">
        <v>2013</v>
      </c>
    </row>
    <row r="250" spans="1:16" x14ac:dyDescent="0.2">
      <c r="A250" s="43" t="s">
        <v>15</v>
      </c>
      <c r="B250" s="43" t="s">
        <v>16</v>
      </c>
      <c r="C250" s="43" t="s">
        <v>36</v>
      </c>
      <c r="D250" s="43" t="s">
        <v>45</v>
      </c>
      <c r="E250">
        <v>1802</v>
      </c>
      <c r="F250">
        <v>10</v>
      </c>
      <c r="G250">
        <v>20</v>
      </c>
      <c r="H250">
        <v>36040</v>
      </c>
      <c r="I250" s="43" t="s">
        <v>444</v>
      </c>
      <c r="J250">
        <v>34238</v>
      </c>
      <c r="K250">
        <v>18020</v>
      </c>
      <c r="L250" s="43" t="s">
        <v>445</v>
      </c>
      <c r="M250" s="44">
        <v>41609</v>
      </c>
      <c r="N250">
        <v>12</v>
      </c>
      <c r="O250" s="43" t="s">
        <v>25</v>
      </c>
      <c r="P250">
        <v>2013</v>
      </c>
    </row>
    <row r="251" spans="1:16" x14ac:dyDescent="0.2">
      <c r="A251" s="43" t="s">
        <v>15</v>
      </c>
      <c r="B251" s="43" t="s">
        <v>35</v>
      </c>
      <c r="C251" s="43" t="s">
        <v>36</v>
      </c>
      <c r="D251" s="43" t="s">
        <v>45</v>
      </c>
      <c r="E251">
        <v>2663</v>
      </c>
      <c r="F251">
        <v>10</v>
      </c>
      <c r="G251">
        <v>20</v>
      </c>
      <c r="H251">
        <v>53260</v>
      </c>
      <c r="I251" s="43" t="s">
        <v>446</v>
      </c>
      <c r="J251">
        <v>50597</v>
      </c>
      <c r="K251">
        <v>26630</v>
      </c>
      <c r="L251" s="43" t="s">
        <v>447</v>
      </c>
      <c r="M251" s="44">
        <v>41974</v>
      </c>
      <c r="N251">
        <v>12</v>
      </c>
      <c r="O251" s="43" t="s">
        <v>25</v>
      </c>
      <c r="P251">
        <v>2014</v>
      </c>
    </row>
    <row r="252" spans="1:16" x14ac:dyDescent="0.2">
      <c r="A252" s="43" t="s">
        <v>15</v>
      </c>
      <c r="B252" s="43" t="s">
        <v>22</v>
      </c>
      <c r="C252" s="43" t="s">
        <v>36</v>
      </c>
      <c r="D252" s="43" t="s">
        <v>45</v>
      </c>
      <c r="E252">
        <v>2136</v>
      </c>
      <c r="F252">
        <v>10</v>
      </c>
      <c r="G252">
        <v>7</v>
      </c>
      <c r="H252">
        <v>14952</v>
      </c>
      <c r="I252" s="43" t="s">
        <v>448</v>
      </c>
      <c r="J252">
        <v>14204.4</v>
      </c>
      <c r="K252">
        <v>10680</v>
      </c>
      <c r="L252" s="43" t="s">
        <v>449</v>
      </c>
      <c r="M252" s="44">
        <v>41609</v>
      </c>
      <c r="N252">
        <v>12</v>
      </c>
      <c r="O252" s="43" t="s">
        <v>25</v>
      </c>
      <c r="P252">
        <v>2013</v>
      </c>
    </row>
    <row r="253" spans="1:16" x14ac:dyDescent="0.2">
      <c r="A253" s="43" t="s">
        <v>21</v>
      </c>
      <c r="B253" s="43" t="s">
        <v>20</v>
      </c>
      <c r="C253" s="43" t="s">
        <v>36</v>
      </c>
      <c r="D253" s="43" t="s">
        <v>45</v>
      </c>
      <c r="E253">
        <v>2116</v>
      </c>
      <c r="F253">
        <v>10</v>
      </c>
      <c r="G253">
        <v>15</v>
      </c>
      <c r="H253">
        <v>31740</v>
      </c>
      <c r="I253" s="43" t="s">
        <v>450</v>
      </c>
      <c r="J253">
        <v>30153</v>
      </c>
      <c r="K253">
        <v>21160</v>
      </c>
      <c r="L253" s="43" t="s">
        <v>451</v>
      </c>
      <c r="M253" s="44">
        <v>41609</v>
      </c>
      <c r="N253">
        <v>12</v>
      </c>
      <c r="O253" s="43" t="s">
        <v>25</v>
      </c>
      <c r="P253">
        <v>2013</v>
      </c>
    </row>
    <row r="254" spans="1:16" x14ac:dyDescent="0.2">
      <c r="A254" s="43" t="s">
        <v>21</v>
      </c>
      <c r="B254" s="43" t="s">
        <v>35</v>
      </c>
      <c r="C254" s="43" t="s">
        <v>39</v>
      </c>
      <c r="D254" s="43" t="s">
        <v>45</v>
      </c>
      <c r="E254">
        <v>555</v>
      </c>
      <c r="F254">
        <v>120</v>
      </c>
      <c r="G254">
        <v>15</v>
      </c>
      <c r="H254">
        <v>8325</v>
      </c>
      <c r="I254" s="43" t="s">
        <v>452</v>
      </c>
      <c r="J254">
        <v>7908.75</v>
      </c>
      <c r="K254">
        <v>5550</v>
      </c>
      <c r="L254" s="43" t="s">
        <v>453</v>
      </c>
      <c r="M254" s="44">
        <v>41640</v>
      </c>
      <c r="N254">
        <v>1</v>
      </c>
      <c r="O254" s="43" t="s">
        <v>19</v>
      </c>
      <c r="P254">
        <v>2014</v>
      </c>
    </row>
    <row r="255" spans="1:16" x14ac:dyDescent="0.2">
      <c r="A255" s="43" t="s">
        <v>21</v>
      </c>
      <c r="B255" s="43" t="s">
        <v>24</v>
      </c>
      <c r="C255" s="43" t="s">
        <v>39</v>
      </c>
      <c r="D255" s="43" t="s">
        <v>45</v>
      </c>
      <c r="E255">
        <v>2861</v>
      </c>
      <c r="F255">
        <v>120</v>
      </c>
      <c r="G255">
        <v>15</v>
      </c>
      <c r="H255">
        <v>42915</v>
      </c>
      <c r="I255" s="43" t="s">
        <v>454</v>
      </c>
      <c r="J255">
        <v>40769.25</v>
      </c>
      <c r="K255">
        <v>28610</v>
      </c>
      <c r="L255" s="43" t="s">
        <v>455</v>
      </c>
      <c r="M255" s="44">
        <v>41640</v>
      </c>
      <c r="N255">
        <v>1</v>
      </c>
      <c r="O255" s="43" t="s">
        <v>19</v>
      </c>
      <c r="P255">
        <v>2014</v>
      </c>
    </row>
    <row r="256" spans="1:16" x14ac:dyDescent="0.2">
      <c r="A256" s="43" t="s">
        <v>29</v>
      </c>
      <c r="B256" s="43" t="s">
        <v>20</v>
      </c>
      <c r="C256" s="43" t="s">
        <v>39</v>
      </c>
      <c r="D256" s="43" t="s">
        <v>45</v>
      </c>
      <c r="E256">
        <v>807</v>
      </c>
      <c r="F256">
        <v>120</v>
      </c>
      <c r="G256">
        <v>125</v>
      </c>
      <c r="H256">
        <v>100875</v>
      </c>
      <c r="I256" s="43" t="s">
        <v>456</v>
      </c>
      <c r="J256">
        <v>95831.25</v>
      </c>
      <c r="K256">
        <v>96840</v>
      </c>
      <c r="L256" s="43" t="s">
        <v>457</v>
      </c>
      <c r="M256" s="44">
        <v>41671</v>
      </c>
      <c r="N256">
        <v>2</v>
      </c>
      <c r="O256" s="43" t="s">
        <v>37</v>
      </c>
      <c r="P256">
        <v>2014</v>
      </c>
    </row>
    <row r="257" spans="1:16" x14ac:dyDescent="0.2">
      <c r="A257" s="43" t="s">
        <v>15</v>
      </c>
      <c r="B257" s="43" t="s">
        <v>35</v>
      </c>
      <c r="C257" s="43" t="s">
        <v>39</v>
      </c>
      <c r="D257" s="43" t="s">
        <v>45</v>
      </c>
      <c r="E257">
        <v>602</v>
      </c>
      <c r="F257">
        <v>120</v>
      </c>
      <c r="G257">
        <v>350</v>
      </c>
      <c r="H257">
        <v>210700</v>
      </c>
      <c r="I257" s="43" t="s">
        <v>432</v>
      </c>
      <c r="J257">
        <v>200165</v>
      </c>
      <c r="K257">
        <v>156520</v>
      </c>
      <c r="L257" s="43" t="s">
        <v>433</v>
      </c>
      <c r="M257" s="44">
        <v>41791</v>
      </c>
      <c r="N257">
        <v>6</v>
      </c>
      <c r="O257" s="43" t="s">
        <v>23</v>
      </c>
      <c r="P257">
        <v>2014</v>
      </c>
    </row>
    <row r="258" spans="1:16" x14ac:dyDescent="0.2">
      <c r="A258" s="43" t="s">
        <v>15</v>
      </c>
      <c r="B258" s="43" t="s">
        <v>35</v>
      </c>
      <c r="C258" s="43" t="s">
        <v>39</v>
      </c>
      <c r="D258" s="43" t="s">
        <v>45</v>
      </c>
      <c r="E258">
        <v>2832</v>
      </c>
      <c r="F258">
        <v>120</v>
      </c>
      <c r="G258">
        <v>20</v>
      </c>
      <c r="H258">
        <v>56640</v>
      </c>
      <c r="I258" s="43" t="s">
        <v>458</v>
      </c>
      <c r="J258">
        <v>53808</v>
      </c>
      <c r="K258">
        <v>28320</v>
      </c>
      <c r="L258" s="43" t="s">
        <v>459</v>
      </c>
      <c r="M258" s="44">
        <v>41852</v>
      </c>
      <c r="N258">
        <v>8</v>
      </c>
      <c r="O258" s="43" t="s">
        <v>32</v>
      </c>
      <c r="P258">
        <v>2014</v>
      </c>
    </row>
    <row r="259" spans="1:16" x14ac:dyDescent="0.2">
      <c r="A259" s="43" t="s">
        <v>15</v>
      </c>
      <c r="B259" s="43" t="s">
        <v>22</v>
      </c>
      <c r="C259" s="43" t="s">
        <v>39</v>
      </c>
      <c r="D259" s="43" t="s">
        <v>45</v>
      </c>
      <c r="E259">
        <v>1579</v>
      </c>
      <c r="F259">
        <v>120</v>
      </c>
      <c r="G259">
        <v>20</v>
      </c>
      <c r="H259">
        <v>31580</v>
      </c>
      <c r="I259" s="43" t="s">
        <v>460</v>
      </c>
      <c r="J259">
        <v>30001</v>
      </c>
      <c r="K259">
        <v>15790</v>
      </c>
      <c r="L259" s="43" t="s">
        <v>461</v>
      </c>
      <c r="M259" s="44">
        <v>41852</v>
      </c>
      <c r="N259">
        <v>8</v>
      </c>
      <c r="O259" s="43" t="s">
        <v>32</v>
      </c>
      <c r="P259">
        <v>2014</v>
      </c>
    </row>
    <row r="260" spans="1:16" x14ac:dyDescent="0.2">
      <c r="A260" s="43" t="s">
        <v>29</v>
      </c>
      <c r="B260" s="43" t="s">
        <v>35</v>
      </c>
      <c r="C260" s="43" t="s">
        <v>39</v>
      </c>
      <c r="D260" s="43" t="s">
        <v>45</v>
      </c>
      <c r="E260">
        <v>861</v>
      </c>
      <c r="F260">
        <v>120</v>
      </c>
      <c r="G260">
        <v>125</v>
      </c>
      <c r="H260">
        <v>107625</v>
      </c>
      <c r="I260" s="43" t="s">
        <v>440</v>
      </c>
      <c r="J260">
        <v>102243.75</v>
      </c>
      <c r="K260">
        <v>103320</v>
      </c>
      <c r="L260" s="43" t="s">
        <v>441</v>
      </c>
      <c r="M260" s="44">
        <v>41913</v>
      </c>
      <c r="N260">
        <v>10</v>
      </c>
      <c r="O260" s="43" t="s">
        <v>34</v>
      </c>
      <c r="P260">
        <v>2014</v>
      </c>
    </row>
    <row r="261" spans="1:16" x14ac:dyDescent="0.2">
      <c r="A261" s="43" t="s">
        <v>29</v>
      </c>
      <c r="B261" s="43" t="s">
        <v>22</v>
      </c>
      <c r="C261" s="43" t="s">
        <v>39</v>
      </c>
      <c r="D261" s="43" t="s">
        <v>45</v>
      </c>
      <c r="E261">
        <v>704</v>
      </c>
      <c r="F261">
        <v>120</v>
      </c>
      <c r="G261">
        <v>125</v>
      </c>
      <c r="H261">
        <v>88000</v>
      </c>
      <c r="I261" s="43" t="s">
        <v>442</v>
      </c>
      <c r="J261">
        <v>83600</v>
      </c>
      <c r="K261">
        <v>84480</v>
      </c>
      <c r="L261" s="43" t="s">
        <v>443</v>
      </c>
      <c r="M261" s="44">
        <v>41548</v>
      </c>
      <c r="N261">
        <v>10</v>
      </c>
      <c r="O261" s="43" t="s">
        <v>34</v>
      </c>
      <c r="P261">
        <v>2013</v>
      </c>
    </row>
    <row r="262" spans="1:16" x14ac:dyDescent="0.2">
      <c r="A262" s="43" t="s">
        <v>15</v>
      </c>
      <c r="B262" s="43" t="s">
        <v>22</v>
      </c>
      <c r="C262" s="43" t="s">
        <v>39</v>
      </c>
      <c r="D262" s="43" t="s">
        <v>45</v>
      </c>
      <c r="E262">
        <v>1033</v>
      </c>
      <c r="F262">
        <v>120</v>
      </c>
      <c r="G262">
        <v>20</v>
      </c>
      <c r="H262">
        <v>20660</v>
      </c>
      <c r="I262" s="43" t="s">
        <v>462</v>
      </c>
      <c r="J262">
        <v>19627</v>
      </c>
      <c r="K262">
        <v>10330</v>
      </c>
      <c r="L262" s="43" t="s">
        <v>463</v>
      </c>
      <c r="M262" s="44">
        <v>41609</v>
      </c>
      <c r="N262">
        <v>12</v>
      </c>
      <c r="O262" s="43" t="s">
        <v>25</v>
      </c>
      <c r="P262">
        <v>2013</v>
      </c>
    </row>
    <row r="263" spans="1:16" x14ac:dyDescent="0.2">
      <c r="A263" s="43" t="s">
        <v>31</v>
      </c>
      <c r="B263" s="43" t="s">
        <v>20</v>
      </c>
      <c r="C263" s="43" t="s">
        <v>39</v>
      </c>
      <c r="D263" s="43" t="s">
        <v>45</v>
      </c>
      <c r="E263">
        <v>1250</v>
      </c>
      <c r="F263">
        <v>120</v>
      </c>
      <c r="G263">
        <v>300</v>
      </c>
      <c r="H263">
        <v>375000</v>
      </c>
      <c r="I263" s="43" t="s">
        <v>464</v>
      </c>
      <c r="J263">
        <v>356250</v>
      </c>
      <c r="K263">
        <v>312500</v>
      </c>
      <c r="L263" s="43" t="s">
        <v>465</v>
      </c>
      <c r="M263" s="44">
        <v>41974</v>
      </c>
      <c r="N263">
        <v>12</v>
      </c>
      <c r="O263" s="43" t="s">
        <v>25</v>
      </c>
      <c r="P263">
        <v>2014</v>
      </c>
    </row>
    <row r="264" spans="1:16" x14ac:dyDescent="0.2">
      <c r="A264" s="43" t="s">
        <v>15</v>
      </c>
      <c r="B264" s="43" t="s">
        <v>16</v>
      </c>
      <c r="C264" s="43" t="s">
        <v>40</v>
      </c>
      <c r="D264" s="43" t="s">
        <v>45</v>
      </c>
      <c r="E264">
        <v>1389</v>
      </c>
      <c r="F264">
        <v>250</v>
      </c>
      <c r="G264">
        <v>20</v>
      </c>
      <c r="H264">
        <v>27780</v>
      </c>
      <c r="I264" s="43" t="s">
        <v>438</v>
      </c>
      <c r="J264">
        <v>26391</v>
      </c>
      <c r="K264">
        <v>13890</v>
      </c>
      <c r="L264" s="43" t="s">
        <v>439</v>
      </c>
      <c r="M264" s="44">
        <v>41548</v>
      </c>
      <c r="N264">
        <v>10</v>
      </c>
      <c r="O264" s="43" t="s">
        <v>34</v>
      </c>
      <c r="P264">
        <v>2013</v>
      </c>
    </row>
    <row r="265" spans="1:16" x14ac:dyDescent="0.2">
      <c r="A265" s="43" t="s">
        <v>15</v>
      </c>
      <c r="B265" s="43" t="s">
        <v>35</v>
      </c>
      <c r="C265" s="43" t="s">
        <v>40</v>
      </c>
      <c r="D265" s="43" t="s">
        <v>45</v>
      </c>
      <c r="E265">
        <v>1265</v>
      </c>
      <c r="F265">
        <v>250</v>
      </c>
      <c r="G265">
        <v>20</v>
      </c>
      <c r="H265">
        <v>25300</v>
      </c>
      <c r="I265" s="43" t="s">
        <v>466</v>
      </c>
      <c r="J265">
        <v>24035</v>
      </c>
      <c r="K265">
        <v>12650</v>
      </c>
      <c r="L265" s="43" t="s">
        <v>467</v>
      </c>
      <c r="M265" s="44">
        <v>41579</v>
      </c>
      <c r="N265">
        <v>11</v>
      </c>
      <c r="O265" s="43" t="s">
        <v>38</v>
      </c>
      <c r="P265">
        <v>2013</v>
      </c>
    </row>
    <row r="266" spans="1:16" x14ac:dyDescent="0.2">
      <c r="A266" s="43" t="s">
        <v>15</v>
      </c>
      <c r="B266" s="43" t="s">
        <v>20</v>
      </c>
      <c r="C266" s="43" t="s">
        <v>40</v>
      </c>
      <c r="D266" s="43" t="s">
        <v>45</v>
      </c>
      <c r="E266">
        <v>2297</v>
      </c>
      <c r="F266">
        <v>250</v>
      </c>
      <c r="G266">
        <v>20</v>
      </c>
      <c r="H266">
        <v>45940</v>
      </c>
      <c r="I266" s="43" t="s">
        <v>468</v>
      </c>
      <c r="J266">
        <v>43643</v>
      </c>
      <c r="K266">
        <v>22970</v>
      </c>
      <c r="L266" s="43" t="s">
        <v>469</v>
      </c>
      <c r="M266" s="44">
        <v>41579</v>
      </c>
      <c r="N266">
        <v>11</v>
      </c>
      <c r="O266" s="43" t="s">
        <v>38</v>
      </c>
      <c r="P266">
        <v>2013</v>
      </c>
    </row>
    <row r="267" spans="1:16" x14ac:dyDescent="0.2">
      <c r="A267" s="43" t="s">
        <v>15</v>
      </c>
      <c r="B267" s="43" t="s">
        <v>35</v>
      </c>
      <c r="C267" s="43" t="s">
        <v>40</v>
      </c>
      <c r="D267" s="43" t="s">
        <v>45</v>
      </c>
      <c r="E267">
        <v>2663</v>
      </c>
      <c r="F267">
        <v>250</v>
      </c>
      <c r="G267">
        <v>20</v>
      </c>
      <c r="H267">
        <v>53260</v>
      </c>
      <c r="I267" s="43" t="s">
        <v>446</v>
      </c>
      <c r="J267">
        <v>50597</v>
      </c>
      <c r="K267">
        <v>26630</v>
      </c>
      <c r="L267" s="43" t="s">
        <v>447</v>
      </c>
      <c r="M267" s="44">
        <v>41974</v>
      </c>
      <c r="N267">
        <v>12</v>
      </c>
      <c r="O267" s="43" t="s">
        <v>25</v>
      </c>
      <c r="P267">
        <v>2014</v>
      </c>
    </row>
    <row r="268" spans="1:16" x14ac:dyDescent="0.2">
      <c r="A268" s="43" t="s">
        <v>15</v>
      </c>
      <c r="B268" s="43" t="s">
        <v>35</v>
      </c>
      <c r="C268" s="43" t="s">
        <v>40</v>
      </c>
      <c r="D268" s="43" t="s">
        <v>45</v>
      </c>
      <c r="E268">
        <v>570</v>
      </c>
      <c r="F268">
        <v>250</v>
      </c>
      <c r="G268">
        <v>7</v>
      </c>
      <c r="H268">
        <v>3990</v>
      </c>
      <c r="I268" s="43" t="s">
        <v>408</v>
      </c>
      <c r="J268">
        <v>3790.5</v>
      </c>
      <c r="K268">
        <v>2850</v>
      </c>
      <c r="L268" s="43" t="s">
        <v>409</v>
      </c>
      <c r="M268" s="44">
        <v>41974</v>
      </c>
      <c r="N268">
        <v>12</v>
      </c>
      <c r="O268" s="43" t="s">
        <v>25</v>
      </c>
      <c r="P268">
        <v>2014</v>
      </c>
    </row>
    <row r="269" spans="1:16" x14ac:dyDescent="0.2">
      <c r="A269" s="43" t="s">
        <v>15</v>
      </c>
      <c r="B269" s="43" t="s">
        <v>22</v>
      </c>
      <c r="C269" s="43" t="s">
        <v>40</v>
      </c>
      <c r="D269" s="43" t="s">
        <v>45</v>
      </c>
      <c r="E269">
        <v>2487</v>
      </c>
      <c r="F269">
        <v>250</v>
      </c>
      <c r="G269">
        <v>7</v>
      </c>
      <c r="H269">
        <v>17409</v>
      </c>
      <c r="I269" s="43" t="s">
        <v>410</v>
      </c>
      <c r="J269">
        <v>16538.55</v>
      </c>
      <c r="K269">
        <v>12435</v>
      </c>
      <c r="L269" s="43" t="s">
        <v>411</v>
      </c>
      <c r="M269" s="44">
        <v>41974</v>
      </c>
      <c r="N269">
        <v>12</v>
      </c>
      <c r="O269" s="43" t="s">
        <v>25</v>
      </c>
      <c r="P269">
        <v>2014</v>
      </c>
    </row>
    <row r="270" spans="1:16" x14ac:dyDescent="0.2">
      <c r="A270" s="43" t="s">
        <v>15</v>
      </c>
      <c r="B270" s="43" t="s">
        <v>20</v>
      </c>
      <c r="C270" s="43" t="s">
        <v>42</v>
      </c>
      <c r="D270" s="43" t="s">
        <v>45</v>
      </c>
      <c r="E270">
        <v>1350</v>
      </c>
      <c r="F270">
        <v>260</v>
      </c>
      <c r="G270">
        <v>350</v>
      </c>
      <c r="H270">
        <v>472500</v>
      </c>
      <c r="I270" s="43" t="s">
        <v>470</v>
      </c>
      <c r="J270">
        <v>448875</v>
      </c>
      <c r="K270">
        <v>351000</v>
      </c>
      <c r="L270" s="43" t="s">
        <v>471</v>
      </c>
      <c r="M270" s="44">
        <v>41671</v>
      </c>
      <c r="N270">
        <v>2</v>
      </c>
      <c r="O270" s="43" t="s">
        <v>37</v>
      </c>
      <c r="P270">
        <v>2014</v>
      </c>
    </row>
    <row r="271" spans="1:16" x14ac:dyDescent="0.2">
      <c r="A271" s="43" t="s">
        <v>15</v>
      </c>
      <c r="B271" s="43" t="s">
        <v>16</v>
      </c>
      <c r="C271" s="43" t="s">
        <v>42</v>
      </c>
      <c r="D271" s="43" t="s">
        <v>45</v>
      </c>
      <c r="E271">
        <v>552</v>
      </c>
      <c r="F271">
        <v>260</v>
      </c>
      <c r="G271">
        <v>350</v>
      </c>
      <c r="H271">
        <v>193200</v>
      </c>
      <c r="I271" s="43" t="s">
        <v>472</v>
      </c>
      <c r="J271">
        <v>183540</v>
      </c>
      <c r="K271">
        <v>143520</v>
      </c>
      <c r="L271" s="43" t="s">
        <v>473</v>
      </c>
      <c r="M271" s="44">
        <v>41852</v>
      </c>
      <c r="N271">
        <v>8</v>
      </c>
      <c r="O271" s="43" t="s">
        <v>32</v>
      </c>
      <c r="P271">
        <v>2014</v>
      </c>
    </row>
    <row r="272" spans="1:16" x14ac:dyDescent="0.2">
      <c r="A272" s="43" t="s">
        <v>15</v>
      </c>
      <c r="B272" s="43" t="s">
        <v>16</v>
      </c>
      <c r="C272" s="43" t="s">
        <v>42</v>
      </c>
      <c r="D272" s="43" t="s">
        <v>45</v>
      </c>
      <c r="E272">
        <v>1228</v>
      </c>
      <c r="F272">
        <v>260</v>
      </c>
      <c r="G272">
        <v>350</v>
      </c>
      <c r="H272">
        <v>429800</v>
      </c>
      <c r="I272" s="43" t="s">
        <v>436</v>
      </c>
      <c r="J272">
        <v>408310</v>
      </c>
      <c r="K272">
        <v>319280</v>
      </c>
      <c r="L272" s="43" t="s">
        <v>437</v>
      </c>
      <c r="M272" s="44">
        <v>41548</v>
      </c>
      <c r="N272">
        <v>10</v>
      </c>
      <c r="O272" s="43" t="s">
        <v>34</v>
      </c>
      <c r="P272">
        <v>2013</v>
      </c>
    </row>
    <row r="273" spans="1:16" x14ac:dyDescent="0.2">
      <c r="A273" s="43" t="s">
        <v>31</v>
      </c>
      <c r="B273" s="43" t="s">
        <v>20</v>
      </c>
      <c r="C273" s="43" t="s">
        <v>42</v>
      </c>
      <c r="D273" s="43" t="s">
        <v>45</v>
      </c>
      <c r="E273">
        <v>1250</v>
      </c>
      <c r="F273">
        <v>260</v>
      </c>
      <c r="G273">
        <v>300</v>
      </c>
      <c r="H273">
        <v>375000</v>
      </c>
      <c r="I273" s="43" t="s">
        <v>464</v>
      </c>
      <c r="J273">
        <v>356250</v>
      </c>
      <c r="K273">
        <v>312500</v>
      </c>
      <c r="L273" s="43" t="s">
        <v>465</v>
      </c>
      <c r="M273" s="44">
        <v>41974</v>
      </c>
      <c r="N273">
        <v>12</v>
      </c>
      <c r="O273" s="43" t="s">
        <v>25</v>
      </c>
      <c r="P273">
        <v>2014</v>
      </c>
    </row>
    <row r="274" spans="1:16" x14ac:dyDescent="0.2">
      <c r="A274" s="43" t="s">
        <v>21</v>
      </c>
      <c r="B274" s="43" t="s">
        <v>22</v>
      </c>
      <c r="C274" s="43" t="s">
        <v>36</v>
      </c>
      <c r="D274" s="43" t="s">
        <v>45</v>
      </c>
      <c r="E274">
        <v>3801</v>
      </c>
      <c r="F274">
        <v>10</v>
      </c>
      <c r="G274">
        <v>15</v>
      </c>
      <c r="H274">
        <v>57015</v>
      </c>
      <c r="I274" s="43" t="s">
        <v>474</v>
      </c>
      <c r="J274">
        <v>53594.1</v>
      </c>
      <c r="K274">
        <v>38010</v>
      </c>
      <c r="L274" s="43" t="s">
        <v>475</v>
      </c>
      <c r="M274" s="44">
        <v>41730</v>
      </c>
      <c r="N274">
        <v>4</v>
      </c>
      <c r="O274" s="43" t="s">
        <v>41</v>
      </c>
      <c r="P274">
        <v>2014</v>
      </c>
    </row>
    <row r="275" spans="1:16" x14ac:dyDescent="0.2">
      <c r="A275" s="43" t="s">
        <v>15</v>
      </c>
      <c r="B275" s="43" t="s">
        <v>35</v>
      </c>
      <c r="C275" s="43" t="s">
        <v>17</v>
      </c>
      <c r="D275" s="43" t="s">
        <v>45</v>
      </c>
      <c r="E275">
        <v>1117.5</v>
      </c>
      <c r="F275">
        <v>3</v>
      </c>
      <c r="G275">
        <v>20</v>
      </c>
      <c r="H275">
        <v>22350</v>
      </c>
      <c r="I275" s="43" t="s">
        <v>476</v>
      </c>
      <c r="J275">
        <v>21009</v>
      </c>
      <c r="K275">
        <v>11175</v>
      </c>
      <c r="L275" s="43" t="s">
        <v>477</v>
      </c>
      <c r="M275" s="44">
        <v>41640</v>
      </c>
      <c r="N275">
        <v>1</v>
      </c>
      <c r="O275" s="43" t="s">
        <v>19</v>
      </c>
      <c r="P275">
        <v>2014</v>
      </c>
    </row>
    <row r="276" spans="1:16" x14ac:dyDescent="0.2">
      <c r="A276" s="43" t="s">
        <v>21</v>
      </c>
      <c r="B276" s="43" t="s">
        <v>16</v>
      </c>
      <c r="C276" s="43" t="s">
        <v>17</v>
      </c>
      <c r="D276" s="43" t="s">
        <v>45</v>
      </c>
      <c r="E276">
        <v>2844</v>
      </c>
      <c r="F276">
        <v>3</v>
      </c>
      <c r="G276">
        <v>15</v>
      </c>
      <c r="H276">
        <v>42660</v>
      </c>
      <c r="I276" s="43" t="s">
        <v>478</v>
      </c>
      <c r="J276">
        <v>40100.400000000001</v>
      </c>
      <c r="K276">
        <v>28440</v>
      </c>
      <c r="L276" s="43" t="s">
        <v>479</v>
      </c>
      <c r="M276" s="44">
        <v>41791</v>
      </c>
      <c r="N276">
        <v>6</v>
      </c>
      <c r="O276" s="43" t="s">
        <v>23</v>
      </c>
      <c r="P276">
        <v>2014</v>
      </c>
    </row>
    <row r="277" spans="1:16" x14ac:dyDescent="0.2">
      <c r="A277" s="43" t="s">
        <v>28</v>
      </c>
      <c r="B277" s="43" t="s">
        <v>24</v>
      </c>
      <c r="C277" s="43" t="s">
        <v>17</v>
      </c>
      <c r="D277" s="43" t="s">
        <v>45</v>
      </c>
      <c r="E277">
        <v>562</v>
      </c>
      <c r="F277">
        <v>3</v>
      </c>
      <c r="G277">
        <v>12</v>
      </c>
      <c r="H277">
        <v>6744</v>
      </c>
      <c r="I277" s="43" t="s">
        <v>480</v>
      </c>
      <c r="J277">
        <v>6339.36</v>
      </c>
      <c r="K277">
        <v>1686</v>
      </c>
      <c r="L277" s="43" t="s">
        <v>481</v>
      </c>
      <c r="M277" s="44">
        <v>41883</v>
      </c>
      <c r="N277">
        <v>9</v>
      </c>
      <c r="O277" s="43" t="s">
        <v>33</v>
      </c>
      <c r="P277">
        <v>2014</v>
      </c>
    </row>
    <row r="278" spans="1:16" x14ac:dyDescent="0.2">
      <c r="A278" s="43" t="s">
        <v>28</v>
      </c>
      <c r="B278" s="43" t="s">
        <v>16</v>
      </c>
      <c r="C278" s="43" t="s">
        <v>17</v>
      </c>
      <c r="D278" s="43" t="s">
        <v>45</v>
      </c>
      <c r="E278">
        <v>2299</v>
      </c>
      <c r="F278">
        <v>3</v>
      </c>
      <c r="G278">
        <v>12</v>
      </c>
      <c r="H278">
        <v>27588</v>
      </c>
      <c r="I278" s="43" t="s">
        <v>482</v>
      </c>
      <c r="J278">
        <v>25932.720000000001</v>
      </c>
      <c r="K278">
        <v>6897</v>
      </c>
      <c r="L278" s="43" t="s">
        <v>483</v>
      </c>
      <c r="M278" s="44">
        <v>41548</v>
      </c>
      <c r="N278">
        <v>10</v>
      </c>
      <c r="O278" s="43" t="s">
        <v>34</v>
      </c>
      <c r="P278">
        <v>2013</v>
      </c>
    </row>
    <row r="279" spans="1:16" x14ac:dyDescent="0.2">
      <c r="A279" s="43" t="s">
        <v>21</v>
      </c>
      <c r="B279" s="43" t="s">
        <v>35</v>
      </c>
      <c r="C279" s="43" t="s">
        <v>17</v>
      </c>
      <c r="D279" s="43" t="s">
        <v>45</v>
      </c>
      <c r="E279">
        <v>2030</v>
      </c>
      <c r="F279">
        <v>3</v>
      </c>
      <c r="G279">
        <v>15</v>
      </c>
      <c r="H279">
        <v>30450</v>
      </c>
      <c r="I279" s="43" t="s">
        <v>484</v>
      </c>
      <c r="J279">
        <v>28623</v>
      </c>
      <c r="K279">
        <v>20300</v>
      </c>
      <c r="L279" s="43" t="s">
        <v>485</v>
      </c>
      <c r="M279" s="44">
        <v>41944</v>
      </c>
      <c r="N279">
        <v>11</v>
      </c>
      <c r="O279" s="43" t="s">
        <v>38</v>
      </c>
      <c r="P279">
        <v>2014</v>
      </c>
    </row>
    <row r="280" spans="1:16" x14ac:dyDescent="0.2">
      <c r="A280" s="43" t="s">
        <v>15</v>
      </c>
      <c r="B280" s="43" t="s">
        <v>35</v>
      </c>
      <c r="C280" s="43" t="s">
        <v>17</v>
      </c>
      <c r="D280" s="43" t="s">
        <v>45</v>
      </c>
      <c r="E280">
        <v>263</v>
      </c>
      <c r="F280">
        <v>3</v>
      </c>
      <c r="G280">
        <v>7</v>
      </c>
      <c r="H280">
        <v>1841</v>
      </c>
      <c r="I280" s="43" t="s">
        <v>486</v>
      </c>
      <c r="J280">
        <v>1730.54</v>
      </c>
      <c r="K280">
        <v>1315</v>
      </c>
      <c r="L280" s="43" t="s">
        <v>487</v>
      </c>
      <c r="M280" s="44">
        <v>41579</v>
      </c>
      <c r="N280">
        <v>11</v>
      </c>
      <c r="O280" s="43" t="s">
        <v>38</v>
      </c>
      <c r="P280">
        <v>2013</v>
      </c>
    </row>
    <row r="281" spans="1:16" x14ac:dyDescent="0.2">
      <c r="A281" s="43" t="s">
        <v>29</v>
      </c>
      <c r="B281" s="43" t="s">
        <v>20</v>
      </c>
      <c r="C281" s="43" t="s">
        <v>17</v>
      </c>
      <c r="D281" s="43" t="s">
        <v>45</v>
      </c>
      <c r="E281">
        <v>887</v>
      </c>
      <c r="F281">
        <v>3</v>
      </c>
      <c r="G281">
        <v>125</v>
      </c>
      <c r="H281">
        <v>110875</v>
      </c>
      <c r="I281" s="43" t="s">
        <v>304</v>
      </c>
      <c r="J281">
        <v>104222.5</v>
      </c>
      <c r="K281">
        <v>106440</v>
      </c>
      <c r="L281" s="43" t="s">
        <v>488</v>
      </c>
      <c r="M281" s="44">
        <v>41609</v>
      </c>
      <c r="N281">
        <v>12</v>
      </c>
      <c r="O281" s="43" t="s">
        <v>25</v>
      </c>
      <c r="P281">
        <v>2013</v>
      </c>
    </row>
    <row r="282" spans="1:16" x14ac:dyDescent="0.2">
      <c r="A282" s="43" t="s">
        <v>15</v>
      </c>
      <c r="B282" s="43" t="s">
        <v>24</v>
      </c>
      <c r="C282" s="43" t="s">
        <v>26</v>
      </c>
      <c r="D282" s="43" t="s">
        <v>45</v>
      </c>
      <c r="E282">
        <v>980</v>
      </c>
      <c r="F282">
        <v>5</v>
      </c>
      <c r="G282">
        <v>350</v>
      </c>
      <c r="H282">
        <v>343000</v>
      </c>
      <c r="I282" s="43" t="s">
        <v>489</v>
      </c>
      <c r="J282">
        <v>322420</v>
      </c>
      <c r="K282">
        <v>254800</v>
      </c>
      <c r="L282" s="43" t="s">
        <v>490</v>
      </c>
      <c r="M282" s="44">
        <v>41730</v>
      </c>
      <c r="N282">
        <v>4</v>
      </c>
      <c r="O282" s="43" t="s">
        <v>41</v>
      </c>
      <c r="P282">
        <v>2014</v>
      </c>
    </row>
    <row r="283" spans="1:16" x14ac:dyDescent="0.2">
      <c r="A283" s="43" t="s">
        <v>15</v>
      </c>
      <c r="B283" s="43" t="s">
        <v>20</v>
      </c>
      <c r="C283" s="43" t="s">
        <v>26</v>
      </c>
      <c r="D283" s="43" t="s">
        <v>45</v>
      </c>
      <c r="E283">
        <v>1460</v>
      </c>
      <c r="F283">
        <v>5</v>
      </c>
      <c r="G283">
        <v>350</v>
      </c>
      <c r="H283">
        <v>511000</v>
      </c>
      <c r="I283" s="43" t="s">
        <v>491</v>
      </c>
      <c r="J283">
        <v>480340</v>
      </c>
      <c r="K283">
        <v>379600</v>
      </c>
      <c r="L283" s="43" t="s">
        <v>492</v>
      </c>
      <c r="M283" s="44">
        <v>41760</v>
      </c>
      <c r="N283">
        <v>5</v>
      </c>
      <c r="O283" s="43" t="s">
        <v>44</v>
      </c>
      <c r="P283">
        <v>2014</v>
      </c>
    </row>
    <row r="284" spans="1:16" x14ac:dyDescent="0.2">
      <c r="A284" s="43" t="s">
        <v>15</v>
      </c>
      <c r="B284" s="43" t="s">
        <v>22</v>
      </c>
      <c r="C284" s="43" t="s">
        <v>26</v>
      </c>
      <c r="D284" s="43" t="s">
        <v>45</v>
      </c>
      <c r="E284">
        <v>1403</v>
      </c>
      <c r="F284">
        <v>5</v>
      </c>
      <c r="G284">
        <v>7</v>
      </c>
      <c r="H284">
        <v>9821</v>
      </c>
      <c r="I284" s="43" t="s">
        <v>493</v>
      </c>
      <c r="J284">
        <v>9231.74</v>
      </c>
      <c r="K284">
        <v>7015</v>
      </c>
      <c r="L284" s="43" t="s">
        <v>494</v>
      </c>
      <c r="M284" s="44">
        <v>41548</v>
      </c>
      <c r="N284">
        <v>10</v>
      </c>
      <c r="O284" s="43" t="s">
        <v>34</v>
      </c>
      <c r="P284">
        <v>2013</v>
      </c>
    </row>
    <row r="285" spans="1:16" x14ac:dyDescent="0.2">
      <c r="A285" s="43" t="s">
        <v>28</v>
      </c>
      <c r="B285" s="43" t="s">
        <v>35</v>
      </c>
      <c r="C285" s="43" t="s">
        <v>26</v>
      </c>
      <c r="D285" s="43" t="s">
        <v>45</v>
      </c>
      <c r="E285">
        <v>2723</v>
      </c>
      <c r="F285">
        <v>5</v>
      </c>
      <c r="G285">
        <v>12</v>
      </c>
      <c r="H285">
        <v>32676</v>
      </c>
      <c r="I285" s="43" t="s">
        <v>495</v>
      </c>
      <c r="J285">
        <v>30715.439999999999</v>
      </c>
      <c r="K285">
        <v>8169</v>
      </c>
      <c r="L285" s="43" t="s">
        <v>496</v>
      </c>
      <c r="M285" s="44">
        <v>41944</v>
      </c>
      <c r="N285">
        <v>11</v>
      </c>
      <c r="O285" s="43" t="s">
        <v>38</v>
      </c>
      <c r="P285">
        <v>2014</v>
      </c>
    </row>
    <row r="286" spans="1:16" x14ac:dyDescent="0.2">
      <c r="A286" s="43" t="s">
        <v>15</v>
      </c>
      <c r="B286" s="43" t="s">
        <v>22</v>
      </c>
      <c r="C286" s="43" t="s">
        <v>36</v>
      </c>
      <c r="D286" s="43" t="s">
        <v>45</v>
      </c>
      <c r="E286">
        <v>1496</v>
      </c>
      <c r="F286">
        <v>10</v>
      </c>
      <c r="G286">
        <v>350</v>
      </c>
      <c r="H286">
        <v>523600</v>
      </c>
      <c r="I286" s="43" t="s">
        <v>497</v>
      </c>
      <c r="J286">
        <v>492184</v>
      </c>
      <c r="K286">
        <v>388960</v>
      </c>
      <c r="L286" s="43" t="s">
        <v>498</v>
      </c>
      <c r="M286" s="44">
        <v>41791</v>
      </c>
      <c r="N286">
        <v>6</v>
      </c>
      <c r="O286" s="43" t="s">
        <v>23</v>
      </c>
      <c r="P286">
        <v>2014</v>
      </c>
    </row>
    <row r="287" spans="1:16" x14ac:dyDescent="0.2">
      <c r="A287" s="43" t="s">
        <v>28</v>
      </c>
      <c r="B287" s="43" t="s">
        <v>16</v>
      </c>
      <c r="C287" s="43" t="s">
        <v>36</v>
      </c>
      <c r="D287" s="43" t="s">
        <v>45</v>
      </c>
      <c r="E287">
        <v>2299</v>
      </c>
      <c r="F287">
        <v>10</v>
      </c>
      <c r="G287">
        <v>12</v>
      </c>
      <c r="H287">
        <v>27588</v>
      </c>
      <c r="I287" s="43" t="s">
        <v>482</v>
      </c>
      <c r="J287">
        <v>25932.720000000001</v>
      </c>
      <c r="K287">
        <v>6897</v>
      </c>
      <c r="L287" s="43" t="s">
        <v>483</v>
      </c>
      <c r="M287" s="44">
        <v>41548</v>
      </c>
      <c r="N287">
        <v>10</v>
      </c>
      <c r="O287" s="43" t="s">
        <v>34</v>
      </c>
      <c r="P287">
        <v>2013</v>
      </c>
    </row>
    <row r="288" spans="1:16" x14ac:dyDescent="0.2">
      <c r="A288" s="43" t="s">
        <v>15</v>
      </c>
      <c r="B288" s="43" t="s">
        <v>35</v>
      </c>
      <c r="C288" s="43" t="s">
        <v>36</v>
      </c>
      <c r="D288" s="43" t="s">
        <v>45</v>
      </c>
      <c r="E288">
        <v>727</v>
      </c>
      <c r="F288">
        <v>10</v>
      </c>
      <c r="G288">
        <v>350</v>
      </c>
      <c r="H288">
        <v>254450</v>
      </c>
      <c r="I288" s="43" t="s">
        <v>499</v>
      </c>
      <c r="J288">
        <v>239183</v>
      </c>
      <c r="K288">
        <v>189020</v>
      </c>
      <c r="L288" s="43" t="s">
        <v>500</v>
      </c>
      <c r="M288" s="44">
        <v>41548</v>
      </c>
      <c r="N288">
        <v>10</v>
      </c>
      <c r="O288" s="43" t="s">
        <v>34</v>
      </c>
      <c r="P288">
        <v>2013</v>
      </c>
    </row>
    <row r="289" spans="1:16" x14ac:dyDescent="0.2">
      <c r="A289" s="43" t="s">
        <v>29</v>
      </c>
      <c r="B289" s="43" t="s">
        <v>16</v>
      </c>
      <c r="C289" s="43" t="s">
        <v>39</v>
      </c>
      <c r="D289" s="43" t="s">
        <v>45</v>
      </c>
      <c r="E289">
        <v>952</v>
      </c>
      <c r="F289">
        <v>120</v>
      </c>
      <c r="G289">
        <v>125</v>
      </c>
      <c r="H289">
        <v>119000</v>
      </c>
      <c r="I289" s="43" t="s">
        <v>501</v>
      </c>
      <c r="J289">
        <v>111860</v>
      </c>
      <c r="K289">
        <v>114240</v>
      </c>
      <c r="L289" s="43" t="s">
        <v>502</v>
      </c>
      <c r="M289" s="44">
        <v>41671</v>
      </c>
      <c r="N289">
        <v>2</v>
      </c>
      <c r="O289" s="43" t="s">
        <v>37</v>
      </c>
      <c r="P289">
        <v>2014</v>
      </c>
    </row>
    <row r="290" spans="1:16" x14ac:dyDescent="0.2">
      <c r="A290" s="43" t="s">
        <v>29</v>
      </c>
      <c r="B290" s="43" t="s">
        <v>35</v>
      </c>
      <c r="C290" s="43" t="s">
        <v>39</v>
      </c>
      <c r="D290" s="43" t="s">
        <v>45</v>
      </c>
      <c r="E290">
        <v>2755</v>
      </c>
      <c r="F290">
        <v>120</v>
      </c>
      <c r="G290">
        <v>125</v>
      </c>
      <c r="H290">
        <v>344375</v>
      </c>
      <c r="I290" s="43" t="s">
        <v>503</v>
      </c>
      <c r="J290">
        <v>323712.5</v>
      </c>
      <c r="K290">
        <v>330600</v>
      </c>
      <c r="L290" s="43" t="s">
        <v>504</v>
      </c>
      <c r="M290" s="44">
        <v>41671</v>
      </c>
      <c r="N290">
        <v>2</v>
      </c>
      <c r="O290" s="43" t="s">
        <v>37</v>
      </c>
      <c r="P290">
        <v>2014</v>
      </c>
    </row>
    <row r="291" spans="1:16" x14ac:dyDescent="0.2">
      <c r="A291" s="43" t="s">
        <v>21</v>
      </c>
      <c r="B291" s="43" t="s">
        <v>20</v>
      </c>
      <c r="C291" s="43" t="s">
        <v>39</v>
      </c>
      <c r="D291" s="43" t="s">
        <v>45</v>
      </c>
      <c r="E291">
        <v>1530</v>
      </c>
      <c r="F291">
        <v>120</v>
      </c>
      <c r="G291">
        <v>15</v>
      </c>
      <c r="H291">
        <v>22950</v>
      </c>
      <c r="I291" s="43" t="s">
        <v>505</v>
      </c>
      <c r="J291">
        <v>21573</v>
      </c>
      <c r="K291">
        <v>15300</v>
      </c>
      <c r="L291" s="43" t="s">
        <v>506</v>
      </c>
      <c r="M291" s="44">
        <v>41760</v>
      </c>
      <c r="N291">
        <v>5</v>
      </c>
      <c r="O291" s="43" t="s">
        <v>44</v>
      </c>
      <c r="P291">
        <v>2014</v>
      </c>
    </row>
    <row r="292" spans="1:16" x14ac:dyDescent="0.2">
      <c r="A292" s="43" t="s">
        <v>15</v>
      </c>
      <c r="B292" s="43" t="s">
        <v>22</v>
      </c>
      <c r="C292" s="43" t="s">
        <v>39</v>
      </c>
      <c r="D292" s="43" t="s">
        <v>45</v>
      </c>
      <c r="E292">
        <v>1496</v>
      </c>
      <c r="F292">
        <v>120</v>
      </c>
      <c r="G292">
        <v>350</v>
      </c>
      <c r="H292">
        <v>523600</v>
      </c>
      <c r="I292" s="43" t="s">
        <v>497</v>
      </c>
      <c r="J292">
        <v>492184</v>
      </c>
      <c r="K292">
        <v>388960</v>
      </c>
      <c r="L292" s="43" t="s">
        <v>498</v>
      </c>
      <c r="M292" s="44">
        <v>41791</v>
      </c>
      <c r="N292">
        <v>6</v>
      </c>
      <c r="O292" s="43" t="s">
        <v>23</v>
      </c>
      <c r="P292">
        <v>2014</v>
      </c>
    </row>
    <row r="293" spans="1:16" x14ac:dyDescent="0.2">
      <c r="A293" s="43" t="s">
        <v>15</v>
      </c>
      <c r="B293" s="43" t="s">
        <v>24</v>
      </c>
      <c r="C293" s="43" t="s">
        <v>39</v>
      </c>
      <c r="D293" s="43" t="s">
        <v>45</v>
      </c>
      <c r="E293">
        <v>1498</v>
      </c>
      <c r="F293">
        <v>120</v>
      </c>
      <c r="G293">
        <v>7</v>
      </c>
      <c r="H293">
        <v>10486</v>
      </c>
      <c r="I293" s="43" t="s">
        <v>507</v>
      </c>
      <c r="J293">
        <v>9856.84</v>
      </c>
      <c r="K293">
        <v>7490</v>
      </c>
      <c r="L293" s="43" t="s">
        <v>508</v>
      </c>
      <c r="M293" s="44">
        <v>41791</v>
      </c>
      <c r="N293">
        <v>6</v>
      </c>
      <c r="O293" s="43" t="s">
        <v>23</v>
      </c>
      <c r="P293">
        <v>2014</v>
      </c>
    </row>
    <row r="294" spans="1:16" x14ac:dyDescent="0.2">
      <c r="A294" s="43" t="s">
        <v>31</v>
      </c>
      <c r="B294" s="43" t="s">
        <v>22</v>
      </c>
      <c r="C294" s="43" t="s">
        <v>39</v>
      </c>
      <c r="D294" s="43" t="s">
        <v>45</v>
      </c>
      <c r="E294">
        <v>1221</v>
      </c>
      <c r="F294">
        <v>120</v>
      </c>
      <c r="G294">
        <v>300</v>
      </c>
      <c r="H294">
        <v>366300</v>
      </c>
      <c r="I294" s="43" t="s">
        <v>509</v>
      </c>
      <c r="J294">
        <v>344322</v>
      </c>
      <c r="K294">
        <v>305250</v>
      </c>
      <c r="L294" s="43" t="s">
        <v>510</v>
      </c>
      <c r="M294" s="44">
        <v>41548</v>
      </c>
      <c r="N294">
        <v>10</v>
      </c>
      <c r="O294" s="43" t="s">
        <v>34</v>
      </c>
      <c r="P294">
        <v>2013</v>
      </c>
    </row>
    <row r="295" spans="1:16" x14ac:dyDescent="0.2">
      <c r="A295" s="43" t="s">
        <v>15</v>
      </c>
      <c r="B295" s="43" t="s">
        <v>22</v>
      </c>
      <c r="C295" s="43" t="s">
        <v>39</v>
      </c>
      <c r="D295" s="43" t="s">
        <v>45</v>
      </c>
      <c r="E295">
        <v>2076</v>
      </c>
      <c r="F295">
        <v>120</v>
      </c>
      <c r="G295">
        <v>350</v>
      </c>
      <c r="H295">
        <v>726600</v>
      </c>
      <c r="I295" s="43" t="s">
        <v>511</v>
      </c>
      <c r="J295">
        <v>683004</v>
      </c>
      <c r="K295">
        <v>539760</v>
      </c>
      <c r="L295" s="43" t="s">
        <v>512</v>
      </c>
      <c r="M295" s="44">
        <v>41548</v>
      </c>
      <c r="N295">
        <v>10</v>
      </c>
      <c r="O295" s="43" t="s">
        <v>34</v>
      </c>
      <c r="P295">
        <v>2013</v>
      </c>
    </row>
    <row r="296" spans="1:16" x14ac:dyDescent="0.2">
      <c r="A296" s="43" t="s">
        <v>21</v>
      </c>
      <c r="B296" s="43" t="s">
        <v>16</v>
      </c>
      <c r="C296" s="43" t="s">
        <v>40</v>
      </c>
      <c r="D296" s="43" t="s">
        <v>45</v>
      </c>
      <c r="E296">
        <v>2844</v>
      </c>
      <c r="F296">
        <v>250</v>
      </c>
      <c r="G296">
        <v>15</v>
      </c>
      <c r="H296">
        <v>42660</v>
      </c>
      <c r="I296" s="43" t="s">
        <v>478</v>
      </c>
      <c r="J296">
        <v>40100.400000000001</v>
      </c>
      <c r="K296">
        <v>28440</v>
      </c>
      <c r="L296" s="43" t="s">
        <v>479</v>
      </c>
      <c r="M296" s="44">
        <v>41791</v>
      </c>
      <c r="N296">
        <v>6</v>
      </c>
      <c r="O296" s="43" t="s">
        <v>23</v>
      </c>
      <c r="P296">
        <v>2014</v>
      </c>
    </row>
    <row r="297" spans="1:16" x14ac:dyDescent="0.2">
      <c r="A297" s="43" t="s">
        <v>15</v>
      </c>
      <c r="B297" s="43" t="s">
        <v>24</v>
      </c>
      <c r="C297" s="43" t="s">
        <v>40</v>
      </c>
      <c r="D297" s="43" t="s">
        <v>45</v>
      </c>
      <c r="E297">
        <v>1498</v>
      </c>
      <c r="F297">
        <v>250</v>
      </c>
      <c r="G297">
        <v>7</v>
      </c>
      <c r="H297">
        <v>10486</v>
      </c>
      <c r="I297" s="43" t="s">
        <v>507</v>
      </c>
      <c r="J297">
        <v>9856.84</v>
      </c>
      <c r="K297">
        <v>7490</v>
      </c>
      <c r="L297" s="43" t="s">
        <v>508</v>
      </c>
      <c r="M297" s="44">
        <v>41791</v>
      </c>
      <c r="N297">
        <v>6</v>
      </c>
      <c r="O297" s="43" t="s">
        <v>23</v>
      </c>
      <c r="P297">
        <v>2014</v>
      </c>
    </row>
    <row r="298" spans="1:16" x14ac:dyDescent="0.2">
      <c r="A298" s="43" t="s">
        <v>31</v>
      </c>
      <c r="B298" s="43" t="s">
        <v>22</v>
      </c>
      <c r="C298" s="43" t="s">
        <v>40</v>
      </c>
      <c r="D298" s="43" t="s">
        <v>45</v>
      </c>
      <c r="E298">
        <v>1221</v>
      </c>
      <c r="F298">
        <v>250</v>
      </c>
      <c r="G298">
        <v>300</v>
      </c>
      <c r="H298">
        <v>366300</v>
      </c>
      <c r="I298" s="43" t="s">
        <v>509</v>
      </c>
      <c r="J298">
        <v>344322</v>
      </c>
      <c r="K298">
        <v>305250</v>
      </c>
      <c r="L298" s="43" t="s">
        <v>510</v>
      </c>
      <c r="M298" s="44">
        <v>41548</v>
      </c>
      <c r="N298">
        <v>10</v>
      </c>
      <c r="O298" s="43" t="s">
        <v>34</v>
      </c>
      <c r="P298">
        <v>2013</v>
      </c>
    </row>
    <row r="299" spans="1:16" x14ac:dyDescent="0.2">
      <c r="A299" s="43" t="s">
        <v>15</v>
      </c>
      <c r="B299" s="43" t="s">
        <v>24</v>
      </c>
      <c r="C299" s="43" t="s">
        <v>40</v>
      </c>
      <c r="D299" s="43" t="s">
        <v>45</v>
      </c>
      <c r="E299">
        <v>1123</v>
      </c>
      <c r="F299">
        <v>250</v>
      </c>
      <c r="G299">
        <v>20</v>
      </c>
      <c r="H299">
        <v>22460</v>
      </c>
      <c r="I299" s="43" t="s">
        <v>513</v>
      </c>
      <c r="J299">
        <v>21112.400000000001</v>
      </c>
      <c r="K299">
        <v>11230</v>
      </c>
      <c r="L299" s="43" t="s">
        <v>514</v>
      </c>
      <c r="M299" s="44">
        <v>41579</v>
      </c>
      <c r="N299">
        <v>11</v>
      </c>
      <c r="O299" s="43" t="s">
        <v>38</v>
      </c>
      <c r="P299">
        <v>2013</v>
      </c>
    </row>
    <row r="300" spans="1:16" x14ac:dyDescent="0.2">
      <c r="A300" s="43" t="s">
        <v>31</v>
      </c>
      <c r="B300" s="43" t="s">
        <v>16</v>
      </c>
      <c r="C300" s="43" t="s">
        <v>40</v>
      </c>
      <c r="D300" s="43" t="s">
        <v>45</v>
      </c>
      <c r="E300">
        <v>2436</v>
      </c>
      <c r="F300">
        <v>250</v>
      </c>
      <c r="G300">
        <v>300</v>
      </c>
      <c r="H300">
        <v>730800</v>
      </c>
      <c r="I300" s="43" t="s">
        <v>515</v>
      </c>
      <c r="J300">
        <v>686952</v>
      </c>
      <c r="K300">
        <v>609000</v>
      </c>
      <c r="L300" s="43" t="s">
        <v>516</v>
      </c>
      <c r="M300" s="44">
        <v>41609</v>
      </c>
      <c r="N300">
        <v>12</v>
      </c>
      <c r="O300" s="43" t="s">
        <v>25</v>
      </c>
      <c r="P300">
        <v>2013</v>
      </c>
    </row>
    <row r="301" spans="1:16" x14ac:dyDescent="0.2">
      <c r="A301" s="43" t="s">
        <v>29</v>
      </c>
      <c r="B301" s="43" t="s">
        <v>22</v>
      </c>
      <c r="C301" s="43" t="s">
        <v>42</v>
      </c>
      <c r="D301" s="43" t="s">
        <v>45</v>
      </c>
      <c r="E301">
        <v>1987.5</v>
      </c>
      <c r="F301">
        <v>260</v>
      </c>
      <c r="G301">
        <v>125</v>
      </c>
      <c r="H301">
        <v>248437.5</v>
      </c>
      <c r="I301" s="43" t="s">
        <v>426</v>
      </c>
      <c r="J301">
        <v>233531.25</v>
      </c>
      <c r="K301">
        <v>238500</v>
      </c>
      <c r="L301" s="43" t="s">
        <v>517</v>
      </c>
      <c r="M301" s="44">
        <v>41640</v>
      </c>
      <c r="N301">
        <v>1</v>
      </c>
      <c r="O301" s="43" t="s">
        <v>19</v>
      </c>
      <c r="P301">
        <v>2014</v>
      </c>
    </row>
    <row r="302" spans="1:16" x14ac:dyDescent="0.2">
      <c r="A302" s="43" t="s">
        <v>15</v>
      </c>
      <c r="B302" s="43" t="s">
        <v>24</v>
      </c>
      <c r="C302" s="43" t="s">
        <v>42</v>
      </c>
      <c r="D302" s="43" t="s">
        <v>45</v>
      </c>
      <c r="E302">
        <v>1679</v>
      </c>
      <c r="F302">
        <v>260</v>
      </c>
      <c r="G302">
        <v>350</v>
      </c>
      <c r="H302">
        <v>587650</v>
      </c>
      <c r="I302" s="43" t="s">
        <v>518</v>
      </c>
      <c r="J302">
        <v>552391</v>
      </c>
      <c r="K302">
        <v>436540</v>
      </c>
      <c r="L302" s="43" t="s">
        <v>519</v>
      </c>
      <c r="M302" s="44">
        <v>41883</v>
      </c>
      <c r="N302">
        <v>9</v>
      </c>
      <c r="O302" s="43" t="s">
        <v>33</v>
      </c>
      <c r="P302">
        <v>2014</v>
      </c>
    </row>
    <row r="303" spans="1:16" x14ac:dyDescent="0.2">
      <c r="A303" s="43" t="s">
        <v>15</v>
      </c>
      <c r="B303" s="43" t="s">
        <v>35</v>
      </c>
      <c r="C303" s="43" t="s">
        <v>42</v>
      </c>
      <c r="D303" s="43" t="s">
        <v>45</v>
      </c>
      <c r="E303">
        <v>727</v>
      </c>
      <c r="F303">
        <v>260</v>
      </c>
      <c r="G303">
        <v>350</v>
      </c>
      <c r="H303">
        <v>254450</v>
      </c>
      <c r="I303" s="43" t="s">
        <v>499</v>
      </c>
      <c r="J303">
        <v>239183</v>
      </c>
      <c r="K303">
        <v>189020</v>
      </c>
      <c r="L303" s="43" t="s">
        <v>500</v>
      </c>
      <c r="M303" s="44">
        <v>41548</v>
      </c>
      <c r="N303">
        <v>10</v>
      </c>
      <c r="O303" s="43" t="s">
        <v>34</v>
      </c>
      <c r="P303">
        <v>2013</v>
      </c>
    </row>
    <row r="304" spans="1:16" x14ac:dyDescent="0.2">
      <c r="A304" s="43" t="s">
        <v>15</v>
      </c>
      <c r="B304" s="43" t="s">
        <v>22</v>
      </c>
      <c r="C304" s="43" t="s">
        <v>42</v>
      </c>
      <c r="D304" s="43" t="s">
        <v>45</v>
      </c>
      <c r="E304">
        <v>1403</v>
      </c>
      <c r="F304">
        <v>260</v>
      </c>
      <c r="G304">
        <v>7</v>
      </c>
      <c r="H304">
        <v>9821</v>
      </c>
      <c r="I304" s="43" t="s">
        <v>493</v>
      </c>
      <c r="J304">
        <v>9231.74</v>
      </c>
      <c r="K304">
        <v>7015</v>
      </c>
      <c r="L304" s="43" t="s">
        <v>494</v>
      </c>
      <c r="M304" s="44">
        <v>41548</v>
      </c>
      <c r="N304">
        <v>10</v>
      </c>
      <c r="O304" s="43" t="s">
        <v>34</v>
      </c>
      <c r="P304">
        <v>2013</v>
      </c>
    </row>
    <row r="305" spans="1:16" x14ac:dyDescent="0.2">
      <c r="A305" s="43" t="s">
        <v>15</v>
      </c>
      <c r="B305" s="43" t="s">
        <v>22</v>
      </c>
      <c r="C305" s="43" t="s">
        <v>42</v>
      </c>
      <c r="D305" s="43" t="s">
        <v>45</v>
      </c>
      <c r="E305">
        <v>2076</v>
      </c>
      <c r="F305">
        <v>260</v>
      </c>
      <c r="G305">
        <v>350</v>
      </c>
      <c r="H305">
        <v>726600</v>
      </c>
      <c r="I305" s="43" t="s">
        <v>511</v>
      </c>
      <c r="J305">
        <v>683004</v>
      </c>
      <c r="K305">
        <v>539760</v>
      </c>
      <c r="L305" s="43" t="s">
        <v>512</v>
      </c>
      <c r="M305" s="44">
        <v>41548</v>
      </c>
      <c r="N305">
        <v>10</v>
      </c>
      <c r="O305" s="43" t="s">
        <v>34</v>
      </c>
      <c r="P305">
        <v>2013</v>
      </c>
    </row>
    <row r="306" spans="1:16" x14ac:dyDescent="0.2">
      <c r="A306" s="43" t="s">
        <v>15</v>
      </c>
      <c r="B306" s="43" t="s">
        <v>22</v>
      </c>
      <c r="C306" s="43" t="s">
        <v>26</v>
      </c>
      <c r="D306" s="43" t="s">
        <v>45</v>
      </c>
      <c r="E306">
        <v>1757</v>
      </c>
      <c r="F306">
        <v>5</v>
      </c>
      <c r="G306">
        <v>20</v>
      </c>
      <c r="H306">
        <v>35140</v>
      </c>
      <c r="I306" s="43" t="s">
        <v>520</v>
      </c>
      <c r="J306">
        <v>33031.599999999999</v>
      </c>
      <c r="K306">
        <v>17570</v>
      </c>
      <c r="L306" s="43" t="s">
        <v>521</v>
      </c>
      <c r="M306" s="44">
        <v>41548</v>
      </c>
      <c r="N306">
        <v>10</v>
      </c>
      <c r="O306" s="43" t="s">
        <v>34</v>
      </c>
      <c r="P306">
        <v>2013</v>
      </c>
    </row>
    <row r="307" spans="1:16" x14ac:dyDescent="0.2">
      <c r="A307" s="43" t="s">
        <v>21</v>
      </c>
      <c r="B307" s="43" t="s">
        <v>35</v>
      </c>
      <c r="C307" s="43" t="s">
        <v>36</v>
      </c>
      <c r="D307" s="43" t="s">
        <v>45</v>
      </c>
      <c r="E307">
        <v>2198</v>
      </c>
      <c r="F307">
        <v>10</v>
      </c>
      <c r="G307">
        <v>15</v>
      </c>
      <c r="H307">
        <v>32970</v>
      </c>
      <c r="I307" s="43" t="s">
        <v>522</v>
      </c>
      <c r="J307">
        <v>30991.8</v>
      </c>
      <c r="K307">
        <v>21980</v>
      </c>
      <c r="L307" s="43" t="s">
        <v>523</v>
      </c>
      <c r="M307" s="44">
        <v>41852</v>
      </c>
      <c r="N307">
        <v>8</v>
      </c>
      <c r="O307" s="43" t="s">
        <v>32</v>
      </c>
      <c r="P307">
        <v>2014</v>
      </c>
    </row>
    <row r="308" spans="1:16" x14ac:dyDescent="0.2">
      <c r="A308" s="43" t="s">
        <v>21</v>
      </c>
      <c r="B308" s="43" t="s">
        <v>20</v>
      </c>
      <c r="C308" s="43" t="s">
        <v>36</v>
      </c>
      <c r="D308" s="43" t="s">
        <v>45</v>
      </c>
      <c r="E308">
        <v>1743</v>
      </c>
      <c r="F308">
        <v>10</v>
      </c>
      <c r="G308">
        <v>15</v>
      </c>
      <c r="H308">
        <v>26145</v>
      </c>
      <c r="I308" s="43" t="s">
        <v>524</v>
      </c>
      <c r="J308">
        <v>24576.3</v>
      </c>
      <c r="K308">
        <v>17430</v>
      </c>
      <c r="L308" s="43" t="s">
        <v>525</v>
      </c>
      <c r="M308" s="44">
        <v>41852</v>
      </c>
      <c r="N308">
        <v>8</v>
      </c>
      <c r="O308" s="43" t="s">
        <v>32</v>
      </c>
      <c r="P308">
        <v>2014</v>
      </c>
    </row>
    <row r="309" spans="1:16" x14ac:dyDescent="0.2">
      <c r="A309" s="43" t="s">
        <v>21</v>
      </c>
      <c r="B309" s="43" t="s">
        <v>35</v>
      </c>
      <c r="C309" s="43" t="s">
        <v>36</v>
      </c>
      <c r="D309" s="43" t="s">
        <v>45</v>
      </c>
      <c r="E309">
        <v>1153</v>
      </c>
      <c r="F309">
        <v>10</v>
      </c>
      <c r="G309">
        <v>15</v>
      </c>
      <c r="H309">
        <v>17295</v>
      </c>
      <c r="I309" s="43" t="s">
        <v>526</v>
      </c>
      <c r="J309">
        <v>16257.3</v>
      </c>
      <c r="K309">
        <v>11530</v>
      </c>
      <c r="L309" s="43" t="s">
        <v>527</v>
      </c>
      <c r="M309" s="44">
        <v>41913</v>
      </c>
      <c r="N309">
        <v>10</v>
      </c>
      <c r="O309" s="43" t="s">
        <v>34</v>
      </c>
      <c r="P309">
        <v>2014</v>
      </c>
    </row>
    <row r="310" spans="1:16" x14ac:dyDescent="0.2">
      <c r="A310" s="43" t="s">
        <v>15</v>
      </c>
      <c r="B310" s="43" t="s">
        <v>22</v>
      </c>
      <c r="C310" s="43" t="s">
        <v>36</v>
      </c>
      <c r="D310" s="43" t="s">
        <v>45</v>
      </c>
      <c r="E310">
        <v>1757</v>
      </c>
      <c r="F310">
        <v>10</v>
      </c>
      <c r="G310">
        <v>20</v>
      </c>
      <c r="H310">
        <v>35140</v>
      </c>
      <c r="I310" s="43" t="s">
        <v>520</v>
      </c>
      <c r="J310">
        <v>33031.599999999999</v>
      </c>
      <c r="K310">
        <v>17570</v>
      </c>
      <c r="L310" s="43" t="s">
        <v>521</v>
      </c>
      <c r="M310" s="44">
        <v>41548</v>
      </c>
      <c r="N310">
        <v>10</v>
      </c>
      <c r="O310" s="43" t="s">
        <v>34</v>
      </c>
      <c r="P310">
        <v>2013</v>
      </c>
    </row>
    <row r="311" spans="1:16" x14ac:dyDescent="0.2">
      <c r="A311" s="43" t="s">
        <v>15</v>
      </c>
      <c r="B311" s="43" t="s">
        <v>20</v>
      </c>
      <c r="C311" s="43" t="s">
        <v>39</v>
      </c>
      <c r="D311" s="43" t="s">
        <v>45</v>
      </c>
      <c r="E311">
        <v>1001</v>
      </c>
      <c r="F311">
        <v>120</v>
      </c>
      <c r="G311">
        <v>20</v>
      </c>
      <c r="H311">
        <v>20020</v>
      </c>
      <c r="I311" s="43" t="s">
        <v>528</v>
      </c>
      <c r="J311">
        <v>18818.8</v>
      </c>
      <c r="K311">
        <v>10010</v>
      </c>
      <c r="L311" s="43" t="s">
        <v>529</v>
      </c>
      <c r="M311" s="44">
        <v>41852</v>
      </c>
      <c r="N311">
        <v>8</v>
      </c>
      <c r="O311" s="43" t="s">
        <v>32</v>
      </c>
      <c r="P311">
        <v>2014</v>
      </c>
    </row>
    <row r="312" spans="1:16" x14ac:dyDescent="0.2">
      <c r="A312" s="43" t="s">
        <v>15</v>
      </c>
      <c r="B312" s="43" t="s">
        <v>24</v>
      </c>
      <c r="C312" s="43" t="s">
        <v>39</v>
      </c>
      <c r="D312" s="43" t="s">
        <v>45</v>
      </c>
      <c r="E312">
        <v>1333</v>
      </c>
      <c r="F312">
        <v>120</v>
      </c>
      <c r="G312">
        <v>7</v>
      </c>
      <c r="H312">
        <v>9331</v>
      </c>
      <c r="I312" s="43" t="s">
        <v>530</v>
      </c>
      <c r="J312">
        <v>8771.14</v>
      </c>
      <c r="K312">
        <v>6665</v>
      </c>
      <c r="L312" s="43" t="s">
        <v>531</v>
      </c>
      <c r="M312" s="44">
        <v>41944</v>
      </c>
      <c r="N312">
        <v>11</v>
      </c>
      <c r="O312" s="43" t="s">
        <v>38</v>
      </c>
      <c r="P312">
        <v>2014</v>
      </c>
    </row>
    <row r="313" spans="1:16" x14ac:dyDescent="0.2">
      <c r="A313" s="43" t="s">
        <v>21</v>
      </c>
      <c r="B313" s="43" t="s">
        <v>35</v>
      </c>
      <c r="C313" s="43" t="s">
        <v>40</v>
      </c>
      <c r="D313" s="43" t="s">
        <v>45</v>
      </c>
      <c r="E313">
        <v>1153</v>
      </c>
      <c r="F313">
        <v>250</v>
      </c>
      <c r="G313">
        <v>15</v>
      </c>
      <c r="H313">
        <v>17295</v>
      </c>
      <c r="I313" s="43" t="s">
        <v>526</v>
      </c>
      <c r="J313">
        <v>16257.3</v>
      </c>
      <c r="K313">
        <v>11530</v>
      </c>
      <c r="L313" s="43" t="s">
        <v>527</v>
      </c>
      <c r="M313" s="44">
        <v>41913</v>
      </c>
      <c r="N313">
        <v>10</v>
      </c>
      <c r="O313" s="43" t="s">
        <v>34</v>
      </c>
      <c r="P313">
        <v>2014</v>
      </c>
    </row>
    <row r="314" spans="1:16" x14ac:dyDescent="0.2">
      <c r="A314" s="43" t="s">
        <v>28</v>
      </c>
      <c r="B314" s="43" t="s">
        <v>24</v>
      </c>
      <c r="C314" s="43" t="s">
        <v>17</v>
      </c>
      <c r="D314" s="43" t="s">
        <v>45</v>
      </c>
      <c r="E314">
        <v>727</v>
      </c>
      <c r="F314">
        <v>3</v>
      </c>
      <c r="G314">
        <v>12</v>
      </c>
      <c r="H314">
        <v>8724</v>
      </c>
      <c r="I314" s="43" t="s">
        <v>532</v>
      </c>
      <c r="J314">
        <v>8113.32</v>
      </c>
      <c r="K314">
        <v>2181</v>
      </c>
      <c r="L314" s="43" t="s">
        <v>533</v>
      </c>
      <c r="M314" s="44">
        <v>41671</v>
      </c>
      <c r="N314">
        <v>2</v>
      </c>
      <c r="O314" s="43" t="s">
        <v>37</v>
      </c>
      <c r="P314">
        <v>2014</v>
      </c>
    </row>
    <row r="315" spans="1:16" x14ac:dyDescent="0.2">
      <c r="A315" s="43" t="s">
        <v>28</v>
      </c>
      <c r="B315" s="43" t="s">
        <v>16</v>
      </c>
      <c r="C315" s="43" t="s">
        <v>17</v>
      </c>
      <c r="D315" s="43" t="s">
        <v>45</v>
      </c>
      <c r="E315">
        <v>1884</v>
      </c>
      <c r="F315">
        <v>3</v>
      </c>
      <c r="G315">
        <v>12</v>
      </c>
      <c r="H315">
        <v>22608</v>
      </c>
      <c r="I315" s="43" t="s">
        <v>534</v>
      </c>
      <c r="J315">
        <v>21025.439999999999</v>
      </c>
      <c r="K315">
        <v>5652</v>
      </c>
      <c r="L315" s="43" t="s">
        <v>535</v>
      </c>
      <c r="M315" s="44">
        <v>41852</v>
      </c>
      <c r="N315">
        <v>8</v>
      </c>
      <c r="O315" s="43" t="s">
        <v>32</v>
      </c>
      <c r="P315">
        <v>2014</v>
      </c>
    </row>
    <row r="316" spans="1:16" x14ac:dyDescent="0.2">
      <c r="A316" s="43" t="s">
        <v>15</v>
      </c>
      <c r="B316" s="43" t="s">
        <v>24</v>
      </c>
      <c r="C316" s="43" t="s">
        <v>17</v>
      </c>
      <c r="D316" s="43" t="s">
        <v>45</v>
      </c>
      <c r="E316">
        <v>1834</v>
      </c>
      <c r="F316">
        <v>3</v>
      </c>
      <c r="G316">
        <v>20</v>
      </c>
      <c r="H316">
        <v>36680</v>
      </c>
      <c r="I316" s="43" t="s">
        <v>536</v>
      </c>
      <c r="J316">
        <v>34112.400000000001</v>
      </c>
      <c r="K316">
        <v>18340</v>
      </c>
      <c r="L316" s="43" t="s">
        <v>537</v>
      </c>
      <c r="M316" s="44">
        <v>41518</v>
      </c>
      <c r="N316">
        <v>9</v>
      </c>
      <c r="O316" s="43" t="s">
        <v>33</v>
      </c>
      <c r="P316">
        <v>2013</v>
      </c>
    </row>
    <row r="317" spans="1:16" x14ac:dyDescent="0.2">
      <c r="A317" s="43" t="s">
        <v>28</v>
      </c>
      <c r="B317" s="43" t="s">
        <v>24</v>
      </c>
      <c r="C317" s="43" t="s">
        <v>26</v>
      </c>
      <c r="D317" s="43" t="s">
        <v>45</v>
      </c>
      <c r="E317">
        <v>2340</v>
      </c>
      <c r="F317">
        <v>5</v>
      </c>
      <c r="G317">
        <v>12</v>
      </c>
      <c r="H317">
        <v>28080</v>
      </c>
      <c r="I317" s="43" t="s">
        <v>538</v>
      </c>
      <c r="J317">
        <v>26114.400000000001</v>
      </c>
      <c r="K317">
        <v>7020</v>
      </c>
      <c r="L317" s="43" t="s">
        <v>539</v>
      </c>
      <c r="M317" s="44">
        <v>41640</v>
      </c>
      <c r="N317">
        <v>1</v>
      </c>
      <c r="O317" s="43" t="s">
        <v>19</v>
      </c>
      <c r="P317">
        <v>2014</v>
      </c>
    </row>
    <row r="318" spans="1:16" x14ac:dyDescent="0.2">
      <c r="A318" s="43" t="s">
        <v>28</v>
      </c>
      <c r="B318" s="43" t="s">
        <v>22</v>
      </c>
      <c r="C318" s="43" t="s">
        <v>26</v>
      </c>
      <c r="D318" s="43" t="s">
        <v>45</v>
      </c>
      <c r="E318">
        <v>2342</v>
      </c>
      <c r="F318">
        <v>5</v>
      </c>
      <c r="G318">
        <v>12</v>
      </c>
      <c r="H318">
        <v>28104</v>
      </c>
      <c r="I318" s="43" t="s">
        <v>540</v>
      </c>
      <c r="J318">
        <v>26136.720000000001</v>
      </c>
      <c r="K318">
        <v>7026</v>
      </c>
      <c r="L318" s="43" t="s">
        <v>541</v>
      </c>
      <c r="M318" s="44">
        <v>41944</v>
      </c>
      <c r="N318">
        <v>11</v>
      </c>
      <c r="O318" s="43" t="s">
        <v>38</v>
      </c>
      <c r="P318">
        <v>2014</v>
      </c>
    </row>
    <row r="319" spans="1:16" x14ac:dyDescent="0.2">
      <c r="A319" s="43" t="s">
        <v>15</v>
      </c>
      <c r="B319" s="43" t="s">
        <v>22</v>
      </c>
      <c r="C319" s="43" t="s">
        <v>36</v>
      </c>
      <c r="D319" s="43" t="s">
        <v>45</v>
      </c>
      <c r="E319">
        <v>1031</v>
      </c>
      <c r="F319">
        <v>10</v>
      </c>
      <c r="G319">
        <v>7</v>
      </c>
      <c r="H319">
        <v>7217</v>
      </c>
      <c r="I319" s="43" t="s">
        <v>542</v>
      </c>
      <c r="J319">
        <v>6711.81</v>
      </c>
      <c r="K319">
        <v>5155</v>
      </c>
      <c r="L319" s="43" t="s">
        <v>543</v>
      </c>
      <c r="M319" s="44">
        <v>41518</v>
      </c>
      <c r="N319">
        <v>9</v>
      </c>
      <c r="O319" s="43" t="s">
        <v>33</v>
      </c>
      <c r="P319">
        <v>2013</v>
      </c>
    </row>
    <row r="320" spans="1:16" x14ac:dyDescent="0.2">
      <c r="A320" s="43" t="s">
        <v>21</v>
      </c>
      <c r="B320" s="43" t="s">
        <v>16</v>
      </c>
      <c r="C320" s="43" t="s">
        <v>39</v>
      </c>
      <c r="D320" s="43" t="s">
        <v>45</v>
      </c>
      <c r="E320">
        <v>1262</v>
      </c>
      <c r="F320">
        <v>120</v>
      </c>
      <c r="G320">
        <v>15</v>
      </c>
      <c r="H320">
        <v>18930</v>
      </c>
      <c r="I320" s="43" t="s">
        <v>544</v>
      </c>
      <c r="J320">
        <v>17604.900000000001</v>
      </c>
      <c r="K320">
        <v>12620</v>
      </c>
      <c r="L320" s="43" t="s">
        <v>545</v>
      </c>
      <c r="M320" s="44">
        <v>41760</v>
      </c>
      <c r="N320">
        <v>5</v>
      </c>
      <c r="O320" s="43" t="s">
        <v>44</v>
      </c>
      <c r="P320">
        <v>2014</v>
      </c>
    </row>
    <row r="321" spans="1:16" x14ac:dyDescent="0.2">
      <c r="A321" s="43" t="s">
        <v>15</v>
      </c>
      <c r="B321" s="43" t="s">
        <v>16</v>
      </c>
      <c r="C321" s="43" t="s">
        <v>39</v>
      </c>
      <c r="D321" s="43" t="s">
        <v>45</v>
      </c>
      <c r="E321">
        <v>1135</v>
      </c>
      <c r="F321">
        <v>120</v>
      </c>
      <c r="G321">
        <v>7</v>
      </c>
      <c r="H321">
        <v>7945</v>
      </c>
      <c r="I321" s="43" t="s">
        <v>546</v>
      </c>
      <c r="J321">
        <v>7388.85</v>
      </c>
      <c r="K321">
        <v>5675</v>
      </c>
      <c r="L321" s="43" t="s">
        <v>547</v>
      </c>
      <c r="M321" s="44">
        <v>41791</v>
      </c>
      <c r="N321">
        <v>6</v>
      </c>
      <c r="O321" s="43" t="s">
        <v>23</v>
      </c>
      <c r="P321">
        <v>2014</v>
      </c>
    </row>
    <row r="322" spans="1:16" x14ac:dyDescent="0.2">
      <c r="A322" s="43" t="s">
        <v>15</v>
      </c>
      <c r="B322" s="43" t="s">
        <v>35</v>
      </c>
      <c r="C322" s="43" t="s">
        <v>39</v>
      </c>
      <c r="D322" s="43" t="s">
        <v>45</v>
      </c>
      <c r="E322">
        <v>547</v>
      </c>
      <c r="F322">
        <v>120</v>
      </c>
      <c r="G322">
        <v>7</v>
      </c>
      <c r="H322">
        <v>3829</v>
      </c>
      <c r="I322" s="43" t="s">
        <v>548</v>
      </c>
      <c r="J322">
        <v>3560.97</v>
      </c>
      <c r="K322">
        <v>2735</v>
      </c>
      <c r="L322" s="43" t="s">
        <v>549</v>
      </c>
      <c r="M322" s="44">
        <v>41944</v>
      </c>
      <c r="N322">
        <v>11</v>
      </c>
      <c r="O322" s="43" t="s">
        <v>38</v>
      </c>
      <c r="P322">
        <v>2014</v>
      </c>
    </row>
    <row r="323" spans="1:16" x14ac:dyDescent="0.2">
      <c r="A323" s="43" t="s">
        <v>15</v>
      </c>
      <c r="B323" s="43" t="s">
        <v>16</v>
      </c>
      <c r="C323" s="43" t="s">
        <v>39</v>
      </c>
      <c r="D323" s="43" t="s">
        <v>45</v>
      </c>
      <c r="E323">
        <v>1582</v>
      </c>
      <c r="F323">
        <v>120</v>
      </c>
      <c r="G323">
        <v>7</v>
      </c>
      <c r="H323">
        <v>11074</v>
      </c>
      <c r="I323" s="43" t="s">
        <v>550</v>
      </c>
      <c r="J323">
        <v>10298.82</v>
      </c>
      <c r="K323">
        <v>7910</v>
      </c>
      <c r="L323" s="43" t="s">
        <v>551</v>
      </c>
      <c r="M323" s="44">
        <v>41974</v>
      </c>
      <c r="N323">
        <v>12</v>
      </c>
      <c r="O323" s="43" t="s">
        <v>25</v>
      </c>
      <c r="P323">
        <v>2014</v>
      </c>
    </row>
    <row r="324" spans="1:16" x14ac:dyDescent="0.2">
      <c r="A324" s="43" t="s">
        <v>28</v>
      </c>
      <c r="B324" s="43" t="s">
        <v>22</v>
      </c>
      <c r="C324" s="43" t="s">
        <v>40</v>
      </c>
      <c r="D324" s="43" t="s">
        <v>45</v>
      </c>
      <c r="E324">
        <v>1738.5</v>
      </c>
      <c r="F324">
        <v>250</v>
      </c>
      <c r="G324">
        <v>12</v>
      </c>
      <c r="H324">
        <v>20862</v>
      </c>
      <c r="I324" s="43" t="s">
        <v>552</v>
      </c>
      <c r="J324">
        <v>19401.66</v>
      </c>
      <c r="K324">
        <v>5215.5</v>
      </c>
      <c r="L324" s="43" t="s">
        <v>553</v>
      </c>
      <c r="M324" s="44">
        <v>41730</v>
      </c>
      <c r="N324">
        <v>4</v>
      </c>
      <c r="O324" s="43" t="s">
        <v>41</v>
      </c>
      <c r="P324">
        <v>2014</v>
      </c>
    </row>
    <row r="325" spans="1:16" x14ac:dyDescent="0.2">
      <c r="A325" s="43" t="s">
        <v>28</v>
      </c>
      <c r="B325" s="43" t="s">
        <v>20</v>
      </c>
      <c r="C325" s="43" t="s">
        <v>40</v>
      </c>
      <c r="D325" s="43" t="s">
        <v>45</v>
      </c>
      <c r="E325">
        <v>2215</v>
      </c>
      <c r="F325">
        <v>250</v>
      </c>
      <c r="G325">
        <v>12</v>
      </c>
      <c r="H325">
        <v>26580</v>
      </c>
      <c r="I325" s="43" t="s">
        <v>554</v>
      </c>
      <c r="J325">
        <v>24719.4</v>
      </c>
      <c r="K325">
        <v>6645</v>
      </c>
      <c r="L325" s="43" t="s">
        <v>555</v>
      </c>
      <c r="M325" s="44">
        <v>41518</v>
      </c>
      <c r="N325">
        <v>9</v>
      </c>
      <c r="O325" s="43" t="s">
        <v>33</v>
      </c>
      <c r="P325">
        <v>2013</v>
      </c>
    </row>
    <row r="326" spans="1:16" x14ac:dyDescent="0.2">
      <c r="A326" s="43" t="s">
        <v>15</v>
      </c>
      <c r="B326" s="43" t="s">
        <v>16</v>
      </c>
      <c r="C326" s="43" t="s">
        <v>40</v>
      </c>
      <c r="D326" s="43" t="s">
        <v>45</v>
      </c>
      <c r="E326">
        <v>1582</v>
      </c>
      <c r="F326">
        <v>250</v>
      </c>
      <c r="G326">
        <v>7</v>
      </c>
      <c r="H326">
        <v>11074</v>
      </c>
      <c r="I326" s="43" t="s">
        <v>550</v>
      </c>
      <c r="J326">
        <v>10298.82</v>
      </c>
      <c r="K326">
        <v>7910</v>
      </c>
      <c r="L326" s="43" t="s">
        <v>551</v>
      </c>
      <c r="M326" s="44">
        <v>41974</v>
      </c>
      <c r="N326">
        <v>12</v>
      </c>
      <c r="O326" s="43" t="s">
        <v>25</v>
      </c>
      <c r="P326">
        <v>2014</v>
      </c>
    </row>
    <row r="327" spans="1:16" x14ac:dyDescent="0.2">
      <c r="A327" s="43" t="s">
        <v>15</v>
      </c>
      <c r="B327" s="43" t="s">
        <v>16</v>
      </c>
      <c r="C327" s="43" t="s">
        <v>42</v>
      </c>
      <c r="D327" s="43" t="s">
        <v>45</v>
      </c>
      <c r="E327">
        <v>1135</v>
      </c>
      <c r="F327">
        <v>260</v>
      </c>
      <c r="G327">
        <v>7</v>
      </c>
      <c r="H327">
        <v>7945</v>
      </c>
      <c r="I327" s="43" t="s">
        <v>546</v>
      </c>
      <c r="J327">
        <v>7388.85</v>
      </c>
      <c r="K327">
        <v>5675</v>
      </c>
      <c r="L327" s="43" t="s">
        <v>547</v>
      </c>
      <c r="M327" s="44">
        <v>41791</v>
      </c>
      <c r="N327">
        <v>6</v>
      </c>
      <c r="O327" s="43" t="s">
        <v>23</v>
      </c>
      <c r="P327">
        <v>2014</v>
      </c>
    </row>
    <row r="328" spans="1:16" x14ac:dyDescent="0.2">
      <c r="A328" s="43" t="s">
        <v>15</v>
      </c>
      <c r="B328" s="43" t="s">
        <v>35</v>
      </c>
      <c r="C328" s="43" t="s">
        <v>17</v>
      </c>
      <c r="D328" s="43" t="s">
        <v>45</v>
      </c>
      <c r="E328">
        <v>1761</v>
      </c>
      <c r="F328">
        <v>3</v>
      </c>
      <c r="G328">
        <v>350</v>
      </c>
      <c r="H328">
        <v>616350</v>
      </c>
      <c r="I328" s="43" t="s">
        <v>556</v>
      </c>
      <c r="J328">
        <v>573205.5</v>
      </c>
      <c r="K328">
        <v>457860</v>
      </c>
      <c r="L328" s="43" t="s">
        <v>557</v>
      </c>
      <c r="M328" s="44">
        <v>41699</v>
      </c>
      <c r="N328">
        <v>3</v>
      </c>
      <c r="O328" s="43" t="s">
        <v>27</v>
      </c>
      <c r="P328">
        <v>2014</v>
      </c>
    </row>
    <row r="329" spans="1:16" x14ac:dyDescent="0.2">
      <c r="A329" s="43" t="s">
        <v>31</v>
      </c>
      <c r="B329" s="43" t="s">
        <v>22</v>
      </c>
      <c r="C329" s="43" t="s">
        <v>17</v>
      </c>
      <c r="D329" s="43" t="s">
        <v>45</v>
      </c>
      <c r="E329">
        <v>448</v>
      </c>
      <c r="F329">
        <v>3</v>
      </c>
      <c r="G329">
        <v>300</v>
      </c>
      <c r="H329">
        <v>134400</v>
      </c>
      <c r="I329" s="43" t="s">
        <v>558</v>
      </c>
      <c r="J329">
        <v>124992</v>
      </c>
      <c r="K329">
        <v>112000</v>
      </c>
      <c r="L329" s="43" t="s">
        <v>559</v>
      </c>
      <c r="M329" s="44">
        <v>41791</v>
      </c>
      <c r="N329">
        <v>6</v>
      </c>
      <c r="O329" s="43" t="s">
        <v>23</v>
      </c>
      <c r="P329">
        <v>2014</v>
      </c>
    </row>
    <row r="330" spans="1:16" x14ac:dyDescent="0.2">
      <c r="A330" s="43" t="s">
        <v>31</v>
      </c>
      <c r="B330" s="43" t="s">
        <v>22</v>
      </c>
      <c r="C330" s="43" t="s">
        <v>17</v>
      </c>
      <c r="D330" s="43" t="s">
        <v>45</v>
      </c>
      <c r="E330">
        <v>2181</v>
      </c>
      <c r="F330">
        <v>3</v>
      </c>
      <c r="G330">
        <v>300</v>
      </c>
      <c r="H330">
        <v>654300</v>
      </c>
      <c r="I330" s="43" t="s">
        <v>560</v>
      </c>
      <c r="J330">
        <v>608499</v>
      </c>
      <c r="K330">
        <v>545250</v>
      </c>
      <c r="L330" s="43" t="s">
        <v>561</v>
      </c>
      <c r="M330" s="44">
        <v>41913</v>
      </c>
      <c r="N330">
        <v>10</v>
      </c>
      <c r="O330" s="43" t="s">
        <v>34</v>
      </c>
      <c r="P330">
        <v>2014</v>
      </c>
    </row>
    <row r="331" spans="1:16" x14ac:dyDescent="0.2">
      <c r="A331" s="43" t="s">
        <v>15</v>
      </c>
      <c r="B331" s="43" t="s">
        <v>22</v>
      </c>
      <c r="C331" s="43" t="s">
        <v>26</v>
      </c>
      <c r="D331" s="43" t="s">
        <v>45</v>
      </c>
      <c r="E331">
        <v>1976</v>
      </c>
      <c r="F331">
        <v>5</v>
      </c>
      <c r="G331">
        <v>20</v>
      </c>
      <c r="H331">
        <v>39520</v>
      </c>
      <c r="I331" s="43" t="s">
        <v>562</v>
      </c>
      <c r="J331">
        <v>36753.599999999999</v>
      </c>
      <c r="K331">
        <v>19760</v>
      </c>
      <c r="L331" s="43" t="s">
        <v>563</v>
      </c>
      <c r="M331" s="44">
        <v>41913</v>
      </c>
      <c r="N331">
        <v>10</v>
      </c>
      <c r="O331" s="43" t="s">
        <v>34</v>
      </c>
      <c r="P331">
        <v>2014</v>
      </c>
    </row>
    <row r="332" spans="1:16" x14ac:dyDescent="0.2">
      <c r="A332" s="43" t="s">
        <v>31</v>
      </c>
      <c r="B332" s="43" t="s">
        <v>22</v>
      </c>
      <c r="C332" s="43" t="s">
        <v>26</v>
      </c>
      <c r="D332" s="43" t="s">
        <v>45</v>
      </c>
      <c r="E332">
        <v>2181</v>
      </c>
      <c r="F332">
        <v>5</v>
      </c>
      <c r="G332">
        <v>300</v>
      </c>
      <c r="H332">
        <v>654300</v>
      </c>
      <c r="I332" s="43" t="s">
        <v>560</v>
      </c>
      <c r="J332">
        <v>608499</v>
      </c>
      <c r="K332">
        <v>545250</v>
      </c>
      <c r="L332" s="43" t="s">
        <v>561</v>
      </c>
      <c r="M332" s="44">
        <v>41913</v>
      </c>
      <c r="N332">
        <v>10</v>
      </c>
      <c r="O332" s="43" t="s">
        <v>34</v>
      </c>
      <c r="P332">
        <v>2014</v>
      </c>
    </row>
    <row r="333" spans="1:16" x14ac:dyDescent="0.2">
      <c r="A333" s="43" t="s">
        <v>29</v>
      </c>
      <c r="B333" s="43" t="s">
        <v>20</v>
      </c>
      <c r="C333" s="43" t="s">
        <v>26</v>
      </c>
      <c r="D333" s="43" t="s">
        <v>45</v>
      </c>
      <c r="E333">
        <v>2500</v>
      </c>
      <c r="F333">
        <v>5</v>
      </c>
      <c r="G333">
        <v>125</v>
      </c>
      <c r="H333">
        <v>312500</v>
      </c>
      <c r="I333" s="43" t="s">
        <v>564</v>
      </c>
      <c r="J333">
        <v>290625</v>
      </c>
      <c r="K333">
        <v>300000</v>
      </c>
      <c r="L333" s="43" t="s">
        <v>565</v>
      </c>
      <c r="M333" s="44">
        <v>41579</v>
      </c>
      <c r="N333">
        <v>11</v>
      </c>
      <c r="O333" s="43" t="s">
        <v>38</v>
      </c>
      <c r="P333">
        <v>2013</v>
      </c>
    </row>
    <row r="334" spans="1:16" x14ac:dyDescent="0.2">
      <c r="A334" s="43" t="s">
        <v>31</v>
      </c>
      <c r="B334" s="43" t="s">
        <v>16</v>
      </c>
      <c r="C334" s="43" t="s">
        <v>36</v>
      </c>
      <c r="D334" s="43" t="s">
        <v>45</v>
      </c>
      <c r="E334">
        <v>1702</v>
      </c>
      <c r="F334">
        <v>10</v>
      </c>
      <c r="G334">
        <v>300</v>
      </c>
      <c r="H334">
        <v>510600</v>
      </c>
      <c r="I334" s="43" t="s">
        <v>566</v>
      </c>
      <c r="J334">
        <v>474858</v>
      </c>
      <c r="K334">
        <v>425500</v>
      </c>
      <c r="L334" s="43" t="s">
        <v>567</v>
      </c>
      <c r="M334" s="44">
        <v>41760</v>
      </c>
      <c r="N334">
        <v>5</v>
      </c>
      <c r="O334" s="43" t="s">
        <v>44</v>
      </c>
      <c r="P334">
        <v>2014</v>
      </c>
    </row>
    <row r="335" spans="1:16" x14ac:dyDescent="0.2">
      <c r="A335" s="43" t="s">
        <v>31</v>
      </c>
      <c r="B335" s="43" t="s">
        <v>22</v>
      </c>
      <c r="C335" s="43" t="s">
        <v>36</v>
      </c>
      <c r="D335" s="43" t="s">
        <v>45</v>
      </c>
      <c r="E335">
        <v>448</v>
      </c>
      <c r="F335">
        <v>10</v>
      </c>
      <c r="G335">
        <v>300</v>
      </c>
      <c r="H335">
        <v>134400</v>
      </c>
      <c r="I335" s="43" t="s">
        <v>558</v>
      </c>
      <c r="J335">
        <v>124992</v>
      </c>
      <c r="K335">
        <v>112000</v>
      </c>
      <c r="L335" s="43" t="s">
        <v>559</v>
      </c>
      <c r="M335" s="44">
        <v>41791</v>
      </c>
      <c r="N335">
        <v>6</v>
      </c>
      <c r="O335" s="43" t="s">
        <v>23</v>
      </c>
      <c r="P335">
        <v>2014</v>
      </c>
    </row>
    <row r="336" spans="1:16" x14ac:dyDescent="0.2">
      <c r="A336" s="43" t="s">
        <v>29</v>
      </c>
      <c r="B336" s="43" t="s">
        <v>20</v>
      </c>
      <c r="C336" s="43" t="s">
        <v>36</v>
      </c>
      <c r="D336" s="43" t="s">
        <v>45</v>
      </c>
      <c r="E336">
        <v>3513</v>
      </c>
      <c r="F336">
        <v>10</v>
      </c>
      <c r="G336">
        <v>125</v>
      </c>
      <c r="H336">
        <v>439125</v>
      </c>
      <c r="I336" s="43" t="s">
        <v>568</v>
      </c>
      <c r="J336">
        <v>408386.25</v>
      </c>
      <c r="K336">
        <v>421560</v>
      </c>
      <c r="L336" s="43" t="s">
        <v>569</v>
      </c>
      <c r="M336" s="44">
        <v>41821</v>
      </c>
      <c r="N336">
        <v>7</v>
      </c>
      <c r="O336" s="43" t="s">
        <v>30</v>
      </c>
      <c r="P336">
        <v>2014</v>
      </c>
    </row>
    <row r="337" spans="1:16" x14ac:dyDescent="0.2">
      <c r="A337" s="43" t="s">
        <v>21</v>
      </c>
      <c r="B337" s="43" t="s">
        <v>22</v>
      </c>
      <c r="C337" s="43" t="s">
        <v>36</v>
      </c>
      <c r="D337" s="43" t="s">
        <v>45</v>
      </c>
      <c r="E337">
        <v>2101</v>
      </c>
      <c r="F337">
        <v>10</v>
      </c>
      <c r="G337">
        <v>15</v>
      </c>
      <c r="H337">
        <v>31515</v>
      </c>
      <c r="I337" s="43" t="s">
        <v>570</v>
      </c>
      <c r="J337">
        <v>29308.95</v>
      </c>
      <c r="K337">
        <v>21010</v>
      </c>
      <c r="L337" s="43" t="s">
        <v>571</v>
      </c>
      <c r="M337" s="44">
        <v>41852</v>
      </c>
      <c r="N337">
        <v>8</v>
      </c>
      <c r="O337" s="43" t="s">
        <v>32</v>
      </c>
      <c r="P337">
        <v>2014</v>
      </c>
    </row>
    <row r="338" spans="1:16" x14ac:dyDescent="0.2">
      <c r="A338" s="43" t="s">
        <v>21</v>
      </c>
      <c r="B338" s="43" t="s">
        <v>35</v>
      </c>
      <c r="C338" s="43" t="s">
        <v>36</v>
      </c>
      <c r="D338" s="43" t="s">
        <v>45</v>
      </c>
      <c r="E338">
        <v>2931</v>
      </c>
      <c r="F338">
        <v>10</v>
      </c>
      <c r="G338">
        <v>15</v>
      </c>
      <c r="H338">
        <v>43965</v>
      </c>
      <c r="I338" s="43" t="s">
        <v>572</v>
      </c>
      <c r="J338">
        <v>40887.449999999997</v>
      </c>
      <c r="K338">
        <v>29310</v>
      </c>
      <c r="L338" s="43" t="s">
        <v>573</v>
      </c>
      <c r="M338" s="44">
        <v>41518</v>
      </c>
      <c r="N338">
        <v>9</v>
      </c>
      <c r="O338" s="43" t="s">
        <v>33</v>
      </c>
      <c r="P338">
        <v>2013</v>
      </c>
    </row>
    <row r="339" spans="1:16" x14ac:dyDescent="0.2">
      <c r="A339" s="43" t="s">
        <v>15</v>
      </c>
      <c r="B339" s="43" t="s">
        <v>22</v>
      </c>
      <c r="C339" s="43" t="s">
        <v>36</v>
      </c>
      <c r="D339" s="43" t="s">
        <v>45</v>
      </c>
      <c r="E339">
        <v>1535</v>
      </c>
      <c r="F339">
        <v>10</v>
      </c>
      <c r="G339">
        <v>20</v>
      </c>
      <c r="H339">
        <v>30700</v>
      </c>
      <c r="I339" s="43" t="s">
        <v>574</v>
      </c>
      <c r="J339">
        <v>28551</v>
      </c>
      <c r="K339">
        <v>15350</v>
      </c>
      <c r="L339" s="43" t="s">
        <v>575</v>
      </c>
      <c r="M339" s="44">
        <v>41883</v>
      </c>
      <c r="N339">
        <v>9</v>
      </c>
      <c r="O339" s="43" t="s">
        <v>33</v>
      </c>
      <c r="P339">
        <v>2014</v>
      </c>
    </row>
    <row r="340" spans="1:16" x14ac:dyDescent="0.2">
      <c r="A340" s="43" t="s">
        <v>31</v>
      </c>
      <c r="B340" s="43" t="s">
        <v>20</v>
      </c>
      <c r="C340" s="43" t="s">
        <v>36</v>
      </c>
      <c r="D340" s="43" t="s">
        <v>45</v>
      </c>
      <c r="E340">
        <v>1123</v>
      </c>
      <c r="F340">
        <v>10</v>
      </c>
      <c r="G340">
        <v>300</v>
      </c>
      <c r="H340">
        <v>336900</v>
      </c>
      <c r="I340" s="43" t="s">
        <v>576</v>
      </c>
      <c r="J340">
        <v>313317</v>
      </c>
      <c r="K340">
        <v>280750</v>
      </c>
      <c r="L340" s="43" t="s">
        <v>577</v>
      </c>
      <c r="M340" s="44">
        <v>41518</v>
      </c>
      <c r="N340">
        <v>9</v>
      </c>
      <c r="O340" s="43" t="s">
        <v>33</v>
      </c>
      <c r="P340">
        <v>2013</v>
      </c>
    </row>
    <row r="341" spans="1:16" x14ac:dyDescent="0.2">
      <c r="A341" s="43" t="s">
        <v>31</v>
      </c>
      <c r="B341" s="43" t="s">
        <v>16</v>
      </c>
      <c r="C341" s="43" t="s">
        <v>36</v>
      </c>
      <c r="D341" s="43" t="s">
        <v>45</v>
      </c>
      <c r="E341">
        <v>1404</v>
      </c>
      <c r="F341">
        <v>10</v>
      </c>
      <c r="G341">
        <v>300</v>
      </c>
      <c r="H341">
        <v>421200</v>
      </c>
      <c r="I341" s="43" t="s">
        <v>578</v>
      </c>
      <c r="J341">
        <v>391716</v>
      </c>
      <c r="K341">
        <v>351000</v>
      </c>
      <c r="L341" s="43" t="s">
        <v>579</v>
      </c>
      <c r="M341" s="44">
        <v>41579</v>
      </c>
      <c r="N341">
        <v>11</v>
      </c>
      <c r="O341" s="43" t="s">
        <v>38</v>
      </c>
      <c r="P341">
        <v>2013</v>
      </c>
    </row>
    <row r="342" spans="1:16" x14ac:dyDescent="0.2">
      <c r="A342" s="43" t="s">
        <v>28</v>
      </c>
      <c r="B342" s="43" t="s">
        <v>24</v>
      </c>
      <c r="C342" s="43" t="s">
        <v>36</v>
      </c>
      <c r="D342" s="43" t="s">
        <v>45</v>
      </c>
      <c r="E342">
        <v>2763</v>
      </c>
      <c r="F342">
        <v>10</v>
      </c>
      <c r="G342">
        <v>12</v>
      </c>
      <c r="H342">
        <v>33156</v>
      </c>
      <c r="I342" s="43" t="s">
        <v>580</v>
      </c>
      <c r="J342">
        <v>30835.08</v>
      </c>
      <c r="K342">
        <v>8289</v>
      </c>
      <c r="L342" s="43" t="s">
        <v>581</v>
      </c>
      <c r="M342" s="44">
        <v>41579</v>
      </c>
      <c r="N342">
        <v>11</v>
      </c>
      <c r="O342" s="43" t="s">
        <v>38</v>
      </c>
      <c r="P342">
        <v>2013</v>
      </c>
    </row>
    <row r="343" spans="1:16" x14ac:dyDescent="0.2">
      <c r="A343" s="43" t="s">
        <v>15</v>
      </c>
      <c r="B343" s="43" t="s">
        <v>20</v>
      </c>
      <c r="C343" s="43" t="s">
        <v>36</v>
      </c>
      <c r="D343" s="43" t="s">
        <v>45</v>
      </c>
      <c r="E343">
        <v>2125</v>
      </c>
      <c r="F343">
        <v>10</v>
      </c>
      <c r="G343">
        <v>7</v>
      </c>
      <c r="H343">
        <v>14875</v>
      </c>
      <c r="I343" s="43" t="s">
        <v>582</v>
      </c>
      <c r="J343">
        <v>13833.75</v>
      </c>
      <c r="K343">
        <v>10625</v>
      </c>
      <c r="L343" s="43" t="s">
        <v>583</v>
      </c>
      <c r="M343" s="44">
        <v>41609</v>
      </c>
      <c r="N343">
        <v>12</v>
      </c>
      <c r="O343" s="43" t="s">
        <v>25</v>
      </c>
      <c r="P343">
        <v>2013</v>
      </c>
    </row>
    <row r="344" spans="1:16" x14ac:dyDescent="0.2">
      <c r="A344" s="43" t="s">
        <v>31</v>
      </c>
      <c r="B344" s="43" t="s">
        <v>22</v>
      </c>
      <c r="C344" s="43" t="s">
        <v>39</v>
      </c>
      <c r="D344" s="43" t="s">
        <v>45</v>
      </c>
      <c r="E344">
        <v>1659</v>
      </c>
      <c r="F344">
        <v>120</v>
      </c>
      <c r="G344">
        <v>300</v>
      </c>
      <c r="H344">
        <v>497700</v>
      </c>
      <c r="I344" s="43" t="s">
        <v>584</v>
      </c>
      <c r="J344">
        <v>462861</v>
      </c>
      <c r="K344">
        <v>414750</v>
      </c>
      <c r="L344" s="43" t="s">
        <v>585</v>
      </c>
      <c r="M344" s="44">
        <v>41821</v>
      </c>
      <c r="N344">
        <v>7</v>
      </c>
      <c r="O344" s="43" t="s">
        <v>30</v>
      </c>
      <c r="P344">
        <v>2014</v>
      </c>
    </row>
    <row r="345" spans="1:16" x14ac:dyDescent="0.2">
      <c r="A345" s="43" t="s">
        <v>15</v>
      </c>
      <c r="B345" s="43" t="s">
        <v>24</v>
      </c>
      <c r="C345" s="43" t="s">
        <v>39</v>
      </c>
      <c r="D345" s="43" t="s">
        <v>45</v>
      </c>
      <c r="E345">
        <v>609</v>
      </c>
      <c r="F345">
        <v>120</v>
      </c>
      <c r="G345">
        <v>20</v>
      </c>
      <c r="H345">
        <v>12180</v>
      </c>
      <c r="I345" s="43" t="s">
        <v>586</v>
      </c>
      <c r="J345">
        <v>11327.4</v>
      </c>
      <c r="K345">
        <v>6090</v>
      </c>
      <c r="L345" s="43" t="s">
        <v>587</v>
      </c>
      <c r="M345" s="44">
        <v>41852</v>
      </c>
      <c r="N345">
        <v>8</v>
      </c>
      <c r="O345" s="43" t="s">
        <v>32</v>
      </c>
      <c r="P345">
        <v>2014</v>
      </c>
    </row>
    <row r="346" spans="1:16" x14ac:dyDescent="0.2">
      <c r="A346" s="43" t="s">
        <v>29</v>
      </c>
      <c r="B346" s="43" t="s">
        <v>20</v>
      </c>
      <c r="C346" s="43" t="s">
        <v>39</v>
      </c>
      <c r="D346" s="43" t="s">
        <v>45</v>
      </c>
      <c r="E346">
        <v>2087</v>
      </c>
      <c r="F346">
        <v>120</v>
      </c>
      <c r="G346">
        <v>125</v>
      </c>
      <c r="H346">
        <v>260875</v>
      </c>
      <c r="I346" s="43" t="s">
        <v>588</v>
      </c>
      <c r="J346">
        <v>242613.75</v>
      </c>
      <c r="K346">
        <v>250440</v>
      </c>
      <c r="L346" s="43" t="s">
        <v>589</v>
      </c>
      <c r="M346" s="44">
        <v>41883</v>
      </c>
      <c r="N346">
        <v>9</v>
      </c>
      <c r="O346" s="43" t="s">
        <v>33</v>
      </c>
      <c r="P346">
        <v>2014</v>
      </c>
    </row>
    <row r="347" spans="1:16" x14ac:dyDescent="0.2">
      <c r="A347" s="43" t="s">
        <v>15</v>
      </c>
      <c r="B347" s="43" t="s">
        <v>22</v>
      </c>
      <c r="C347" s="43" t="s">
        <v>39</v>
      </c>
      <c r="D347" s="43" t="s">
        <v>45</v>
      </c>
      <c r="E347">
        <v>1976</v>
      </c>
      <c r="F347">
        <v>120</v>
      </c>
      <c r="G347">
        <v>20</v>
      </c>
      <c r="H347">
        <v>39520</v>
      </c>
      <c r="I347" s="43" t="s">
        <v>562</v>
      </c>
      <c r="J347">
        <v>36753.599999999999</v>
      </c>
      <c r="K347">
        <v>19760</v>
      </c>
      <c r="L347" s="43" t="s">
        <v>563</v>
      </c>
      <c r="M347" s="44">
        <v>41913</v>
      </c>
      <c r="N347">
        <v>10</v>
      </c>
      <c r="O347" s="43" t="s">
        <v>34</v>
      </c>
      <c r="P347">
        <v>2014</v>
      </c>
    </row>
    <row r="348" spans="1:16" x14ac:dyDescent="0.2">
      <c r="A348" s="43" t="s">
        <v>15</v>
      </c>
      <c r="B348" s="43" t="s">
        <v>35</v>
      </c>
      <c r="C348" s="43" t="s">
        <v>39</v>
      </c>
      <c r="D348" s="43" t="s">
        <v>45</v>
      </c>
      <c r="E348">
        <v>1421</v>
      </c>
      <c r="F348">
        <v>120</v>
      </c>
      <c r="G348">
        <v>20</v>
      </c>
      <c r="H348">
        <v>28420</v>
      </c>
      <c r="I348" s="43" t="s">
        <v>590</v>
      </c>
      <c r="J348">
        <v>26430.6</v>
      </c>
      <c r="K348">
        <v>14210</v>
      </c>
      <c r="L348" s="43" t="s">
        <v>591</v>
      </c>
      <c r="M348" s="44">
        <v>41609</v>
      </c>
      <c r="N348">
        <v>12</v>
      </c>
      <c r="O348" s="43" t="s">
        <v>25</v>
      </c>
      <c r="P348">
        <v>2013</v>
      </c>
    </row>
    <row r="349" spans="1:16" x14ac:dyDescent="0.2">
      <c r="A349" s="43" t="s">
        <v>31</v>
      </c>
      <c r="B349" s="43" t="s">
        <v>35</v>
      </c>
      <c r="C349" s="43" t="s">
        <v>39</v>
      </c>
      <c r="D349" s="43" t="s">
        <v>45</v>
      </c>
      <c r="E349">
        <v>1372</v>
      </c>
      <c r="F349">
        <v>120</v>
      </c>
      <c r="G349">
        <v>300</v>
      </c>
      <c r="H349">
        <v>411600</v>
      </c>
      <c r="I349" s="43" t="s">
        <v>592</v>
      </c>
      <c r="J349">
        <v>382788</v>
      </c>
      <c r="K349">
        <v>343000</v>
      </c>
      <c r="L349" s="43" t="s">
        <v>593</v>
      </c>
      <c r="M349" s="44">
        <v>41974</v>
      </c>
      <c r="N349">
        <v>12</v>
      </c>
      <c r="O349" s="43" t="s">
        <v>25</v>
      </c>
      <c r="P349">
        <v>2014</v>
      </c>
    </row>
    <row r="350" spans="1:16" x14ac:dyDescent="0.2">
      <c r="A350" s="43" t="s">
        <v>15</v>
      </c>
      <c r="B350" s="43" t="s">
        <v>20</v>
      </c>
      <c r="C350" s="43" t="s">
        <v>39</v>
      </c>
      <c r="D350" s="43" t="s">
        <v>45</v>
      </c>
      <c r="E350">
        <v>588</v>
      </c>
      <c r="F350">
        <v>120</v>
      </c>
      <c r="G350">
        <v>20</v>
      </c>
      <c r="H350">
        <v>11760</v>
      </c>
      <c r="I350" s="43" t="s">
        <v>594</v>
      </c>
      <c r="J350">
        <v>10936.8</v>
      </c>
      <c r="K350">
        <v>5880</v>
      </c>
      <c r="L350" s="43" t="s">
        <v>595</v>
      </c>
      <c r="M350" s="44">
        <v>41609</v>
      </c>
      <c r="N350">
        <v>12</v>
      </c>
      <c r="O350" s="43" t="s">
        <v>25</v>
      </c>
      <c r="P350">
        <v>2013</v>
      </c>
    </row>
    <row r="351" spans="1:16" x14ac:dyDescent="0.2">
      <c r="A351" s="43" t="s">
        <v>28</v>
      </c>
      <c r="B351" s="43" t="s">
        <v>16</v>
      </c>
      <c r="C351" s="43" t="s">
        <v>40</v>
      </c>
      <c r="D351" s="43" t="s">
        <v>45</v>
      </c>
      <c r="E351">
        <v>3244.5</v>
      </c>
      <c r="F351">
        <v>250</v>
      </c>
      <c r="G351">
        <v>12</v>
      </c>
      <c r="H351">
        <v>38934</v>
      </c>
      <c r="I351" s="43" t="s">
        <v>596</v>
      </c>
      <c r="J351">
        <v>36208.620000000003</v>
      </c>
      <c r="K351">
        <v>9733.5</v>
      </c>
      <c r="L351" s="43" t="s">
        <v>597</v>
      </c>
      <c r="M351" s="44">
        <v>41640</v>
      </c>
      <c r="N351">
        <v>1</v>
      </c>
      <c r="O351" s="43" t="s">
        <v>19</v>
      </c>
      <c r="P351">
        <v>2014</v>
      </c>
    </row>
    <row r="352" spans="1:16" x14ac:dyDescent="0.2">
      <c r="A352" s="43" t="s">
        <v>31</v>
      </c>
      <c r="B352" s="43" t="s">
        <v>22</v>
      </c>
      <c r="C352" s="43" t="s">
        <v>40</v>
      </c>
      <c r="D352" s="43" t="s">
        <v>45</v>
      </c>
      <c r="E352">
        <v>959</v>
      </c>
      <c r="F352">
        <v>250</v>
      </c>
      <c r="G352">
        <v>300</v>
      </c>
      <c r="H352">
        <v>287700</v>
      </c>
      <c r="I352" s="43" t="s">
        <v>263</v>
      </c>
      <c r="J352">
        <v>267561</v>
      </c>
      <c r="K352">
        <v>239750</v>
      </c>
      <c r="L352" s="43" t="s">
        <v>598</v>
      </c>
      <c r="M352" s="44">
        <v>41671</v>
      </c>
      <c r="N352">
        <v>2</v>
      </c>
      <c r="O352" s="43" t="s">
        <v>37</v>
      </c>
      <c r="P352">
        <v>2014</v>
      </c>
    </row>
    <row r="353" spans="1:16" x14ac:dyDescent="0.2">
      <c r="A353" s="43" t="s">
        <v>31</v>
      </c>
      <c r="B353" s="43" t="s">
        <v>24</v>
      </c>
      <c r="C353" s="43" t="s">
        <v>40</v>
      </c>
      <c r="D353" s="43" t="s">
        <v>45</v>
      </c>
      <c r="E353">
        <v>2747</v>
      </c>
      <c r="F353">
        <v>250</v>
      </c>
      <c r="G353">
        <v>300</v>
      </c>
      <c r="H353">
        <v>824100</v>
      </c>
      <c r="I353" s="43" t="s">
        <v>599</v>
      </c>
      <c r="J353">
        <v>766413</v>
      </c>
      <c r="K353">
        <v>686750</v>
      </c>
      <c r="L353" s="43" t="s">
        <v>600</v>
      </c>
      <c r="M353" s="44">
        <v>41671</v>
      </c>
      <c r="N353">
        <v>2</v>
      </c>
      <c r="O353" s="43" t="s">
        <v>37</v>
      </c>
      <c r="P353">
        <v>2014</v>
      </c>
    </row>
    <row r="354" spans="1:16" x14ac:dyDescent="0.2">
      <c r="A354" s="43" t="s">
        <v>29</v>
      </c>
      <c r="B354" s="43" t="s">
        <v>16</v>
      </c>
      <c r="C354" s="43" t="s">
        <v>42</v>
      </c>
      <c r="D354" s="43" t="s">
        <v>45</v>
      </c>
      <c r="E354">
        <v>1645</v>
      </c>
      <c r="F354">
        <v>260</v>
      </c>
      <c r="G354">
        <v>125</v>
      </c>
      <c r="H354">
        <v>205625</v>
      </c>
      <c r="I354" s="43" t="s">
        <v>601</v>
      </c>
      <c r="J354">
        <v>191231.25</v>
      </c>
      <c r="K354">
        <v>197400</v>
      </c>
      <c r="L354" s="43" t="s">
        <v>602</v>
      </c>
      <c r="M354" s="44">
        <v>41760</v>
      </c>
      <c r="N354">
        <v>5</v>
      </c>
      <c r="O354" s="43" t="s">
        <v>44</v>
      </c>
      <c r="P354">
        <v>2014</v>
      </c>
    </row>
    <row r="355" spans="1:16" x14ac:dyDescent="0.2">
      <c r="A355" s="43" t="s">
        <v>15</v>
      </c>
      <c r="B355" s="43" t="s">
        <v>22</v>
      </c>
      <c r="C355" s="43" t="s">
        <v>42</v>
      </c>
      <c r="D355" s="43" t="s">
        <v>45</v>
      </c>
      <c r="E355">
        <v>2876</v>
      </c>
      <c r="F355">
        <v>260</v>
      </c>
      <c r="G355">
        <v>350</v>
      </c>
      <c r="H355">
        <v>1006600</v>
      </c>
      <c r="I355" s="43" t="s">
        <v>603</v>
      </c>
      <c r="J355">
        <v>936138</v>
      </c>
      <c r="K355">
        <v>747760</v>
      </c>
      <c r="L355" s="43" t="s">
        <v>604</v>
      </c>
      <c r="M355" s="44">
        <v>41883</v>
      </c>
      <c r="N355">
        <v>9</v>
      </c>
      <c r="O355" s="43" t="s">
        <v>33</v>
      </c>
      <c r="P355">
        <v>2014</v>
      </c>
    </row>
    <row r="356" spans="1:16" x14ac:dyDescent="0.2">
      <c r="A356" s="43" t="s">
        <v>29</v>
      </c>
      <c r="B356" s="43" t="s">
        <v>20</v>
      </c>
      <c r="C356" s="43" t="s">
        <v>42</v>
      </c>
      <c r="D356" s="43" t="s">
        <v>45</v>
      </c>
      <c r="E356">
        <v>994</v>
      </c>
      <c r="F356">
        <v>260</v>
      </c>
      <c r="G356">
        <v>125</v>
      </c>
      <c r="H356">
        <v>124250</v>
      </c>
      <c r="I356" s="43" t="s">
        <v>605</v>
      </c>
      <c r="J356">
        <v>115552.5</v>
      </c>
      <c r="K356">
        <v>119280</v>
      </c>
      <c r="L356" s="43" t="s">
        <v>606</v>
      </c>
      <c r="M356" s="44">
        <v>41518</v>
      </c>
      <c r="N356">
        <v>9</v>
      </c>
      <c r="O356" s="43" t="s">
        <v>33</v>
      </c>
      <c r="P356">
        <v>2013</v>
      </c>
    </row>
    <row r="357" spans="1:16" x14ac:dyDescent="0.2">
      <c r="A357" s="43" t="s">
        <v>15</v>
      </c>
      <c r="B357" s="43" t="s">
        <v>16</v>
      </c>
      <c r="C357" s="43" t="s">
        <v>42</v>
      </c>
      <c r="D357" s="43" t="s">
        <v>45</v>
      </c>
      <c r="E357">
        <v>1118</v>
      </c>
      <c r="F357">
        <v>260</v>
      </c>
      <c r="G357">
        <v>20</v>
      </c>
      <c r="H357">
        <v>22360</v>
      </c>
      <c r="I357" s="43" t="s">
        <v>607</v>
      </c>
      <c r="J357">
        <v>20794.8</v>
      </c>
      <c r="K357">
        <v>11180</v>
      </c>
      <c r="L357" s="43" t="s">
        <v>608</v>
      </c>
      <c r="M357" s="44">
        <v>41944</v>
      </c>
      <c r="N357">
        <v>11</v>
      </c>
      <c r="O357" s="43" t="s">
        <v>38</v>
      </c>
      <c r="P357">
        <v>2014</v>
      </c>
    </row>
    <row r="358" spans="1:16" x14ac:dyDescent="0.2">
      <c r="A358" s="43" t="s">
        <v>31</v>
      </c>
      <c r="B358" s="43" t="s">
        <v>35</v>
      </c>
      <c r="C358" s="43" t="s">
        <v>42</v>
      </c>
      <c r="D358" s="43" t="s">
        <v>45</v>
      </c>
      <c r="E358">
        <v>1372</v>
      </c>
      <c r="F358">
        <v>260</v>
      </c>
      <c r="G358">
        <v>300</v>
      </c>
      <c r="H358">
        <v>411600</v>
      </c>
      <c r="I358" s="43" t="s">
        <v>592</v>
      </c>
      <c r="J358">
        <v>382788</v>
      </c>
      <c r="K358">
        <v>343000</v>
      </c>
      <c r="L358" s="43" t="s">
        <v>593</v>
      </c>
      <c r="M358" s="44">
        <v>41974</v>
      </c>
      <c r="N358">
        <v>12</v>
      </c>
      <c r="O358" s="43" t="s">
        <v>25</v>
      </c>
      <c r="P358">
        <v>2014</v>
      </c>
    </row>
    <row r="359" spans="1:16" x14ac:dyDescent="0.2">
      <c r="A359" s="43" t="s">
        <v>15</v>
      </c>
      <c r="B359" s="43" t="s">
        <v>16</v>
      </c>
      <c r="C359" s="43" t="s">
        <v>26</v>
      </c>
      <c r="D359" s="43" t="s">
        <v>45</v>
      </c>
      <c r="E359">
        <v>488</v>
      </c>
      <c r="F359">
        <v>5</v>
      </c>
      <c r="G359">
        <v>7</v>
      </c>
      <c r="H359">
        <v>3416</v>
      </c>
      <c r="I359" s="43" t="s">
        <v>609</v>
      </c>
      <c r="J359">
        <v>3142.72</v>
      </c>
      <c r="K359">
        <v>2440</v>
      </c>
      <c r="L359" s="43" t="s">
        <v>610</v>
      </c>
      <c r="M359" s="44">
        <v>41671</v>
      </c>
      <c r="N359">
        <v>2</v>
      </c>
      <c r="O359" s="43" t="s">
        <v>37</v>
      </c>
      <c r="P359">
        <v>2014</v>
      </c>
    </row>
    <row r="360" spans="1:16" x14ac:dyDescent="0.2">
      <c r="A360" s="43" t="s">
        <v>15</v>
      </c>
      <c r="B360" s="43" t="s">
        <v>35</v>
      </c>
      <c r="C360" s="43" t="s">
        <v>26</v>
      </c>
      <c r="D360" s="43" t="s">
        <v>45</v>
      </c>
      <c r="E360">
        <v>1282</v>
      </c>
      <c r="F360">
        <v>5</v>
      </c>
      <c r="G360">
        <v>20</v>
      </c>
      <c r="H360">
        <v>25640</v>
      </c>
      <c r="I360" s="43" t="s">
        <v>611</v>
      </c>
      <c r="J360">
        <v>23588.799999999999</v>
      </c>
      <c r="K360">
        <v>12820</v>
      </c>
      <c r="L360" s="43" t="s">
        <v>612</v>
      </c>
      <c r="M360" s="44">
        <v>41791</v>
      </c>
      <c r="N360">
        <v>6</v>
      </c>
      <c r="O360" s="43" t="s">
        <v>23</v>
      </c>
      <c r="P360">
        <v>2014</v>
      </c>
    </row>
    <row r="361" spans="1:16" x14ac:dyDescent="0.2">
      <c r="A361" s="43" t="s">
        <v>15</v>
      </c>
      <c r="B361" s="43" t="s">
        <v>16</v>
      </c>
      <c r="C361" s="43" t="s">
        <v>36</v>
      </c>
      <c r="D361" s="43" t="s">
        <v>45</v>
      </c>
      <c r="E361">
        <v>257</v>
      </c>
      <c r="F361">
        <v>10</v>
      </c>
      <c r="G361">
        <v>7</v>
      </c>
      <c r="H361">
        <v>1799</v>
      </c>
      <c r="I361" s="43" t="s">
        <v>613</v>
      </c>
      <c r="J361">
        <v>1655.08</v>
      </c>
      <c r="K361">
        <v>1285</v>
      </c>
      <c r="L361" s="43" t="s">
        <v>614</v>
      </c>
      <c r="M361" s="44">
        <v>41760</v>
      </c>
      <c r="N361">
        <v>5</v>
      </c>
      <c r="O361" s="43" t="s">
        <v>44</v>
      </c>
      <c r="P361">
        <v>2014</v>
      </c>
    </row>
    <row r="362" spans="1:16" x14ac:dyDescent="0.2">
      <c r="A362" s="43" t="s">
        <v>15</v>
      </c>
      <c r="B362" s="43" t="s">
        <v>35</v>
      </c>
      <c r="C362" s="43" t="s">
        <v>42</v>
      </c>
      <c r="D362" s="43" t="s">
        <v>45</v>
      </c>
      <c r="E362">
        <v>1282</v>
      </c>
      <c r="F362">
        <v>260</v>
      </c>
      <c r="G362">
        <v>20</v>
      </c>
      <c r="H362">
        <v>25640</v>
      </c>
      <c r="I362" s="43" t="s">
        <v>611</v>
      </c>
      <c r="J362">
        <v>23588.799999999999</v>
      </c>
      <c r="K362">
        <v>12820</v>
      </c>
      <c r="L362" s="43" t="s">
        <v>612</v>
      </c>
      <c r="M362" s="44">
        <v>41791</v>
      </c>
      <c r="N362">
        <v>6</v>
      </c>
      <c r="O362" s="43" t="s">
        <v>23</v>
      </c>
      <c r="P362">
        <v>2014</v>
      </c>
    </row>
    <row r="363" spans="1:16" x14ac:dyDescent="0.2">
      <c r="A363" s="43" t="s">
        <v>29</v>
      </c>
      <c r="B363" s="43" t="s">
        <v>24</v>
      </c>
      <c r="C363" s="43" t="s">
        <v>17</v>
      </c>
      <c r="D363" s="43" t="s">
        <v>45</v>
      </c>
      <c r="E363">
        <v>1540</v>
      </c>
      <c r="F363">
        <v>3</v>
      </c>
      <c r="G363">
        <v>125</v>
      </c>
      <c r="H363">
        <v>192500</v>
      </c>
      <c r="I363" s="43" t="s">
        <v>615</v>
      </c>
      <c r="J363">
        <v>177100</v>
      </c>
      <c r="K363">
        <v>184800</v>
      </c>
      <c r="L363" s="43" t="s">
        <v>616</v>
      </c>
      <c r="M363" s="44">
        <v>41852</v>
      </c>
      <c r="N363">
        <v>8</v>
      </c>
      <c r="O363" s="43" t="s">
        <v>32</v>
      </c>
      <c r="P363">
        <v>2014</v>
      </c>
    </row>
    <row r="364" spans="1:16" x14ac:dyDescent="0.2">
      <c r="A364" s="43" t="s">
        <v>21</v>
      </c>
      <c r="B364" s="43" t="s">
        <v>22</v>
      </c>
      <c r="C364" s="43" t="s">
        <v>17</v>
      </c>
      <c r="D364" s="43" t="s">
        <v>45</v>
      </c>
      <c r="E364">
        <v>490</v>
      </c>
      <c r="F364">
        <v>3</v>
      </c>
      <c r="G364">
        <v>15</v>
      </c>
      <c r="H364">
        <v>7350</v>
      </c>
      <c r="I364" s="43" t="s">
        <v>617</v>
      </c>
      <c r="J364">
        <v>6762</v>
      </c>
      <c r="K364">
        <v>4900</v>
      </c>
      <c r="L364" s="43" t="s">
        <v>267</v>
      </c>
      <c r="M364" s="44">
        <v>41944</v>
      </c>
      <c r="N364">
        <v>11</v>
      </c>
      <c r="O364" s="43" t="s">
        <v>38</v>
      </c>
      <c r="P364">
        <v>2014</v>
      </c>
    </row>
    <row r="365" spans="1:16" x14ac:dyDescent="0.2">
      <c r="A365" s="43" t="s">
        <v>15</v>
      </c>
      <c r="B365" s="43" t="s">
        <v>24</v>
      </c>
      <c r="C365" s="43" t="s">
        <v>17</v>
      </c>
      <c r="D365" s="43" t="s">
        <v>45</v>
      </c>
      <c r="E365">
        <v>1362</v>
      </c>
      <c r="F365">
        <v>3</v>
      </c>
      <c r="G365">
        <v>350</v>
      </c>
      <c r="H365">
        <v>476700</v>
      </c>
      <c r="I365" s="43" t="s">
        <v>618</v>
      </c>
      <c r="J365">
        <v>438564</v>
      </c>
      <c r="K365">
        <v>354120</v>
      </c>
      <c r="L365" s="43" t="s">
        <v>619</v>
      </c>
      <c r="M365" s="44">
        <v>41974</v>
      </c>
      <c r="N365">
        <v>12</v>
      </c>
      <c r="O365" s="43" t="s">
        <v>25</v>
      </c>
      <c r="P365">
        <v>2014</v>
      </c>
    </row>
    <row r="366" spans="1:16" x14ac:dyDescent="0.2">
      <c r="A366" s="43" t="s">
        <v>21</v>
      </c>
      <c r="B366" s="43" t="s">
        <v>22</v>
      </c>
      <c r="C366" s="43" t="s">
        <v>26</v>
      </c>
      <c r="D366" s="43" t="s">
        <v>45</v>
      </c>
      <c r="E366">
        <v>2501</v>
      </c>
      <c r="F366">
        <v>5</v>
      </c>
      <c r="G366">
        <v>15</v>
      </c>
      <c r="H366">
        <v>37515</v>
      </c>
      <c r="I366" s="43" t="s">
        <v>620</v>
      </c>
      <c r="J366">
        <v>34513.800000000003</v>
      </c>
      <c r="K366">
        <v>25010</v>
      </c>
      <c r="L366" s="43" t="s">
        <v>621</v>
      </c>
      <c r="M366" s="44">
        <v>41699</v>
      </c>
      <c r="N366">
        <v>3</v>
      </c>
      <c r="O366" s="43" t="s">
        <v>27</v>
      </c>
      <c r="P366">
        <v>2014</v>
      </c>
    </row>
    <row r="367" spans="1:16" x14ac:dyDescent="0.2">
      <c r="A367" s="43" t="s">
        <v>15</v>
      </c>
      <c r="B367" s="43" t="s">
        <v>16</v>
      </c>
      <c r="C367" s="43" t="s">
        <v>26</v>
      </c>
      <c r="D367" s="43" t="s">
        <v>45</v>
      </c>
      <c r="E367">
        <v>708</v>
      </c>
      <c r="F367">
        <v>5</v>
      </c>
      <c r="G367">
        <v>20</v>
      </c>
      <c r="H367">
        <v>14160</v>
      </c>
      <c r="I367" s="43" t="s">
        <v>622</v>
      </c>
      <c r="J367">
        <v>13027.2</v>
      </c>
      <c r="K367">
        <v>7080</v>
      </c>
      <c r="L367" s="43" t="s">
        <v>623</v>
      </c>
      <c r="M367" s="44">
        <v>41791</v>
      </c>
      <c r="N367">
        <v>6</v>
      </c>
      <c r="O367" s="43" t="s">
        <v>23</v>
      </c>
      <c r="P367">
        <v>2014</v>
      </c>
    </row>
    <row r="368" spans="1:16" x14ac:dyDescent="0.2">
      <c r="A368" s="43" t="s">
        <v>15</v>
      </c>
      <c r="B368" s="43" t="s">
        <v>20</v>
      </c>
      <c r="C368" s="43" t="s">
        <v>26</v>
      </c>
      <c r="D368" s="43" t="s">
        <v>45</v>
      </c>
      <c r="E368">
        <v>645</v>
      </c>
      <c r="F368">
        <v>5</v>
      </c>
      <c r="G368">
        <v>20</v>
      </c>
      <c r="H368">
        <v>12900</v>
      </c>
      <c r="I368" s="43" t="s">
        <v>624</v>
      </c>
      <c r="J368">
        <v>11868</v>
      </c>
      <c r="K368">
        <v>6450</v>
      </c>
      <c r="L368" s="43" t="s">
        <v>625</v>
      </c>
      <c r="M368" s="44">
        <v>41821</v>
      </c>
      <c r="N368">
        <v>7</v>
      </c>
      <c r="O368" s="43" t="s">
        <v>30</v>
      </c>
      <c r="P368">
        <v>2014</v>
      </c>
    </row>
    <row r="369" spans="1:16" x14ac:dyDescent="0.2">
      <c r="A369" s="43" t="s">
        <v>31</v>
      </c>
      <c r="B369" s="43" t="s">
        <v>22</v>
      </c>
      <c r="C369" s="43" t="s">
        <v>26</v>
      </c>
      <c r="D369" s="43" t="s">
        <v>45</v>
      </c>
      <c r="E369">
        <v>1562</v>
      </c>
      <c r="F369">
        <v>5</v>
      </c>
      <c r="G369">
        <v>300</v>
      </c>
      <c r="H369">
        <v>468600</v>
      </c>
      <c r="I369" s="43" t="s">
        <v>626</v>
      </c>
      <c r="J369">
        <v>431112</v>
      </c>
      <c r="K369">
        <v>390500</v>
      </c>
      <c r="L369" s="43" t="s">
        <v>627</v>
      </c>
      <c r="M369" s="44">
        <v>41852</v>
      </c>
      <c r="N369">
        <v>8</v>
      </c>
      <c r="O369" s="43" t="s">
        <v>32</v>
      </c>
      <c r="P369">
        <v>2014</v>
      </c>
    </row>
    <row r="370" spans="1:16" x14ac:dyDescent="0.2">
      <c r="A370" s="43" t="s">
        <v>31</v>
      </c>
      <c r="B370" s="43" t="s">
        <v>16</v>
      </c>
      <c r="C370" s="43" t="s">
        <v>26</v>
      </c>
      <c r="D370" s="43" t="s">
        <v>45</v>
      </c>
      <c r="E370">
        <v>1283</v>
      </c>
      <c r="F370">
        <v>5</v>
      </c>
      <c r="G370">
        <v>300</v>
      </c>
      <c r="H370">
        <v>384900</v>
      </c>
      <c r="I370" s="43" t="s">
        <v>628</v>
      </c>
      <c r="J370">
        <v>354108</v>
      </c>
      <c r="K370">
        <v>320750</v>
      </c>
      <c r="L370" s="43" t="s">
        <v>629</v>
      </c>
      <c r="M370" s="44">
        <v>41518</v>
      </c>
      <c r="N370">
        <v>9</v>
      </c>
      <c r="O370" s="43" t="s">
        <v>33</v>
      </c>
      <c r="P370">
        <v>2013</v>
      </c>
    </row>
    <row r="371" spans="1:16" x14ac:dyDescent="0.2">
      <c r="A371" s="43" t="s">
        <v>21</v>
      </c>
      <c r="B371" s="43" t="s">
        <v>20</v>
      </c>
      <c r="C371" s="43" t="s">
        <v>26</v>
      </c>
      <c r="D371" s="43" t="s">
        <v>45</v>
      </c>
      <c r="E371">
        <v>711</v>
      </c>
      <c r="F371">
        <v>5</v>
      </c>
      <c r="G371">
        <v>15</v>
      </c>
      <c r="H371">
        <v>10665</v>
      </c>
      <c r="I371" s="43" t="s">
        <v>630</v>
      </c>
      <c r="J371">
        <v>9811.7999999999993</v>
      </c>
      <c r="K371">
        <v>7110</v>
      </c>
      <c r="L371" s="43" t="s">
        <v>631</v>
      </c>
      <c r="M371" s="44">
        <v>41974</v>
      </c>
      <c r="N371">
        <v>12</v>
      </c>
      <c r="O371" s="43" t="s">
        <v>25</v>
      </c>
      <c r="P371">
        <v>2014</v>
      </c>
    </row>
    <row r="372" spans="1:16" x14ac:dyDescent="0.2">
      <c r="A372" s="43" t="s">
        <v>29</v>
      </c>
      <c r="B372" s="43" t="s">
        <v>24</v>
      </c>
      <c r="C372" s="43" t="s">
        <v>36</v>
      </c>
      <c r="D372" s="43" t="s">
        <v>45</v>
      </c>
      <c r="E372">
        <v>1114</v>
      </c>
      <c r="F372">
        <v>10</v>
      </c>
      <c r="G372">
        <v>125</v>
      </c>
      <c r="H372">
        <v>139250</v>
      </c>
      <c r="I372" s="43" t="s">
        <v>632</v>
      </c>
      <c r="J372">
        <v>128110</v>
      </c>
      <c r="K372">
        <v>133680</v>
      </c>
      <c r="L372" s="43" t="s">
        <v>633</v>
      </c>
      <c r="M372" s="44">
        <v>41699</v>
      </c>
      <c r="N372">
        <v>3</v>
      </c>
      <c r="O372" s="43" t="s">
        <v>27</v>
      </c>
      <c r="P372">
        <v>2014</v>
      </c>
    </row>
    <row r="373" spans="1:16" x14ac:dyDescent="0.2">
      <c r="A373" s="43" t="s">
        <v>15</v>
      </c>
      <c r="B373" s="43" t="s">
        <v>20</v>
      </c>
      <c r="C373" s="43" t="s">
        <v>36</v>
      </c>
      <c r="D373" s="43" t="s">
        <v>45</v>
      </c>
      <c r="E373">
        <v>1259</v>
      </c>
      <c r="F373">
        <v>10</v>
      </c>
      <c r="G373">
        <v>7</v>
      </c>
      <c r="H373">
        <v>8813</v>
      </c>
      <c r="I373" s="43" t="s">
        <v>634</v>
      </c>
      <c r="J373">
        <v>8107.96</v>
      </c>
      <c r="K373">
        <v>6295</v>
      </c>
      <c r="L373" s="43" t="s">
        <v>635</v>
      </c>
      <c r="M373" s="44">
        <v>41730</v>
      </c>
      <c r="N373">
        <v>4</v>
      </c>
      <c r="O373" s="43" t="s">
        <v>41</v>
      </c>
      <c r="P373">
        <v>2014</v>
      </c>
    </row>
    <row r="374" spans="1:16" x14ac:dyDescent="0.2">
      <c r="A374" s="43" t="s">
        <v>15</v>
      </c>
      <c r="B374" s="43" t="s">
        <v>20</v>
      </c>
      <c r="C374" s="43" t="s">
        <v>36</v>
      </c>
      <c r="D374" s="43" t="s">
        <v>45</v>
      </c>
      <c r="E374">
        <v>1095</v>
      </c>
      <c r="F374">
        <v>10</v>
      </c>
      <c r="G374">
        <v>7</v>
      </c>
      <c r="H374">
        <v>7665</v>
      </c>
      <c r="I374" s="43" t="s">
        <v>636</v>
      </c>
      <c r="J374">
        <v>7051.8</v>
      </c>
      <c r="K374">
        <v>5475</v>
      </c>
      <c r="L374" s="43" t="s">
        <v>637</v>
      </c>
      <c r="M374" s="44">
        <v>41760</v>
      </c>
      <c r="N374">
        <v>5</v>
      </c>
      <c r="O374" s="43" t="s">
        <v>44</v>
      </c>
      <c r="P374">
        <v>2014</v>
      </c>
    </row>
    <row r="375" spans="1:16" x14ac:dyDescent="0.2">
      <c r="A375" s="43" t="s">
        <v>15</v>
      </c>
      <c r="B375" s="43" t="s">
        <v>20</v>
      </c>
      <c r="C375" s="43" t="s">
        <v>36</v>
      </c>
      <c r="D375" s="43" t="s">
        <v>45</v>
      </c>
      <c r="E375">
        <v>1366</v>
      </c>
      <c r="F375">
        <v>10</v>
      </c>
      <c r="G375">
        <v>20</v>
      </c>
      <c r="H375">
        <v>27320</v>
      </c>
      <c r="I375" s="43" t="s">
        <v>638</v>
      </c>
      <c r="J375">
        <v>25134.400000000001</v>
      </c>
      <c r="K375">
        <v>13660</v>
      </c>
      <c r="L375" s="43" t="s">
        <v>639</v>
      </c>
      <c r="M375" s="44">
        <v>41791</v>
      </c>
      <c r="N375">
        <v>6</v>
      </c>
      <c r="O375" s="43" t="s">
        <v>23</v>
      </c>
      <c r="P375">
        <v>2014</v>
      </c>
    </row>
    <row r="376" spans="1:16" x14ac:dyDescent="0.2">
      <c r="A376" s="43" t="s">
        <v>31</v>
      </c>
      <c r="B376" s="43" t="s">
        <v>24</v>
      </c>
      <c r="C376" s="43" t="s">
        <v>36</v>
      </c>
      <c r="D376" s="43" t="s">
        <v>45</v>
      </c>
      <c r="E376">
        <v>2460</v>
      </c>
      <c r="F376">
        <v>10</v>
      </c>
      <c r="G376">
        <v>300</v>
      </c>
      <c r="H376">
        <v>738000</v>
      </c>
      <c r="I376" s="43" t="s">
        <v>640</v>
      </c>
      <c r="J376">
        <v>678960</v>
      </c>
      <c r="K376">
        <v>615000</v>
      </c>
      <c r="L376" s="43" t="s">
        <v>641</v>
      </c>
      <c r="M376" s="44">
        <v>41791</v>
      </c>
      <c r="N376">
        <v>6</v>
      </c>
      <c r="O376" s="43" t="s">
        <v>23</v>
      </c>
      <c r="P376">
        <v>2014</v>
      </c>
    </row>
    <row r="377" spans="1:16" x14ac:dyDescent="0.2">
      <c r="A377" s="43" t="s">
        <v>15</v>
      </c>
      <c r="B377" s="43" t="s">
        <v>35</v>
      </c>
      <c r="C377" s="43" t="s">
        <v>36</v>
      </c>
      <c r="D377" s="43" t="s">
        <v>45</v>
      </c>
      <c r="E377">
        <v>678</v>
      </c>
      <c r="F377">
        <v>10</v>
      </c>
      <c r="G377">
        <v>7</v>
      </c>
      <c r="H377">
        <v>4746</v>
      </c>
      <c r="I377" s="43" t="s">
        <v>642</v>
      </c>
      <c r="J377">
        <v>4366.32</v>
      </c>
      <c r="K377">
        <v>3390</v>
      </c>
      <c r="L377" s="43" t="s">
        <v>643</v>
      </c>
      <c r="M377" s="44">
        <v>41852</v>
      </c>
      <c r="N377">
        <v>8</v>
      </c>
      <c r="O377" s="43" t="s">
        <v>32</v>
      </c>
      <c r="P377">
        <v>2014</v>
      </c>
    </row>
    <row r="378" spans="1:16" x14ac:dyDescent="0.2">
      <c r="A378" s="43" t="s">
        <v>15</v>
      </c>
      <c r="B378" s="43" t="s">
        <v>20</v>
      </c>
      <c r="C378" s="43" t="s">
        <v>36</v>
      </c>
      <c r="D378" s="43" t="s">
        <v>45</v>
      </c>
      <c r="E378">
        <v>1598</v>
      </c>
      <c r="F378">
        <v>10</v>
      </c>
      <c r="G378">
        <v>7</v>
      </c>
      <c r="H378">
        <v>11186</v>
      </c>
      <c r="I378" s="43" t="s">
        <v>644</v>
      </c>
      <c r="J378">
        <v>10291.120000000001</v>
      </c>
      <c r="K378">
        <v>7990</v>
      </c>
      <c r="L378" s="43" t="s">
        <v>645</v>
      </c>
      <c r="M378" s="44">
        <v>41852</v>
      </c>
      <c r="N378">
        <v>8</v>
      </c>
      <c r="O378" s="43" t="s">
        <v>32</v>
      </c>
      <c r="P378">
        <v>2014</v>
      </c>
    </row>
    <row r="379" spans="1:16" x14ac:dyDescent="0.2">
      <c r="A379" s="43" t="s">
        <v>15</v>
      </c>
      <c r="B379" s="43" t="s">
        <v>20</v>
      </c>
      <c r="C379" s="43" t="s">
        <v>36</v>
      </c>
      <c r="D379" s="43" t="s">
        <v>45</v>
      </c>
      <c r="E379">
        <v>2409</v>
      </c>
      <c r="F379">
        <v>10</v>
      </c>
      <c r="G379">
        <v>7</v>
      </c>
      <c r="H379">
        <v>16863</v>
      </c>
      <c r="I379" s="43" t="s">
        <v>646</v>
      </c>
      <c r="J379">
        <v>15513.96</v>
      </c>
      <c r="K379">
        <v>12045</v>
      </c>
      <c r="L379" s="43" t="s">
        <v>647</v>
      </c>
      <c r="M379" s="44">
        <v>41518</v>
      </c>
      <c r="N379">
        <v>9</v>
      </c>
      <c r="O379" s="43" t="s">
        <v>33</v>
      </c>
      <c r="P379">
        <v>2013</v>
      </c>
    </row>
    <row r="380" spans="1:16" x14ac:dyDescent="0.2">
      <c r="A380" s="43" t="s">
        <v>15</v>
      </c>
      <c r="B380" s="43" t="s">
        <v>20</v>
      </c>
      <c r="C380" s="43" t="s">
        <v>36</v>
      </c>
      <c r="D380" s="43" t="s">
        <v>45</v>
      </c>
      <c r="E380">
        <v>1934</v>
      </c>
      <c r="F380">
        <v>10</v>
      </c>
      <c r="G380">
        <v>20</v>
      </c>
      <c r="H380">
        <v>38680</v>
      </c>
      <c r="I380" s="43" t="s">
        <v>648</v>
      </c>
      <c r="J380">
        <v>35585.599999999999</v>
      </c>
      <c r="K380">
        <v>19340</v>
      </c>
      <c r="L380" s="43" t="s">
        <v>649</v>
      </c>
      <c r="M380" s="44">
        <v>41883</v>
      </c>
      <c r="N380">
        <v>9</v>
      </c>
      <c r="O380" s="43" t="s">
        <v>33</v>
      </c>
      <c r="P380">
        <v>2014</v>
      </c>
    </row>
    <row r="381" spans="1:16" x14ac:dyDescent="0.2">
      <c r="A381" s="43" t="s">
        <v>15</v>
      </c>
      <c r="B381" s="43" t="s">
        <v>24</v>
      </c>
      <c r="C381" s="43" t="s">
        <v>36</v>
      </c>
      <c r="D381" s="43" t="s">
        <v>45</v>
      </c>
      <c r="E381">
        <v>2993</v>
      </c>
      <c r="F381">
        <v>10</v>
      </c>
      <c r="G381">
        <v>20</v>
      </c>
      <c r="H381">
        <v>59860</v>
      </c>
      <c r="I381" s="43" t="s">
        <v>650</v>
      </c>
      <c r="J381">
        <v>55071.199999999997</v>
      </c>
      <c r="K381">
        <v>29930</v>
      </c>
      <c r="L381" s="43" t="s">
        <v>651</v>
      </c>
      <c r="M381" s="44">
        <v>41883</v>
      </c>
      <c r="N381">
        <v>9</v>
      </c>
      <c r="O381" s="43" t="s">
        <v>33</v>
      </c>
      <c r="P381">
        <v>2014</v>
      </c>
    </row>
    <row r="382" spans="1:16" x14ac:dyDescent="0.2">
      <c r="A382" s="43" t="s">
        <v>15</v>
      </c>
      <c r="B382" s="43" t="s">
        <v>20</v>
      </c>
      <c r="C382" s="43" t="s">
        <v>36</v>
      </c>
      <c r="D382" s="43" t="s">
        <v>45</v>
      </c>
      <c r="E382">
        <v>2146</v>
      </c>
      <c r="F382">
        <v>10</v>
      </c>
      <c r="G382">
        <v>350</v>
      </c>
      <c r="H382">
        <v>751100</v>
      </c>
      <c r="I382" s="43" t="s">
        <v>652</v>
      </c>
      <c r="J382">
        <v>691012</v>
      </c>
      <c r="K382">
        <v>557960</v>
      </c>
      <c r="L382" s="43" t="s">
        <v>653</v>
      </c>
      <c r="M382" s="44">
        <v>41579</v>
      </c>
      <c r="N382">
        <v>11</v>
      </c>
      <c r="O382" s="43" t="s">
        <v>38</v>
      </c>
      <c r="P382">
        <v>2013</v>
      </c>
    </row>
    <row r="383" spans="1:16" x14ac:dyDescent="0.2">
      <c r="A383" s="43" t="s">
        <v>15</v>
      </c>
      <c r="B383" s="43" t="s">
        <v>24</v>
      </c>
      <c r="C383" s="43" t="s">
        <v>36</v>
      </c>
      <c r="D383" s="43" t="s">
        <v>45</v>
      </c>
      <c r="E383">
        <v>1946</v>
      </c>
      <c r="F383">
        <v>10</v>
      </c>
      <c r="G383">
        <v>7</v>
      </c>
      <c r="H383">
        <v>13622</v>
      </c>
      <c r="I383" s="43" t="s">
        <v>654</v>
      </c>
      <c r="J383">
        <v>12532.24</v>
      </c>
      <c r="K383">
        <v>9730</v>
      </c>
      <c r="L383" s="43" t="s">
        <v>655</v>
      </c>
      <c r="M383" s="44">
        <v>41609</v>
      </c>
      <c r="N383">
        <v>12</v>
      </c>
      <c r="O383" s="43" t="s">
        <v>25</v>
      </c>
      <c r="P383">
        <v>2013</v>
      </c>
    </row>
    <row r="384" spans="1:16" x14ac:dyDescent="0.2">
      <c r="A384" s="43" t="s">
        <v>15</v>
      </c>
      <c r="B384" s="43" t="s">
        <v>24</v>
      </c>
      <c r="C384" s="43" t="s">
        <v>36</v>
      </c>
      <c r="D384" s="43" t="s">
        <v>45</v>
      </c>
      <c r="E384">
        <v>1362</v>
      </c>
      <c r="F384">
        <v>10</v>
      </c>
      <c r="G384">
        <v>350</v>
      </c>
      <c r="H384">
        <v>476700</v>
      </c>
      <c r="I384" s="43" t="s">
        <v>618</v>
      </c>
      <c r="J384">
        <v>438564</v>
      </c>
      <c r="K384">
        <v>354120</v>
      </c>
      <c r="L384" s="43" t="s">
        <v>619</v>
      </c>
      <c r="M384" s="44">
        <v>41974</v>
      </c>
      <c r="N384">
        <v>12</v>
      </c>
      <c r="O384" s="43" t="s">
        <v>25</v>
      </c>
      <c r="P384">
        <v>2014</v>
      </c>
    </row>
    <row r="385" spans="1:16" x14ac:dyDescent="0.2">
      <c r="A385" s="43" t="s">
        <v>28</v>
      </c>
      <c r="B385" s="43" t="s">
        <v>16</v>
      </c>
      <c r="C385" s="43" t="s">
        <v>39</v>
      </c>
      <c r="D385" s="43" t="s">
        <v>45</v>
      </c>
      <c r="E385">
        <v>598</v>
      </c>
      <c r="F385">
        <v>120</v>
      </c>
      <c r="G385">
        <v>12</v>
      </c>
      <c r="H385">
        <v>7176</v>
      </c>
      <c r="I385" s="43" t="s">
        <v>656</v>
      </c>
      <c r="J385">
        <v>6601.92</v>
      </c>
      <c r="K385">
        <v>1794</v>
      </c>
      <c r="L385" s="43" t="s">
        <v>657</v>
      </c>
      <c r="M385" s="44">
        <v>41699</v>
      </c>
      <c r="N385">
        <v>3</v>
      </c>
      <c r="O385" s="43" t="s">
        <v>27</v>
      </c>
      <c r="P385">
        <v>2014</v>
      </c>
    </row>
    <row r="386" spans="1:16" x14ac:dyDescent="0.2">
      <c r="A386" s="43" t="s">
        <v>15</v>
      </c>
      <c r="B386" s="43" t="s">
        <v>35</v>
      </c>
      <c r="C386" s="43" t="s">
        <v>39</v>
      </c>
      <c r="D386" s="43" t="s">
        <v>45</v>
      </c>
      <c r="E386">
        <v>2907</v>
      </c>
      <c r="F386">
        <v>120</v>
      </c>
      <c r="G386">
        <v>7</v>
      </c>
      <c r="H386">
        <v>20349</v>
      </c>
      <c r="I386" s="43" t="s">
        <v>658</v>
      </c>
      <c r="J386">
        <v>18721.080000000002</v>
      </c>
      <c r="K386">
        <v>14535</v>
      </c>
      <c r="L386" s="43" t="s">
        <v>659</v>
      </c>
      <c r="M386" s="44">
        <v>41791</v>
      </c>
      <c r="N386">
        <v>6</v>
      </c>
      <c r="O386" s="43" t="s">
        <v>23</v>
      </c>
      <c r="P386">
        <v>2014</v>
      </c>
    </row>
    <row r="387" spans="1:16" x14ac:dyDescent="0.2">
      <c r="A387" s="43" t="s">
        <v>15</v>
      </c>
      <c r="B387" s="43" t="s">
        <v>20</v>
      </c>
      <c r="C387" s="43" t="s">
        <v>39</v>
      </c>
      <c r="D387" s="43" t="s">
        <v>45</v>
      </c>
      <c r="E387">
        <v>2338</v>
      </c>
      <c r="F387">
        <v>120</v>
      </c>
      <c r="G387">
        <v>7</v>
      </c>
      <c r="H387">
        <v>16366</v>
      </c>
      <c r="I387" s="43" t="s">
        <v>660</v>
      </c>
      <c r="J387">
        <v>15056.72</v>
      </c>
      <c r="K387">
        <v>11690</v>
      </c>
      <c r="L387" s="43" t="s">
        <v>661</v>
      </c>
      <c r="M387" s="44">
        <v>41791</v>
      </c>
      <c r="N387">
        <v>6</v>
      </c>
      <c r="O387" s="43" t="s">
        <v>23</v>
      </c>
      <c r="P387">
        <v>2014</v>
      </c>
    </row>
    <row r="388" spans="1:16" x14ac:dyDescent="0.2">
      <c r="A388" s="43" t="s">
        <v>31</v>
      </c>
      <c r="B388" s="43" t="s">
        <v>22</v>
      </c>
      <c r="C388" s="43" t="s">
        <v>39</v>
      </c>
      <c r="D388" s="43" t="s">
        <v>45</v>
      </c>
      <c r="E388">
        <v>386</v>
      </c>
      <c r="F388">
        <v>120</v>
      </c>
      <c r="G388">
        <v>300</v>
      </c>
      <c r="H388">
        <v>115800</v>
      </c>
      <c r="I388" s="43" t="s">
        <v>662</v>
      </c>
      <c r="J388">
        <v>106536</v>
      </c>
      <c r="K388">
        <v>96500</v>
      </c>
      <c r="L388" s="43" t="s">
        <v>663</v>
      </c>
      <c r="M388" s="44">
        <v>41579</v>
      </c>
      <c r="N388">
        <v>11</v>
      </c>
      <c r="O388" s="43" t="s">
        <v>38</v>
      </c>
      <c r="P388">
        <v>2013</v>
      </c>
    </row>
    <row r="389" spans="1:16" x14ac:dyDescent="0.2">
      <c r="A389" s="43" t="s">
        <v>31</v>
      </c>
      <c r="B389" s="43" t="s">
        <v>24</v>
      </c>
      <c r="C389" s="43" t="s">
        <v>39</v>
      </c>
      <c r="D389" s="43" t="s">
        <v>45</v>
      </c>
      <c r="E389">
        <v>635</v>
      </c>
      <c r="F389">
        <v>120</v>
      </c>
      <c r="G389">
        <v>300</v>
      </c>
      <c r="H389">
        <v>190500</v>
      </c>
      <c r="I389" s="43" t="s">
        <v>664</v>
      </c>
      <c r="J389">
        <v>175260</v>
      </c>
      <c r="K389">
        <v>158750</v>
      </c>
      <c r="L389" s="43" t="s">
        <v>665</v>
      </c>
      <c r="M389" s="44">
        <v>41974</v>
      </c>
      <c r="N389">
        <v>12</v>
      </c>
      <c r="O389" s="43" t="s">
        <v>25</v>
      </c>
      <c r="P389">
        <v>2014</v>
      </c>
    </row>
    <row r="390" spans="1:16" x14ac:dyDescent="0.2">
      <c r="A390" s="43" t="s">
        <v>15</v>
      </c>
      <c r="B390" s="43" t="s">
        <v>22</v>
      </c>
      <c r="C390" s="43" t="s">
        <v>40</v>
      </c>
      <c r="D390" s="43" t="s">
        <v>45</v>
      </c>
      <c r="E390">
        <v>574.5</v>
      </c>
      <c r="F390">
        <v>250</v>
      </c>
      <c r="G390">
        <v>350</v>
      </c>
      <c r="H390">
        <v>201075</v>
      </c>
      <c r="I390" s="43" t="s">
        <v>666</v>
      </c>
      <c r="J390">
        <v>184989</v>
      </c>
      <c r="K390">
        <v>149370</v>
      </c>
      <c r="L390" s="43" t="s">
        <v>667</v>
      </c>
      <c r="M390" s="44">
        <v>41730</v>
      </c>
      <c r="N390">
        <v>4</v>
      </c>
      <c r="O390" s="43" t="s">
        <v>41</v>
      </c>
      <c r="P390">
        <v>2014</v>
      </c>
    </row>
    <row r="391" spans="1:16" x14ac:dyDescent="0.2">
      <c r="A391" s="43" t="s">
        <v>15</v>
      </c>
      <c r="B391" s="43" t="s">
        <v>20</v>
      </c>
      <c r="C391" s="43" t="s">
        <v>40</v>
      </c>
      <c r="D391" s="43" t="s">
        <v>45</v>
      </c>
      <c r="E391">
        <v>2338</v>
      </c>
      <c r="F391">
        <v>250</v>
      </c>
      <c r="G391">
        <v>7</v>
      </c>
      <c r="H391">
        <v>16366</v>
      </c>
      <c r="I391" s="43" t="s">
        <v>660</v>
      </c>
      <c r="J391">
        <v>15056.72</v>
      </c>
      <c r="K391">
        <v>11690</v>
      </c>
      <c r="L391" s="43" t="s">
        <v>661</v>
      </c>
      <c r="M391" s="44">
        <v>41791</v>
      </c>
      <c r="N391">
        <v>6</v>
      </c>
      <c r="O391" s="43" t="s">
        <v>23</v>
      </c>
      <c r="P391">
        <v>2014</v>
      </c>
    </row>
    <row r="392" spans="1:16" x14ac:dyDescent="0.2">
      <c r="A392" s="43" t="s">
        <v>15</v>
      </c>
      <c r="B392" s="43" t="s">
        <v>22</v>
      </c>
      <c r="C392" s="43" t="s">
        <v>40</v>
      </c>
      <c r="D392" s="43" t="s">
        <v>45</v>
      </c>
      <c r="E392">
        <v>381</v>
      </c>
      <c r="F392">
        <v>250</v>
      </c>
      <c r="G392">
        <v>350</v>
      </c>
      <c r="H392">
        <v>133350</v>
      </c>
      <c r="I392" s="43" t="s">
        <v>668</v>
      </c>
      <c r="J392">
        <v>122682</v>
      </c>
      <c r="K392">
        <v>99060</v>
      </c>
      <c r="L392" s="43" t="s">
        <v>669</v>
      </c>
      <c r="M392" s="44">
        <v>41852</v>
      </c>
      <c r="N392">
        <v>8</v>
      </c>
      <c r="O392" s="43" t="s">
        <v>32</v>
      </c>
      <c r="P392">
        <v>2014</v>
      </c>
    </row>
    <row r="393" spans="1:16" x14ac:dyDescent="0.2">
      <c r="A393" s="43" t="s">
        <v>15</v>
      </c>
      <c r="B393" s="43" t="s">
        <v>20</v>
      </c>
      <c r="C393" s="43" t="s">
        <v>40</v>
      </c>
      <c r="D393" s="43" t="s">
        <v>45</v>
      </c>
      <c r="E393">
        <v>422</v>
      </c>
      <c r="F393">
        <v>250</v>
      </c>
      <c r="G393">
        <v>350</v>
      </c>
      <c r="H393">
        <v>147700</v>
      </c>
      <c r="I393" s="43" t="s">
        <v>670</v>
      </c>
      <c r="J393">
        <v>135884</v>
      </c>
      <c r="K393">
        <v>109720</v>
      </c>
      <c r="L393" s="43" t="s">
        <v>671</v>
      </c>
      <c r="M393" s="44">
        <v>41852</v>
      </c>
      <c r="N393">
        <v>8</v>
      </c>
      <c r="O393" s="43" t="s">
        <v>32</v>
      </c>
      <c r="P393">
        <v>2014</v>
      </c>
    </row>
    <row r="394" spans="1:16" x14ac:dyDescent="0.2">
      <c r="A394" s="43" t="s">
        <v>31</v>
      </c>
      <c r="B394" s="43" t="s">
        <v>16</v>
      </c>
      <c r="C394" s="43" t="s">
        <v>40</v>
      </c>
      <c r="D394" s="43" t="s">
        <v>45</v>
      </c>
      <c r="E394">
        <v>2134</v>
      </c>
      <c r="F394">
        <v>250</v>
      </c>
      <c r="G394">
        <v>300</v>
      </c>
      <c r="H394">
        <v>640200</v>
      </c>
      <c r="I394" s="43" t="s">
        <v>672</v>
      </c>
      <c r="J394">
        <v>588984</v>
      </c>
      <c r="K394">
        <v>533500</v>
      </c>
      <c r="L394" s="43" t="s">
        <v>673</v>
      </c>
      <c r="M394" s="44">
        <v>41883</v>
      </c>
      <c r="N394">
        <v>9</v>
      </c>
      <c r="O394" s="43" t="s">
        <v>33</v>
      </c>
      <c r="P394">
        <v>2014</v>
      </c>
    </row>
    <row r="395" spans="1:16" x14ac:dyDescent="0.2">
      <c r="A395" s="43" t="s">
        <v>31</v>
      </c>
      <c r="B395" s="43" t="s">
        <v>35</v>
      </c>
      <c r="C395" s="43" t="s">
        <v>40</v>
      </c>
      <c r="D395" s="43" t="s">
        <v>45</v>
      </c>
      <c r="E395">
        <v>808</v>
      </c>
      <c r="F395">
        <v>250</v>
      </c>
      <c r="G395">
        <v>300</v>
      </c>
      <c r="H395">
        <v>242400</v>
      </c>
      <c r="I395" s="43" t="s">
        <v>674</v>
      </c>
      <c r="J395">
        <v>223008</v>
      </c>
      <c r="K395">
        <v>202000</v>
      </c>
      <c r="L395" s="43" t="s">
        <v>675</v>
      </c>
      <c r="M395" s="44">
        <v>41609</v>
      </c>
      <c r="N395">
        <v>12</v>
      </c>
      <c r="O395" s="43" t="s">
        <v>25</v>
      </c>
      <c r="P395">
        <v>2013</v>
      </c>
    </row>
    <row r="396" spans="1:16" x14ac:dyDescent="0.2">
      <c r="A396" s="43" t="s">
        <v>15</v>
      </c>
      <c r="B396" s="43" t="s">
        <v>16</v>
      </c>
      <c r="C396" s="43" t="s">
        <v>42</v>
      </c>
      <c r="D396" s="43" t="s">
        <v>45</v>
      </c>
      <c r="E396">
        <v>708</v>
      </c>
      <c r="F396">
        <v>260</v>
      </c>
      <c r="G396">
        <v>20</v>
      </c>
      <c r="H396">
        <v>14160</v>
      </c>
      <c r="I396" s="43" t="s">
        <v>622</v>
      </c>
      <c r="J396">
        <v>13027.2</v>
      </c>
      <c r="K396">
        <v>7080</v>
      </c>
      <c r="L396" s="43" t="s">
        <v>623</v>
      </c>
      <c r="M396" s="44">
        <v>41791</v>
      </c>
      <c r="N396">
        <v>6</v>
      </c>
      <c r="O396" s="43" t="s">
        <v>23</v>
      </c>
      <c r="P396">
        <v>2014</v>
      </c>
    </row>
    <row r="397" spans="1:16" x14ac:dyDescent="0.2">
      <c r="A397" s="43" t="s">
        <v>15</v>
      </c>
      <c r="B397" s="43" t="s">
        <v>35</v>
      </c>
      <c r="C397" s="43" t="s">
        <v>42</v>
      </c>
      <c r="D397" s="43" t="s">
        <v>45</v>
      </c>
      <c r="E397">
        <v>2907</v>
      </c>
      <c r="F397">
        <v>260</v>
      </c>
      <c r="G397">
        <v>7</v>
      </c>
      <c r="H397">
        <v>20349</v>
      </c>
      <c r="I397" s="43" t="s">
        <v>658</v>
      </c>
      <c r="J397">
        <v>18721.080000000002</v>
      </c>
      <c r="K397">
        <v>14535</v>
      </c>
      <c r="L397" s="43" t="s">
        <v>659</v>
      </c>
      <c r="M397" s="44">
        <v>41791</v>
      </c>
      <c r="N397">
        <v>6</v>
      </c>
      <c r="O397" s="43" t="s">
        <v>23</v>
      </c>
      <c r="P397">
        <v>2014</v>
      </c>
    </row>
    <row r="398" spans="1:16" x14ac:dyDescent="0.2">
      <c r="A398" s="43" t="s">
        <v>15</v>
      </c>
      <c r="B398" s="43" t="s">
        <v>20</v>
      </c>
      <c r="C398" s="43" t="s">
        <v>42</v>
      </c>
      <c r="D398" s="43" t="s">
        <v>45</v>
      </c>
      <c r="E398">
        <v>1366</v>
      </c>
      <c r="F398">
        <v>260</v>
      </c>
      <c r="G398">
        <v>20</v>
      </c>
      <c r="H398">
        <v>27320</v>
      </c>
      <c r="I398" s="43" t="s">
        <v>638</v>
      </c>
      <c r="J398">
        <v>25134.400000000001</v>
      </c>
      <c r="K398">
        <v>13660</v>
      </c>
      <c r="L398" s="43" t="s">
        <v>639</v>
      </c>
      <c r="M398" s="44">
        <v>41791</v>
      </c>
      <c r="N398">
        <v>6</v>
      </c>
      <c r="O398" s="43" t="s">
        <v>23</v>
      </c>
      <c r="P398">
        <v>2014</v>
      </c>
    </row>
    <row r="399" spans="1:16" x14ac:dyDescent="0.2">
      <c r="A399" s="43" t="s">
        <v>31</v>
      </c>
      <c r="B399" s="43" t="s">
        <v>24</v>
      </c>
      <c r="C399" s="43" t="s">
        <v>42</v>
      </c>
      <c r="D399" s="43" t="s">
        <v>45</v>
      </c>
      <c r="E399">
        <v>2460</v>
      </c>
      <c r="F399">
        <v>260</v>
      </c>
      <c r="G399">
        <v>300</v>
      </c>
      <c r="H399">
        <v>738000</v>
      </c>
      <c r="I399" s="43" t="s">
        <v>640</v>
      </c>
      <c r="J399">
        <v>678960</v>
      </c>
      <c r="K399">
        <v>615000</v>
      </c>
      <c r="L399" s="43" t="s">
        <v>641</v>
      </c>
      <c r="M399" s="44">
        <v>41791</v>
      </c>
      <c r="N399">
        <v>6</v>
      </c>
      <c r="O399" s="43" t="s">
        <v>23</v>
      </c>
      <c r="P399">
        <v>2014</v>
      </c>
    </row>
    <row r="400" spans="1:16" x14ac:dyDescent="0.2">
      <c r="A400" s="43" t="s">
        <v>15</v>
      </c>
      <c r="B400" s="43" t="s">
        <v>20</v>
      </c>
      <c r="C400" s="43" t="s">
        <v>42</v>
      </c>
      <c r="D400" s="43" t="s">
        <v>45</v>
      </c>
      <c r="E400">
        <v>1520</v>
      </c>
      <c r="F400">
        <v>260</v>
      </c>
      <c r="G400">
        <v>20</v>
      </c>
      <c r="H400">
        <v>30400</v>
      </c>
      <c r="I400" s="43" t="s">
        <v>676</v>
      </c>
      <c r="J400">
        <v>27968</v>
      </c>
      <c r="K400">
        <v>15200</v>
      </c>
      <c r="L400" s="43" t="s">
        <v>677</v>
      </c>
      <c r="M400" s="44">
        <v>41944</v>
      </c>
      <c r="N400">
        <v>11</v>
      </c>
      <c r="O400" s="43" t="s">
        <v>38</v>
      </c>
      <c r="P400">
        <v>2014</v>
      </c>
    </row>
    <row r="401" spans="1:16" x14ac:dyDescent="0.2">
      <c r="A401" s="43" t="s">
        <v>21</v>
      </c>
      <c r="B401" s="43" t="s">
        <v>20</v>
      </c>
      <c r="C401" s="43" t="s">
        <v>42</v>
      </c>
      <c r="D401" s="43" t="s">
        <v>45</v>
      </c>
      <c r="E401">
        <v>711</v>
      </c>
      <c r="F401">
        <v>260</v>
      </c>
      <c r="G401">
        <v>15</v>
      </c>
      <c r="H401">
        <v>10665</v>
      </c>
      <c r="I401" s="43" t="s">
        <v>630</v>
      </c>
      <c r="J401">
        <v>9811.7999999999993</v>
      </c>
      <c r="K401">
        <v>7110</v>
      </c>
      <c r="L401" s="43" t="s">
        <v>631</v>
      </c>
      <c r="M401" s="44">
        <v>41974</v>
      </c>
      <c r="N401">
        <v>12</v>
      </c>
      <c r="O401" s="43" t="s">
        <v>25</v>
      </c>
      <c r="P401">
        <v>2014</v>
      </c>
    </row>
    <row r="402" spans="1:16" x14ac:dyDescent="0.2">
      <c r="A402" s="43" t="s">
        <v>28</v>
      </c>
      <c r="B402" s="43" t="s">
        <v>24</v>
      </c>
      <c r="C402" s="43" t="s">
        <v>42</v>
      </c>
      <c r="D402" s="43" t="s">
        <v>45</v>
      </c>
      <c r="E402">
        <v>1375</v>
      </c>
      <c r="F402">
        <v>260</v>
      </c>
      <c r="G402">
        <v>12</v>
      </c>
      <c r="H402">
        <v>16500</v>
      </c>
      <c r="I402" s="43" t="s">
        <v>678</v>
      </c>
      <c r="J402">
        <v>15180</v>
      </c>
      <c r="K402">
        <v>4125</v>
      </c>
      <c r="L402" s="43" t="s">
        <v>679</v>
      </c>
      <c r="M402" s="44">
        <v>41609</v>
      </c>
      <c r="N402">
        <v>12</v>
      </c>
      <c r="O402" s="43" t="s">
        <v>25</v>
      </c>
      <c r="P402">
        <v>2013</v>
      </c>
    </row>
    <row r="403" spans="1:16" x14ac:dyDescent="0.2">
      <c r="A403" s="43" t="s">
        <v>31</v>
      </c>
      <c r="B403" s="43" t="s">
        <v>24</v>
      </c>
      <c r="C403" s="43" t="s">
        <v>42</v>
      </c>
      <c r="D403" s="43" t="s">
        <v>45</v>
      </c>
      <c r="E403">
        <v>635</v>
      </c>
      <c r="F403">
        <v>260</v>
      </c>
      <c r="G403">
        <v>300</v>
      </c>
      <c r="H403">
        <v>190500</v>
      </c>
      <c r="I403" s="43" t="s">
        <v>664</v>
      </c>
      <c r="J403">
        <v>175260</v>
      </c>
      <c r="K403">
        <v>158750</v>
      </c>
      <c r="L403" s="43" t="s">
        <v>665</v>
      </c>
      <c r="M403" s="44">
        <v>41974</v>
      </c>
      <c r="N403">
        <v>12</v>
      </c>
      <c r="O403" s="43" t="s">
        <v>25</v>
      </c>
      <c r="P403">
        <v>2014</v>
      </c>
    </row>
    <row r="404" spans="1:16" x14ac:dyDescent="0.2">
      <c r="A404" s="43" t="s">
        <v>15</v>
      </c>
      <c r="B404" s="43" t="s">
        <v>35</v>
      </c>
      <c r="C404" s="43" t="s">
        <v>40</v>
      </c>
      <c r="D404" s="43" t="s">
        <v>45</v>
      </c>
      <c r="E404">
        <v>436.5</v>
      </c>
      <c r="F404">
        <v>250</v>
      </c>
      <c r="G404">
        <v>20</v>
      </c>
      <c r="H404">
        <v>8730</v>
      </c>
      <c r="I404" s="43" t="s">
        <v>680</v>
      </c>
      <c r="J404">
        <v>8031.6</v>
      </c>
      <c r="K404">
        <v>4365</v>
      </c>
      <c r="L404" s="43" t="s">
        <v>681</v>
      </c>
      <c r="M404" s="44">
        <v>41821</v>
      </c>
      <c r="N404">
        <v>7</v>
      </c>
      <c r="O404" s="43" t="s">
        <v>30</v>
      </c>
      <c r="P404">
        <v>2014</v>
      </c>
    </row>
    <row r="405" spans="1:16" x14ac:dyDescent="0.2">
      <c r="A405" s="43" t="s">
        <v>31</v>
      </c>
      <c r="B405" s="43" t="s">
        <v>16</v>
      </c>
      <c r="C405" s="43" t="s">
        <v>17</v>
      </c>
      <c r="D405" s="43" t="s">
        <v>45</v>
      </c>
      <c r="E405">
        <v>1094</v>
      </c>
      <c r="F405">
        <v>3</v>
      </c>
      <c r="G405">
        <v>300</v>
      </c>
      <c r="H405">
        <v>328200</v>
      </c>
      <c r="I405" s="43" t="s">
        <v>682</v>
      </c>
      <c r="J405">
        <v>298662</v>
      </c>
      <c r="K405">
        <v>273500</v>
      </c>
      <c r="L405" s="43" t="s">
        <v>683</v>
      </c>
      <c r="M405" s="44">
        <v>41791</v>
      </c>
      <c r="N405">
        <v>6</v>
      </c>
      <c r="O405" s="43" t="s">
        <v>23</v>
      </c>
      <c r="P405">
        <v>2014</v>
      </c>
    </row>
    <row r="406" spans="1:16" x14ac:dyDescent="0.2">
      <c r="A406" s="43" t="s">
        <v>28</v>
      </c>
      <c r="B406" s="43" t="s">
        <v>24</v>
      </c>
      <c r="C406" s="43" t="s">
        <v>17</v>
      </c>
      <c r="D406" s="43" t="s">
        <v>45</v>
      </c>
      <c r="E406">
        <v>367</v>
      </c>
      <c r="F406">
        <v>3</v>
      </c>
      <c r="G406">
        <v>12</v>
      </c>
      <c r="H406">
        <v>4404</v>
      </c>
      <c r="I406" s="43" t="s">
        <v>684</v>
      </c>
      <c r="J406">
        <v>4007.64</v>
      </c>
      <c r="K406">
        <v>1101</v>
      </c>
      <c r="L406" s="43" t="s">
        <v>685</v>
      </c>
      <c r="M406" s="44">
        <v>41548</v>
      </c>
      <c r="N406">
        <v>10</v>
      </c>
      <c r="O406" s="43" t="s">
        <v>34</v>
      </c>
      <c r="P406">
        <v>2013</v>
      </c>
    </row>
    <row r="407" spans="1:16" x14ac:dyDescent="0.2">
      <c r="A407" s="43" t="s">
        <v>31</v>
      </c>
      <c r="B407" s="43" t="s">
        <v>16</v>
      </c>
      <c r="C407" s="43" t="s">
        <v>26</v>
      </c>
      <c r="D407" s="43" t="s">
        <v>45</v>
      </c>
      <c r="E407">
        <v>3802.5</v>
      </c>
      <c r="F407">
        <v>5</v>
      </c>
      <c r="G407">
        <v>300</v>
      </c>
      <c r="H407">
        <v>1140750</v>
      </c>
      <c r="I407" s="43" t="s">
        <v>686</v>
      </c>
      <c r="J407">
        <v>1038082.5</v>
      </c>
      <c r="K407">
        <v>950625</v>
      </c>
      <c r="L407" s="43" t="s">
        <v>687</v>
      </c>
      <c r="M407" s="44">
        <v>41730</v>
      </c>
      <c r="N407">
        <v>4</v>
      </c>
      <c r="O407" s="43" t="s">
        <v>41</v>
      </c>
      <c r="P407">
        <v>2014</v>
      </c>
    </row>
    <row r="408" spans="1:16" x14ac:dyDescent="0.2">
      <c r="A408" s="43" t="s">
        <v>15</v>
      </c>
      <c r="B408" s="43" t="s">
        <v>22</v>
      </c>
      <c r="C408" s="43" t="s">
        <v>26</v>
      </c>
      <c r="D408" s="43" t="s">
        <v>45</v>
      </c>
      <c r="E408">
        <v>1666</v>
      </c>
      <c r="F408">
        <v>5</v>
      </c>
      <c r="G408">
        <v>350</v>
      </c>
      <c r="H408">
        <v>583100</v>
      </c>
      <c r="I408" s="43" t="s">
        <v>688</v>
      </c>
      <c r="J408">
        <v>530621</v>
      </c>
      <c r="K408">
        <v>433160</v>
      </c>
      <c r="L408" s="43" t="s">
        <v>689</v>
      </c>
      <c r="M408" s="44">
        <v>41760</v>
      </c>
      <c r="N408">
        <v>5</v>
      </c>
      <c r="O408" s="43" t="s">
        <v>44</v>
      </c>
      <c r="P408">
        <v>2014</v>
      </c>
    </row>
    <row r="409" spans="1:16" x14ac:dyDescent="0.2">
      <c r="A409" s="43" t="s">
        <v>31</v>
      </c>
      <c r="B409" s="43" t="s">
        <v>22</v>
      </c>
      <c r="C409" s="43" t="s">
        <v>26</v>
      </c>
      <c r="D409" s="43" t="s">
        <v>45</v>
      </c>
      <c r="E409">
        <v>322</v>
      </c>
      <c r="F409">
        <v>5</v>
      </c>
      <c r="G409">
        <v>300</v>
      </c>
      <c r="H409">
        <v>96600</v>
      </c>
      <c r="I409" s="43" t="s">
        <v>690</v>
      </c>
      <c r="J409">
        <v>87906</v>
      </c>
      <c r="K409">
        <v>80500</v>
      </c>
      <c r="L409" s="43" t="s">
        <v>691</v>
      </c>
      <c r="M409" s="44">
        <v>41518</v>
      </c>
      <c r="N409">
        <v>9</v>
      </c>
      <c r="O409" s="43" t="s">
        <v>33</v>
      </c>
      <c r="P409">
        <v>2013</v>
      </c>
    </row>
    <row r="410" spans="1:16" x14ac:dyDescent="0.2">
      <c r="A410" s="43" t="s">
        <v>28</v>
      </c>
      <c r="B410" s="43" t="s">
        <v>16</v>
      </c>
      <c r="C410" s="43" t="s">
        <v>26</v>
      </c>
      <c r="D410" s="43" t="s">
        <v>45</v>
      </c>
      <c r="E410">
        <v>2321</v>
      </c>
      <c r="F410">
        <v>5</v>
      </c>
      <c r="G410">
        <v>12</v>
      </c>
      <c r="H410">
        <v>27852</v>
      </c>
      <c r="I410" s="43" t="s">
        <v>692</v>
      </c>
      <c r="J410">
        <v>25345.32</v>
      </c>
      <c r="K410">
        <v>6963</v>
      </c>
      <c r="L410" s="43" t="s">
        <v>693</v>
      </c>
      <c r="M410" s="44">
        <v>41944</v>
      </c>
      <c r="N410">
        <v>11</v>
      </c>
      <c r="O410" s="43" t="s">
        <v>38</v>
      </c>
      <c r="P410">
        <v>2014</v>
      </c>
    </row>
    <row r="411" spans="1:16" x14ac:dyDescent="0.2">
      <c r="A411" s="43" t="s">
        <v>29</v>
      </c>
      <c r="B411" s="43" t="s">
        <v>22</v>
      </c>
      <c r="C411" s="43" t="s">
        <v>26</v>
      </c>
      <c r="D411" s="43" t="s">
        <v>45</v>
      </c>
      <c r="E411">
        <v>1857</v>
      </c>
      <c r="F411">
        <v>5</v>
      </c>
      <c r="G411">
        <v>125</v>
      </c>
      <c r="H411">
        <v>232125</v>
      </c>
      <c r="I411" s="43" t="s">
        <v>694</v>
      </c>
      <c r="J411">
        <v>211233.75</v>
      </c>
      <c r="K411">
        <v>222840</v>
      </c>
      <c r="L411" s="43" t="s">
        <v>695</v>
      </c>
      <c r="M411" s="44">
        <v>41579</v>
      </c>
      <c r="N411">
        <v>11</v>
      </c>
      <c r="O411" s="43" t="s">
        <v>38</v>
      </c>
      <c r="P411">
        <v>2013</v>
      </c>
    </row>
    <row r="412" spans="1:16" x14ac:dyDescent="0.2">
      <c r="A412" s="43" t="s">
        <v>15</v>
      </c>
      <c r="B412" s="43" t="s">
        <v>16</v>
      </c>
      <c r="C412" s="43" t="s">
        <v>26</v>
      </c>
      <c r="D412" s="43" t="s">
        <v>45</v>
      </c>
      <c r="E412">
        <v>1611</v>
      </c>
      <c r="F412">
        <v>5</v>
      </c>
      <c r="G412">
        <v>7</v>
      </c>
      <c r="H412">
        <v>11277</v>
      </c>
      <c r="I412" s="43" t="s">
        <v>696</v>
      </c>
      <c r="J412">
        <v>10262.07</v>
      </c>
      <c r="K412">
        <v>8055</v>
      </c>
      <c r="L412" s="43" t="s">
        <v>697</v>
      </c>
      <c r="M412" s="44">
        <v>41609</v>
      </c>
      <c r="N412">
        <v>12</v>
      </c>
      <c r="O412" s="43" t="s">
        <v>25</v>
      </c>
      <c r="P412">
        <v>2013</v>
      </c>
    </row>
    <row r="413" spans="1:16" x14ac:dyDescent="0.2">
      <c r="A413" s="43" t="s">
        <v>29</v>
      </c>
      <c r="B413" s="43" t="s">
        <v>35</v>
      </c>
      <c r="C413" s="43" t="s">
        <v>26</v>
      </c>
      <c r="D413" s="43" t="s">
        <v>45</v>
      </c>
      <c r="E413">
        <v>2797</v>
      </c>
      <c r="F413">
        <v>5</v>
      </c>
      <c r="G413">
        <v>125</v>
      </c>
      <c r="H413">
        <v>349625</v>
      </c>
      <c r="I413" s="43" t="s">
        <v>698</v>
      </c>
      <c r="J413">
        <v>318158.75</v>
      </c>
      <c r="K413">
        <v>335640</v>
      </c>
      <c r="L413" s="43" t="s">
        <v>699</v>
      </c>
      <c r="M413" s="44">
        <v>41974</v>
      </c>
      <c r="N413">
        <v>12</v>
      </c>
      <c r="O413" s="43" t="s">
        <v>25</v>
      </c>
      <c r="P413">
        <v>2014</v>
      </c>
    </row>
    <row r="414" spans="1:16" x14ac:dyDescent="0.2">
      <c r="A414" s="43" t="s">
        <v>31</v>
      </c>
      <c r="B414" s="43" t="s">
        <v>20</v>
      </c>
      <c r="C414" s="43" t="s">
        <v>26</v>
      </c>
      <c r="D414" s="43" t="s">
        <v>45</v>
      </c>
      <c r="E414">
        <v>334</v>
      </c>
      <c r="F414">
        <v>5</v>
      </c>
      <c r="G414">
        <v>300</v>
      </c>
      <c r="H414">
        <v>100200</v>
      </c>
      <c r="I414" s="43" t="s">
        <v>700</v>
      </c>
      <c r="J414">
        <v>91182</v>
      </c>
      <c r="K414">
        <v>83500</v>
      </c>
      <c r="L414" s="43" t="s">
        <v>701</v>
      </c>
      <c r="M414" s="44">
        <v>41609</v>
      </c>
      <c r="N414">
        <v>12</v>
      </c>
      <c r="O414" s="43" t="s">
        <v>25</v>
      </c>
      <c r="P414">
        <v>2013</v>
      </c>
    </row>
    <row r="415" spans="1:16" x14ac:dyDescent="0.2">
      <c r="A415" s="43" t="s">
        <v>31</v>
      </c>
      <c r="B415" s="43" t="s">
        <v>24</v>
      </c>
      <c r="C415" s="43" t="s">
        <v>36</v>
      </c>
      <c r="D415" s="43" t="s">
        <v>45</v>
      </c>
      <c r="E415">
        <v>2565</v>
      </c>
      <c r="F415">
        <v>10</v>
      </c>
      <c r="G415">
        <v>300</v>
      </c>
      <c r="H415">
        <v>769500</v>
      </c>
      <c r="I415" s="43" t="s">
        <v>702</v>
      </c>
      <c r="J415">
        <v>700245</v>
      </c>
      <c r="K415">
        <v>641250</v>
      </c>
      <c r="L415" s="43" t="s">
        <v>703</v>
      </c>
      <c r="M415" s="44">
        <v>41640</v>
      </c>
      <c r="N415">
        <v>1</v>
      </c>
      <c r="O415" s="43" t="s">
        <v>19</v>
      </c>
      <c r="P415">
        <v>2014</v>
      </c>
    </row>
    <row r="416" spans="1:16" x14ac:dyDescent="0.2">
      <c r="A416" s="43" t="s">
        <v>15</v>
      </c>
      <c r="B416" s="43" t="s">
        <v>24</v>
      </c>
      <c r="C416" s="43" t="s">
        <v>36</v>
      </c>
      <c r="D416" s="43" t="s">
        <v>45</v>
      </c>
      <c r="E416">
        <v>2417</v>
      </c>
      <c r="F416">
        <v>10</v>
      </c>
      <c r="G416">
        <v>350</v>
      </c>
      <c r="H416">
        <v>845950</v>
      </c>
      <c r="I416" s="43" t="s">
        <v>704</v>
      </c>
      <c r="J416">
        <v>769814.5</v>
      </c>
      <c r="K416">
        <v>628420</v>
      </c>
      <c r="L416" s="43" t="s">
        <v>705</v>
      </c>
      <c r="M416" s="44">
        <v>41640</v>
      </c>
      <c r="N416">
        <v>1</v>
      </c>
      <c r="O416" s="43" t="s">
        <v>19</v>
      </c>
      <c r="P416">
        <v>2014</v>
      </c>
    </row>
    <row r="417" spans="1:16" x14ac:dyDescent="0.2">
      <c r="A417" s="43" t="s">
        <v>21</v>
      </c>
      <c r="B417" s="43" t="s">
        <v>35</v>
      </c>
      <c r="C417" s="43" t="s">
        <v>36</v>
      </c>
      <c r="D417" s="43" t="s">
        <v>45</v>
      </c>
      <c r="E417">
        <v>3675</v>
      </c>
      <c r="F417">
        <v>10</v>
      </c>
      <c r="G417">
        <v>15</v>
      </c>
      <c r="H417">
        <v>55125</v>
      </c>
      <c r="I417" s="43" t="s">
        <v>706</v>
      </c>
      <c r="J417">
        <v>50163.75</v>
      </c>
      <c r="K417">
        <v>36750</v>
      </c>
      <c r="L417" s="43" t="s">
        <v>707</v>
      </c>
      <c r="M417" s="44">
        <v>41730</v>
      </c>
      <c r="N417">
        <v>4</v>
      </c>
      <c r="O417" s="43" t="s">
        <v>41</v>
      </c>
      <c r="P417">
        <v>2014</v>
      </c>
    </row>
    <row r="418" spans="1:16" x14ac:dyDescent="0.2">
      <c r="A418" s="43" t="s">
        <v>31</v>
      </c>
      <c r="B418" s="43" t="s">
        <v>16</v>
      </c>
      <c r="C418" s="43" t="s">
        <v>36</v>
      </c>
      <c r="D418" s="43" t="s">
        <v>45</v>
      </c>
      <c r="E418">
        <v>1094</v>
      </c>
      <c r="F418">
        <v>10</v>
      </c>
      <c r="G418">
        <v>300</v>
      </c>
      <c r="H418">
        <v>328200</v>
      </c>
      <c r="I418" s="43" t="s">
        <v>682</v>
      </c>
      <c r="J418">
        <v>298662</v>
      </c>
      <c r="K418">
        <v>273500</v>
      </c>
      <c r="L418" s="43" t="s">
        <v>683</v>
      </c>
      <c r="M418" s="44">
        <v>41791</v>
      </c>
      <c r="N418">
        <v>6</v>
      </c>
      <c r="O418" s="43" t="s">
        <v>23</v>
      </c>
      <c r="P418">
        <v>2014</v>
      </c>
    </row>
    <row r="419" spans="1:16" x14ac:dyDescent="0.2">
      <c r="A419" s="43" t="s">
        <v>21</v>
      </c>
      <c r="B419" s="43" t="s">
        <v>22</v>
      </c>
      <c r="C419" s="43" t="s">
        <v>36</v>
      </c>
      <c r="D419" s="43" t="s">
        <v>45</v>
      </c>
      <c r="E419">
        <v>1227</v>
      </c>
      <c r="F419">
        <v>10</v>
      </c>
      <c r="G419">
        <v>15</v>
      </c>
      <c r="H419">
        <v>18405</v>
      </c>
      <c r="I419" s="43" t="s">
        <v>708</v>
      </c>
      <c r="J419">
        <v>16748.55</v>
      </c>
      <c r="K419">
        <v>12270</v>
      </c>
      <c r="L419" s="43" t="s">
        <v>709</v>
      </c>
      <c r="M419" s="44">
        <v>41913</v>
      </c>
      <c r="N419">
        <v>10</v>
      </c>
      <c r="O419" s="43" t="s">
        <v>34</v>
      </c>
      <c r="P419">
        <v>2014</v>
      </c>
    </row>
    <row r="420" spans="1:16" x14ac:dyDescent="0.2">
      <c r="A420" s="43" t="s">
        <v>28</v>
      </c>
      <c r="B420" s="43" t="s">
        <v>24</v>
      </c>
      <c r="C420" s="43" t="s">
        <v>36</v>
      </c>
      <c r="D420" s="43" t="s">
        <v>45</v>
      </c>
      <c r="E420">
        <v>367</v>
      </c>
      <c r="F420">
        <v>10</v>
      </c>
      <c r="G420">
        <v>12</v>
      </c>
      <c r="H420">
        <v>4404</v>
      </c>
      <c r="I420" s="43" t="s">
        <v>684</v>
      </c>
      <c r="J420">
        <v>4007.64</v>
      </c>
      <c r="K420">
        <v>1101</v>
      </c>
      <c r="L420" s="43" t="s">
        <v>685</v>
      </c>
      <c r="M420" s="44">
        <v>41548</v>
      </c>
      <c r="N420">
        <v>10</v>
      </c>
      <c r="O420" s="43" t="s">
        <v>34</v>
      </c>
      <c r="P420">
        <v>2013</v>
      </c>
    </row>
    <row r="421" spans="1:16" x14ac:dyDescent="0.2">
      <c r="A421" s="43" t="s">
        <v>31</v>
      </c>
      <c r="B421" s="43" t="s">
        <v>22</v>
      </c>
      <c r="C421" s="43" t="s">
        <v>36</v>
      </c>
      <c r="D421" s="43" t="s">
        <v>45</v>
      </c>
      <c r="E421">
        <v>1324</v>
      </c>
      <c r="F421">
        <v>10</v>
      </c>
      <c r="G421">
        <v>300</v>
      </c>
      <c r="H421">
        <v>397200</v>
      </c>
      <c r="I421" s="43" t="s">
        <v>710</v>
      </c>
      <c r="J421">
        <v>361452</v>
      </c>
      <c r="K421">
        <v>331000</v>
      </c>
      <c r="L421" s="43" t="s">
        <v>711</v>
      </c>
      <c r="M421" s="44">
        <v>41944</v>
      </c>
      <c r="N421">
        <v>11</v>
      </c>
      <c r="O421" s="43" t="s">
        <v>38</v>
      </c>
      <c r="P421">
        <v>2014</v>
      </c>
    </row>
    <row r="422" spans="1:16" x14ac:dyDescent="0.2">
      <c r="A422" s="43" t="s">
        <v>28</v>
      </c>
      <c r="B422" s="43" t="s">
        <v>20</v>
      </c>
      <c r="C422" s="43" t="s">
        <v>36</v>
      </c>
      <c r="D422" s="43" t="s">
        <v>45</v>
      </c>
      <c r="E422">
        <v>1775</v>
      </c>
      <c r="F422">
        <v>10</v>
      </c>
      <c r="G422">
        <v>12</v>
      </c>
      <c r="H422">
        <v>21300</v>
      </c>
      <c r="I422" s="43" t="s">
        <v>712</v>
      </c>
      <c r="J422">
        <v>19383</v>
      </c>
      <c r="K422">
        <v>5325</v>
      </c>
      <c r="L422" s="43" t="s">
        <v>713</v>
      </c>
      <c r="M422" s="44">
        <v>41579</v>
      </c>
      <c r="N422">
        <v>11</v>
      </c>
      <c r="O422" s="43" t="s">
        <v>38</v>
      </c>
      <c r="P422">
        <v>2013</v>
      </c>
    </row>
    <row r="423" spans="1:16" x14ac:dyDescent="0.2">
      <c r="A423" s="43" t="s">
        <v>29</v>
      </c>
      <c r="B423" s="43" t="s">
        <v>35</v>
      </c>
      <c r="C423" s="43" t="s">
        <v>36</v>
      </c>
      <c r="D423" s="43" t="s">
        <v>45</v>
      </c>
      <c r="E423">
        <v>2797</v>
      </c>
      <c r="F423">
        <v>10</v>
      </c>
      <c r="G423">
        <v>125</v>
      </c>
      <c r="H423">
        <v>349625</v>
      </c>
      <c r="I423" s="43" t="s">
        <v>698</v>
      </c>
      <c r="J423">
        <v>318158.75</v>
      </c>
      <c r="K423">
        <v>335640</v>
      </c>
      <c r="L423" s="43" t="s">
        <v>699</v>
      </c>
      <c r="M423" s="44">
        <v>41974</v>
      </c>
      <c r="N423">
        <v>12</v>
      </c>
      <c r="O423" s="43" t="s">
        <v>25</v>
      </c>
      <c r="P423">
        <v>2014</v>
      </c>
    </row>
    <row r="424" spans="1:16" x14ac:dyDescent="0.2">
      <c r="A424" s="43" t="s">
        <v>21</v>
      </c>
      <c r="B424" s="43" t="s">
        <v>24</v>
      </c>
      <c r="C424" s="43" t="s">
        <v>39</v>
      </c>
      <c r="D424" s="43" t="s">
        <v>45</v>
      </c>
      <c r="E424">
        <v>245</v>
      </c>
      <c r="F424">
        <v>120</v>
      </c>
      <c r="G424">
        <v>15</v>
      </c>
      <c r="H424">
        <v>3675</v>
      </c>
      <c r="I424" s="43" t="s">
        <v>714</v>
      </c>
      <c r="J424">
        <v>3344.25</v>
      </c>
      <c r="K424">
        <v>2450</v>
      </c>
      <c r="L424" s="43" t="s">
        <v>715</v>
      </c>
      <c r="M424" s="44">
        <v>41760</v>
      </c>
      <c r="N424">
        <v>5</v>
      </c>
      <c r="O424" s="43" t="s">
        <v>44</v>
      </c>
      <c r="P424">
        <v>2014</v>
      </c>
    </row>
    <row r="425" spans="1:16" x14ac:dyDescent="0.2">
      <c r="A425" s="43" t="s">
        <v>31</v>
      </c>
      <c r="B425" s="43" t="s">
        <v>16</v>
      </c>
      <c r="C425" s="43" t="s">
        <v>39</v>
      </c>
      <c r="D425" s="43" t="s">
        <v>45</v>
      </c>
      <c r="E425">
        <v>3793.5</v>
      </c>
      <c r="F425">
        <v>120</v>
      </c>
      <c r="G425">
        <v>300</v>
      </c>
      <c r="H425">
        <v>1138050</v>
      </c>
      <c r="I425" s="43" t="s">
        <v>716</v>
      </c>
      <c r="J425">
        <v>1035625.5</v>
      </c>
      <c r="K425">
        <v>948375</v>
      </c>
      <c r="L425" s="43" t="s">
        <v>717</v>
      </c>
      <c r="M425" s="44">
        <v>41821</v>
      </c>
      <c r="N425">
        <v>7</v>
      </c>
      <c r="O425" s="43" t="s">
        <v>30</v>
      </c>
      <c r="P425">
        <v>2014</v>
      </c>
    </row>
    <row r="426" spans="1:16" x14ac:dyDescent="0.2">
      <c r="A426" s="43" t="s">
        <v>15</v>
      </c>
      <c r="B426" s="43" t="s">
        <v>20</v>
      </c>
      <c r="C426" s="43" t="s">
        <v>39</v>
      </c>
      <c r="D426" s="43" t="s">
        <v>45</v>
      </c>
      <c r="E426">
        <v>1307</v>
      </c>
      <c r="F426">
        <v>120</v>
      </c>
      <c r="G426">
        <v>350</v>
      </c>
      <c r="H426">
        <v>457450</v>
      </c>
      <c r="I426" s="43" t="s">
        <v>718</v>
      </c>
      <c r="J426">
        <v>416279.5</v>
      </c>
      <c r="K426">
        <v>339820</v>
      </c>
      <c r="L426" s="43" t="s">
        <v>719</v>
      </c>
      <c r="M426" s="44">
        <v>41821</v>
      </c>
      <c r="N426">
        <v>7</v>
      </c>
      <c r="O426" s="43" t="s">
        <v>30</v>
      </c>
      <c r="P426">
        <v>2014</v>
      </c>
    </row>
    <row r="427" spans="1:16" x14ac:dyDescent="0.2">
      <c r="A427" s="43" t="s">
        <v>29</v>
      </c>
      <c r="B427" s="43" t="s">
        <v>16</v>
      </c>
      <c r="C427" s="43" t="s">
        <v>39</v>
      </c>
      <c r="D427" s="43" t="s">
        <v>45</v>
      </c>
      <c r="E427">
        <v>567</v>
      </c>
      <c r="F427">
        <v>120</v>
      </c>
      <c r="G427">
        <v>125</v>
      </c>
      <c r="H427">
        <v>70875</v>
      </c>
      <c r="I427" s="43" t="s">
        <v>720</v>
      </c>
      <c r="J427">
        <v>64496.25</v>
      </c>
      <c r="K427">
        <v>68040</v>
      </c>
      <c r="L427" s="43" t="s">
        <v>721</v>
      </c>
      <c r="M427" s="44">
        <v>41883</v>
      </c>
      <c r="N427">
        <v>9</v>
      </c>
      <c r="O427" s="43" t="s">
        <v>33</v>
      </c>
      <c r="P427">
        <v>2014</v>
      </c>
    </row>
    <row r="428" spans="1:16" x14ac:dyDescent="0.2">
      <c r="A428" s="43" t="s">
        <v>29</v>
      </c>
      <c r="B428" s="43" t="s">
        <v>24</v>
      </c>
      <c r="C428" s="43" t="s">
        <v>39</v>
      </c>
      <c r="D428" s="43" t="s">
        <v>45</v>
      </c>
      <c r="E428">
        <v>2110</v>
      </c>
      <c r="F428">
        <v>120</v>
      </c>
      <c r="G428">
        <v>125</v>
      </c>
      <c r="H428">
        <v>263750</v>
      </c>
      <c r="I428" s="43" t="s">
        <v>722</v>
      </c>
      <c r="J428">
        <v>240012.5</v>
      </c>
      <c r="K428">
        <v>253200</v>
      </c>
      <c r="L428" s="43" t="s">
        <v>723</v>
      </c>
      <c r="M428" s="44">
        <v>41883</v>
      </c>
      <c r="N428">
        <v>9</v>
      </c>
      <c r="O428" s="43" t="s">
        <v>33</v>
      </c>
      <c r="P428">
        <v>2014</v>
      </c>
    </row>
    <row r="429" spans="1:16" x14ac:dyDescent="0.2">
      <c r="A429" s="43" t="s">
        <v>15</v>
      </c>
      <c r="B429" s="43" t="s">
        <v>16</v>
      </c>
      <c r="C429" s="43" t="s">
        <v>39</v>
      </c>
      <c r="D429" s="43" t="s">
        <v>45</v>
      </c>
      <c r="E429">
        <v>1269</v>
      </c>
      <c r="F429">
        <v>120</v>
      </c>
      <c r="G429">
        <v>350</v>
      </c>
      <c r="H429">
        <v>444150</v>
      </c>
      <c r="I429" s="43" t="s">
        <v>724</v>
      </c>
      <c r="J429">
        <v>404176.5</v>
      </c>
      <c r="K429">
        <v>329940</v>
      </c>
      <c r="L429" s="43" t="s">
        <v>725</v>
      </c>
      <c r="M429" s="44">
        <v>41913</v>
      </c>
      <c r="N429">
        <v>10</v>
      </c>
      <c r="O429" s="43" t="s">
        <v>34</v>
      </c>
      <c r="P429">
        <v>2014</v>
      </c>
    </row>
    <row r="430" spans="1:16" x14ac:dyDescent="0.2">
      <c r="A430" s="43" t="s">
        <v>28</v>
      </c>
      <c r="B430" s="43" t="s">
        <v>35</v>
      </c>
      <c r="C430" s="43" t="s">
        <v>40</v>
      </c>
      <c r="D430" s="43" t="s">
        <v>45</v>
      </c>
      <c r="E430">
        <v>1956</v>
      </c>
      <c r="F430">
        <v>250</v>
      </c>
      <c r="G430">
        <v>12</v>
      </c>
      <c r="H430">
        <v>23472</v>
      </c>
      <c r="I430" s="43" t="s">
        <v>726</v>
      </c>
      <c r="J430">
        <v>21359.52</v>
      </c>
      <c r="K430">
        <v>5868</v>
      </c>
      <c r="L430" s="43" t="s">
        <v>727</v>
      </c>
      <c r="M430" s="44">
        <v>41640</v>
      </c>
      <c r="N430">
        <v>1</v>
      </c>
      <c r="O430" s="43" t="s">
        <v>19</v>
      </c>
      <c r="P430">
        <v>2014</v>
      </c>
    </row>
    <row r="431" spans="1:16" x14ac:dyDescent="0.2">
      <c r="A431" s="43" t="s">
        <v>31</v>
      </c>
      <c r="B431" s="43" t="s">
        <v>20</v>
      </c>
      <c r="C431" s="43" t="s">
        <v>40</v>
      </c>
      <c r="D431" s="43" t="s">
        <v>45</v>
      </c>
      <c r="E431">
        <v>2659</v>
      </c>
      <c r="F431">
        <v>250</v>
      </c>
      <c r="G431">
        <v>300</v>
      </c>
      <c r="H431">
        <v>797700</v>
      </c>
      <c r="I431" s="43" t="s">
        <v>728</v>
      </c>
      <c r="J431">
        <v>725907</v>
      </c>
      <c r="K431">
        <v>664750</v>
      </c>
      <c r="L431" s="43" t="s">
        <v>729</v>
      </c>
      <c r="M431" s="44">
        <v>41671</v>
      </c>
      <c r="N431">
        <v>2</v>
      </c>
      <c r="O431" s="43" t="s">
        <v>37</v>
      </c>
      <c r="P431">
        <v>2014</v>
      </c>
    </row>
    <row r="432" spans="1:16" x14ac:dyDescent="0.2">
      <c r="A432" s="43" t="s">
        <v>15</v>
      </c>
      <c r="B432" s="43" t="s">
        <v>35</v>
      </c>
      <c r="C432" s="43" t="s">
        <v>40</v>
      </c>
      <c r="D432" s="43" t="s">
        <v>45</v>
      </c>
      <c r="E432">
        <v>1351.5</v>
      </c>
      <c r="F432">
        <v>250</v>
      </c>
      <c r="G432">
        <v>350</v>
      </c>
      <c r="H432">
        <v>473025</v>
      </c>
      <c r="I432" s="43" t="s">
        <v>730</v>
      </c>
      <c r="J432">
        <v>430452.75</v>
      </c>
      <c r="K432">
        <v>351390</v>
      </c>
      <c r="L432" s="43" t="s">
        <v>731</v>
      </c>
      <c r="M432" s="44">
        <v>41730</v>
      </c>
      <c r="N432">
        <v>4</v>
      </c>
      <c r="O432" s="43" t="s">
        <v>41</v>
      </c>
      <c r="P432">
        <v>2014</v>
      </c>
    </row>
    <row r="433" spans="1:16" x14ac:dyDescent="0.2">
      <c r="A433" s="43" t="s">
        <v>28</v>
      </c>
      <c r="B433" s="43" t="s">
        <v>20</v>
      </c>
      <c r="C433" s="43" t="s">
        <v>40</v>
      </c>
      <c r="D433" s="43" t="s">
        <v>45</v>
      </c>
      <c r="E433">
        <v>880</v>
      </c>
      <c r="F433">
        <v>250</v>
      </c>
      <c r="G433">
        <v>12</v>
      </c>
      <c r="H433">
        <v>10560</v>
      </c>
      <c r="I433" s="43" t="s">
        <v>732</v>
      </c>
      <c r="J433">
        <v>9609.6</v>
      </c>
      <c r="K433">
        <v>2640</v>
      </c>
      <c r="L433" s="43" t="s">
        <v>733</v>
      </c>
      <c r="M433" s="44">
        <v>41760</v>
      </c>
      <c r="N433">
        <v>5</v>
      </c>
      <c r="O433" s="43" t="s">
        <v>44</v>
      </c>
      <c r="P433">
        <v>2014</v>
      </c>
    </row>
    <row r="434" spans="1:16" x14ac:dyDescent="0.2">
      <c r="A434" s="43" t="s">
        <v>31</v>
      </c>
      <c r="B434" s="43" t="s">
        <v>35</v>
      </c>
      <c r="C434" s="43" t="s">
        <v>40</v>
      </c>
      <c r="D434" s="43" t="s">
        <v>45</v>
      </c>
      <c r="E434">
        <v>1867</v>
      </c>
      <c r="F434">
        <v>250</v>
      </c>
      <c r="G434">
        <v>300</v>
      </c>
      <c r="H434">
        <v>560100</v>
      </c>
      <c r="I434" s="43" t="s">
        <v>734</v>
      </c>
      <c r="J434">
        <v>509691</v>
      </c>
      <c r="K434">
        <v>466750</v>
      </c>
      <c r="L434" s="43" t="s">
        <v>735</v>
      </c>
      <c r="M434" s="44">
        <v>41883</v>
      </c>
      <c r="N434">
        <v>9</v>
      </c>
      <c r="O434" s="43" t="s">
        <v>33</v>
      </c>
      <c r="P434">
        <v>2014</v>
      </c>
    </row>
    <row r="435" spans="1:16" x14ac:dyDescent="0.2">
      <c r="A435" s="43" t="s">
        <v>28</v>
      </c>
      <c r="B435" s="43" t="s">
        <v>22</v>
      </c>
      <c r="C435" s="43" t="s">
        <v>40</v>
      </c>
      <c r="D435" s="43" t="s">
        <v>45</v>
      </c>
      <c r="E435">
        <v>2234</v>
      </c>
      <c r="F435">
        <v>250</v>
      </c>
      <c r="G435">
        <v>12</v>
      </c>
      <c r="H435">
        <v>26808</v>
      </c>
      <c r="I435" s="43" t="s">
        <v>736</v>
      </c>
      <c r="J435">
        <v>24395.279999999999</v>
      </c>
      <c r="K435">
        <v>6702</v>
      </c>
      <c r="L435" s="43" t="s">
        <v>737</v>
      </c>
      <c r="M435" s="44">
        <v>41518</v>
      </c>
      <c r="N435">
        <v>9</v>
      </c>
      <c r="O435" s="43" t="s">
        <v>33</v>
      </c>
      <c r="P435">
        <v>2013</v>
      </c>
    </row>
    <row r="436" spans="1:16" x14ac:dyDescent="0.2">
      <c r="A436" s="43" t="s">
        <v>21</v>
      </c>
      <c r="B436" s="43" t="s">
        <v>22</v>
      </c>
      <c r="C436" s="43" t="s">
        <v>40</v>
      </c>
      <c r="D436" s="43" t="s">
        <v>45</v>
      </c>
      <c r="E436">
        <v>1227</v>
      </c>
      <c r="F436">
        <v>250</v>
      </c>
      <c r="G436">
        <v>15</v>
      </c>
      <c r="H436">
        <v>18405</v>
      </c>
      <c r="I436" s="43" t="s">
        <v>708</v>
      </c>
      <c r="J436">
        <v>16748.55</v>
      </c>
      <c r="K436">
        <v>12270</v>
      </c>
      <c r="L436" s="43" t="s">
        <v>709</v>
      </c>
      <c r="M436" s="44">
        <v>41913</v>
      </c>
      <c r="N436">
        <v>10</v>
      </c>
      <c r="O436" s="43" t="s">
        <v>34</v>
      </c>
      <c r="P436">
        <v>2014</v>
      </c>
    </row>
    <row r="437" spans="1:16" x14ac:dyDescent="0.2">
      <c r="A437" s="43" t="s">
        <v>29</v>
      </c>
      <c r="B437" s="43" t="s">
        <v>24</v>
      </c>
      <c r="C437" s="43" t="s">
        <v>40</v>
      </c>
      <c r="D437" s="43" t="s">
        <v>45</v>
      </c>
      <c r="E437">
        <v>877</v>
      </c>
      <c r="F437">
        <v>250</v>
      </c>
      <c r="G437">
        <v>125</v>
      </c>
      <c r="H437">
        <v>109625</v>
      </c>
      <c r="I437" s="43" t="s">
        <v>738</v>
      </c>
      <c r="J437">
        <v>99758.75</v>
      </c>
      <c r="K437">
        <v>105240</v>
      </c>
      <c r="L437" s="43" t="s">
        <v>739</v>
      </c>
      <c r="M437" s="44">
        <v>41944</v>
      </c>
      <c r="N437">
        <v>11</v>
      </c>
      <c r="O437" s="43" t="s">
        <v>38</v>
      </c>
      <c r="P437">
        <v>2014</v>
      </c>
    </row>
    <row r="438" spans="1:16" x14ac:dyDescent="0.2">
      <c r="A438" s="43" t="s">
        <v>15</v>
      </c>
      <c r="B438" s="43" t="s">
        <v>35</v>
      </c>
      <c r="C438" s="43" t="s">
        <v>42</v>
      </c>
      <c r="D438" s="43" t="s">
        <v>45</v>
      </c>
      <c r="E438">
        <v>2071</v>
      </c>
      <c r="F438">
        <v>260</v>
      </c>
      <c r="G438">
        <v>350</v>
      </c>
      <c r="H438">
        <v>724850</v>
      </c>
      <c r="I438" s="43" t="s">
        <v>740</v>
      </c>
      <c r="J438">
        <v>659613.5</v>
      </c>
      <c r="K438">
        <v>538460</v>
      </c>
      <c r="L438" s="43" t="s">
        <v>741</v>
      </c>
      <c r="M438" s="44">
        <v>41883</v>
      </c>
      <c r="N438">
        <v>9</v>
      </c>
      <c r="O438" s="43" t="s">
        <v>33</v>
      </c>
      <c r="P438">
        <v>2014</v>
      </c>
    </row>
    <row r="439" spans="1:16" x14ac:dyDescent="0.2">
      <c r="A439" s="43" t="s">
        <v>15</v>
      </c>
      <c r="B439" s="43" t="s">
        <v>16</v>
      </c>
      <c r="C439" s="43" t="s">
        <v>42</v>
      </c>
      <c r="D439" s="43" t="s">
        <v>45</v>
      </c>
      <c r="E439">
        <v>1269</v>
      </c>
      <c r="F439">
        <v>260</v>
      </c>
      <c r="G439">
        <v>350</v>
      </c>
      <c r="H439">
        <v>444150</v>
      </c>
      <c r="I439" s="43" t="s">
        <v>724</v>
      </c>
      <c r="J439">
        <v>404176.5</v>
      </c>
      <c r="K439">
        <v>329940</v>
      </c>
      <c r="L439" s="43" t="s">
        <v>725</v>
      </c>
      <c r="M439" s="44">
        <v>41913</v>
      </c>
      <c r="N439">
        <v>10</v>
      </c>
      <c r="O439" s="43" t="s">
        <v>34</v>
      </c>
      <c r="P439">
        <v>2014</v>
      </c>
    </row>
    <row r="440" spans="1:16" x14ac:dyDescent="0.2">
      <c r="A440" s="43" t="s">
        <v>21</v>
      </c>
      <c r="B440" s="43" t="s">
        <v>20</v>
      </c>
      <c r="C440" s="43" t="s">
        <v>42</v>
      </c>
      <c r="D440" s="43" t="s">
        <v>45</v>
      </c>
      <c r="E440">
        <v>970</v>
      </c>
      <c r="F440">
        <v>260</v>
      </c>
      <c r="G440">
        <v>15</v>
      </c>
      <c r="H440">
        <v>14550</v>
      </c>
      <c r="I440" s="43" t="s">
        <v>742</v>
      </c>
      <c r="J440">
        <v>13240.5</v>
      </c>
      <c r="K440">
        <v>9700</v>
      </c>
      <c r="L440" s="43" t="s">
        <v>743</v>
      </c>
      <c r="M440" s="44">
        <v>41579</v>
      </c>
      <c r="N440">
        <v>11</v>
      </c>
      <c r="O440" s="43" t="s">
        <v>38</v>
      </c>
      <c r="P440">
        <v>2013</v>
      </c>
    </row>
    <row r="441" spans="1:16" x14ac:dyDescent="0.2">
      <c r="A441" s="43" t="s">
        <v>15</v>
      </c>
      <c r="B441" s="43" t="s">
        <v>24</v>
      </c>
      <c r="C441" s="43" t="s">
        <v>42</v>
      </c>
      <c r="D441" s="43" t="s">
        <v>45</v>
      </c>
      <c r="E441">
        <v>1694</v>
      </c>
      <c r="F441">
        <v>260</v>
      </c>
      <c r="G441">
        <v>20</v>
      </c>
      <c r="H441">
        <v>33880</v>
      </c>
      <c r="I441" s="43" t="s">
        <v>744</v>
      </c>
      <c r="J441">
        <v>30830.799999999999</v>
      </c>
      <c r="K441">
        <v>16940</v>
      </c>
      <c r="L441" s="43" t="s">
        <v>745</v>
      </c>
      <c r="M441" s="44">
        <v>41944</v>
      </c>
      <c r="N441">
        <v>11</v>
      </c>
      <c r="O441" s="43" t="s">
        <v>38</v>
      </c>
      <c r="P441">
        <v>2014</v>
      </c>
    </row>
    <row r="442" spans="1:16" x14ac:dyDescent="0.2">
      <c r="A442" s="43" t="s">
        <v>15</v>
      </c>
      <c r="B442" s="43" t="s">
        <v>20</v>
      </c>
      <c r="C442" s="43" t="s">
        <v>17</v>
      </c>
      <c r="D442" s="43" t="s">
        <v>45</v>
      </c>
      <c r="E442">
        <v>663</v>
      </c>
      <c r="F442">
        <v>3</v>
      </c>
      <c r="G442">
        <v>20</v>
      </c>
      <c r="H442">
        <v>13260</v>
      </c>
      <c r="I442" s="43" t="s">
        <v>746</v>
      </c>
      <c r="J442">
        <v>12066.6</v>
      </c>
      <c r="K442">
        <v>6630</v>
      </c>
      <c r="L442" s="43" t="s">
        <v>747</v>
      </c>
      <c r="M442" s="44">
        <v>41760</v>
      </c>
      <c r="N442">
        <v>5</v>
      </c>
      <c r="O442" s="43" t="s">
        <v>44</v>
      </c>
      <c r="P442">
        <v>2014</v>
      </c>
    </row>
    <row r="443" spans="1:16" x14ac:dyDescent="0.2">
      <c r="A443" s="43" t="s">
        <v>15</v>
      </c>
      <c r="B443" s="43" t="s">
        <v>16</v>
      </c>
      <c r="C443" s="43" t="s">
        <v>17</v>
      </c>
      <c r="D443" s="43" t="s">
        <v>45</v>
      </c>
      <c r="E443">
        <v>819</v>
      </c>
      <c r="F443">
        <v>3</v>
      </c>
      <c r="G443">
        <v>7</v>
      </c>
      <c r="H443">
        <v>5733</v>
      </c>
      <c r="I443" s="43" t="s">
        <v>748</v>
      </c>
      <c r="J443">
        <v>5217.03</v>
      </c>
      <c r="K443">
        <v>4095</v>
      </c>
      <c r="L443" s="43" t="s">
        <v>749</v>
      </c>
      <c r="M443" s="44">
        <v>41821</v>
      </c>
      <c r="N443">
        <v>7</v>
      </c>
      <c r="O443" s="43" t="s">
        <v>30</v>
      </c>
      <c r="P443">
        <v>2014</v>
      </c>
    </row>
    <row r="444" spans="1:16" x14ac:dyDescent="0.2">
      <c r="A444" s="43" t="s">
        <v>28</v>
      </c>
      <c r="B444" s="43" t="s">
        <v>20</v>
      </c>
      <c r="C444" s="43" t="s">
        <v>17</v>
      </c>
      <c r="D444" s="43" t="s">
        <v>45</v>
      </c>
      <c r="E444">
        <v>1580</v>
      </c>
      <c r="F444">
        <v>3</v>
      </c>
      <c r="G444">
        <v>12</v>
      </c>
      <c r="H444">
        <v>18960</v>
      </c>
      <c r="I444" s="43" t="s">
        <v>750</v>
      </c>
      <c r="J444">
        <v>17253.599999999999</v>
      </c>
      <c r="K444">
        <v>4740</v>
      </c>
      <c r="L444" s="43" t="s">
        <v>751</v>
      </c>
      <c r="M444" s="44">
        <v>41883</v>
      </c>
      <c r="N444">
        <v>9</v>
      </c>
      <c r="O444" s="43" t="s">
        <v>33</v>
      </c>
      <c r="P444">
        <v>2014</v>
      </c>
    </row>
    <row r="445" spans="1:16" x14ac:dyDescent="0.2">
      <c r="A445" s="43" t="s">
        <v>15</v>
      </c>
      <c r="B445" s="43" t="s">
        <v>24</v>
      </c>
      <c r="C445" s="43" t="s">
        <v>17</v>
      </c>
      <c r="D445" s="43" t="s">
        <v>45</v>
      </c>
      <c r="E445">
        <v>521</v>
      </c>
      <c r="F445">
        <v>3</v>
      </c>
      <c r="G445">
        <v>7</v>
      </c>
      <c r="H445">
        <v>3647</v>
      </c>
      <c r="I445" s="43" t="s">
        <v>752</v>
      </c>
      <c r="J445">
        <v>3318.77</v>
      </c>
      <c r="K445">
        <v>2605</v>
      </c>
      <c r="L445" s="43" t="s">
        <v>753</v>
      </c>
      <c r="M445" s="44">
        <v>41974</v>
      </c>
      <c r="N445">
        <v>12</v>
      </c>
      <c r="O445" s="43" t="s">
        <v>25</v>
      </c>
      <c r="P445">
        <v>2014</v>
      </c>
    </row>
    <row r="446" spans="1:16" x14ac:dyDescent="0.2">
      <c r="A446" s="43" t="s">
        <v>15</v>
      </c>
      <c r="B446" s="43" t="s">
        <v>35</v>
      </c>
      <c r="C446" s="43" t="s">
        <v>36</v>
      </c>
      <c r="D446" s="43" t="s">
        <v>45</v>
      </c>
      <c r="E446">
        <v>973</v>
      </c>
      <c r="F446">
        <v>10</v>
      </c>
      <c r="G446">
        <v>20</v>
      </c>
      <c r="H446">
        <v>19460</v>
      </c>
      <c r="I446" s="43" t="s">
        <v>754</v>
      </c>
      <c r="J446">
        <v>17708.599999999999</v>
      </c>
      <c r="K446">
        <v>9730</v>
      </c>
      <c r="L446" s="43" t="s">
        <v>755</v>
      </c>
      <c r="M446" s="44">
        <v>41699</v>
      </c>
      <c r="N446">
        <v>3</v>
      </c>
      <c r="O446" s="43" t="s">
        <v>27</v>
      </c>
      <c r="P446">
        <v>2014</v>
      </c>
    </row>
    <row r="447" spans="1:16" x14ac:dyDescent="0.2">
      <c r="A447" s="43" t="s">
        <v>15</v>
      </c>
      <c r="B447" s="43" t="s">
        <v>24</v>
      </c>
      <c r="C447" s="43" t="s">
        <v>36</v>
      </c>
      <c r="D447" s="43" t="s">
        <v>45</v>
      </c>
      <c r="E447">
        <v>1038</v>
      </c>
      <c r="F447">
        <v>10</v>
      </c>
      <c r="G447">
        <v>20</v>
      </c>
      <c r="H447">
        <v>20760</v>
      </c>
      <c r="I447" s="43" t="s">
        <v>756</v>
      </c>
      <c r="J447">
        <v>18891.599999999999</v>
      </c>
      <c r="K447">
        <v>10380</v>
      </c>
      <c r="L447" s="43" t="s">
        <v>757</v>
      </c>
      <c r="M447" s="44">
        <v>41791</v>
      </c>
      <c r="N447">
        <v>6</v>
      </c>
      <c r="O447" s="43" t="s">
        <v>23</v>
      </c>
      <c r="P447">
        <v>2014</v>
      </c>
    </row>
    <row r="448" spans="1:16" x14ac:dyDescent="0.2">
      <c r="A448" s="43" t="s">
        <v>15</v>
      </c>
      <c r="B448" s="43" t="s">
        <v>20</v>
      </c>
      <c r="C448" s="43" t="s">
        <v>36</v>
      </c>
      <c r="D448" s="43" t="s">
        <v>45</v>
      </c>
      <c r="E448">
        <v>360</v>
      </c>
      <c r="F448">
        <v>10</v>
      </c>
      <c r="G448">
        <v>7</v>
      </c>
      <c r="H448">
        <v>2520</v>
      </c>
      <c r="I448" s="43" t="s">
        <v>758</v>
      </c>
      <c r="J448">
        <v>2293.1999999999998</v>
      </c>
      <c r="K448">
        <v>1800</v>
      </c>
      <c r="L448" s="43" t="s">
        <v>759</v>
      </c>
      <c r="M448" s="44">
        <v>41913</v>
      </c>
      <c r="N448">
        <v>10</v>
      </c>
      <c r="O448" s="43" t="s">
        <v>34</v>
      </c>
      <c r="P448">
        <v>2014</v>
      </c>
    </row>
    <row r="449" spans="1:16" x14ac:dyDescent="0.2">
      <c r="A449" s="43" t="s">
        <v>28</v>
      </c>
      <c r="B449" s="43" t="s">
        <v>22</v>
      </c>
      <c r="C449" s="43" t="s">
        <v>39</v>
      </c>
      <c r="D449" s="43" t="s">
        <v>45</v>
      </c>
      <c r="E449">
        <v>1967</v>
      </c>
      <c r="F449">
        <v>120</v>
      </c>
      <c r="G449">
        <v>12</v>
      </c>
      <c r="H449">
        <v>23604</v>
      </c>
      <c r="I449" s="43" t="s">
        <v>760</v>
      </c>
      <c r="J449">
        <v>21479.64</v>
      </c>
      <c r="K449">
        <v>5901</v>
      </c>
      <c r="L449" s="43" t="s">
        <v>761</v>
      </c>
      <c r="M449" s="44">
        <v>41699</v>
      </c>
      <c r="N449">
        <v>3</v>
      </c>
      <c r="O449" s="43" t="s">
        <v>27</v>
      </c>
      <c r="P449">
        <v>2014</v>
      </c>
    </row>
    <row r="450" spans="1:16" x14ac:dyDescent="0.2">
      <c r="A450" s="43" t="s">
        <v>21</v>
      </c>
      <c r="B450" s="43" t="s">
        <v>24</v>
      </c>
      <c r="C450" s="43" t="s">
        <v>39</v>
      </c>
      <c r="D450" s="43" t="s">
        <v>45</v>
      </c>
      <c r="E450">
        <v>2628</v>
      </c>
      <c r="F450">
        <v>120</v>
      </c>
      <c r="G450">
        <v>15</v>
      </c>
      <c r="H450">
        <v>39420</v>
      </c>
      <c r="I450" s="43" t="s">
        <v>762</v>
      </c>
      <c r="J450">
        <v>35872.199999999997</v>
      </c>
      <c r="K450">
        <v>26280</v>
      </c>
      <c r="L450" s="43" t="s">
        <v>763</v>
      </c>
      <c r="M450" s="44">
        <v>41730</v>
      </c>
      <c r="N450">
        <v>4</v>
      </c>
      <c r="O450" s="43" t="s">
        <v>41</v>
      </c>
      <c r="P450">
        <v>2014</v>
      </c>
    </row>
    <row r="451" spans="1:16" x14ac:dyDescent="0.2">
      <c r="A451" s="43" t="s">
        <v>15</v>
      </c>
      <c r="B451" s="43" t="s">
        <v>20</v>
      </c>
      <c r="C451" s="43" t="s">
        <v>40</v>
      </c>
      <c r="D451" s="43" t="s">
        <v>45</v>
      </c>
      <c r="E451">
        <v>360</v>
      </c>
      <c r="F451">
        <v>250</v>
      </c>
      <c r="G451">
        <v>7</v>
      </c>
      <c r="H451">
        <v>2520</v>
      </c>
      <c r="I451" s="43" t="s">
        <v>758</v>
      </c>
      <c r="J451">
        <v>2293.1999999999998</v>
      </c>
      <c r="K451">
        <v>1800</v>
      </c>
      <c r="L451" s="43" t="s">
        <v>759</v>
      </c>
      <c r="M451" s="44">
        <v>41913</v>
      </c>
      <c r="N451">
        <v>10</v>
      </c>
      <c r="O451" s="43" t="s">
        <v>34</v>
      </c>
      <c r="P451">
        <v>2014</v>
      </c>
    </row>
    <row r="452" spans="1:16" x14ac:dyDescent="0.2">
      <c r="A452" s="43" t="s">
        <v>15</v>
      </c>
      <c r="B452" s="43" t="s">
        <v>22</v>
      </c>
      <c r="C452" s="43" t="s">
        <v>40</v>
      </c>
      <c r="D452" s="43" t="s">
        <v>45</v>
      </c>
      <c r="E452">
        <v>2682</v>
      </c>
      <c r="F452">
        <v>250</v>
      </c>
      <c r="G452">
        <v>20</v>
      </c>
      <c r="H452">
        <v>53640</v>
      </c>
      <c r="I452" s="43" t="s">
        <v>764</v>
      </c>
      <c r="J452">
        <v>48812.4</v>
      </c>
      <c r="K452">
        <v>26820</v>
      </c>
      <c r="L452" s="43" t="s">
        <v>765</v>
      </c>
      <c r="M452" s="44">
        <v>41579</v>
      </c>
      <c r="N452">
        <v>11</v>
      </c>
      <c r="O452" s="43" t="s">
        <v>38</v>
      </c>
      <c r="P452">
        <v>2013</v>
      </c>
    </row>
    <row r="453" spans="1:16" x14ac:dyDescent="0.2">
      <c r="A453" s="43" t="s">
        <v>15</v>
      </c>
      <c r="B453" s="43" t="s">
        <v>24</v>
      </c>
      <c r="C453" s="43" t="s">
        <v>40</v>
      </c>
      <c r="D453" s="43" t="s">
        <v>45</v>
      </c>
      <c r="E453">
        <v>521</v>
      </c>
      <c r="F453">
        <v>250</v>
      </c>
      <c r="G453">
        <v>7</v>
      </c>
      <c r="H453">
        <v>3647</v>
      </c>
      <c r="I453" s="43" t="s">
        <v>752</v>
      </c>
      <c r="J453">
        <v>3318.77</v>
      </c>
      <c r="K453">
        <v>2605</v>
      </c>
      <c r="L453" s="43" t="s">
        <v>753</v>
      </c>
      <c r="M453" s="44">
        <v>41974</v>
      </c>
      <c r="N453">
        <v>12</v>
      </c>
      <c r="O453" s="43" t="s">
        <v>25</v>
      </c>
      <c r="P453">
        <v>2014</v>
      </c>
    </row>
    <row r="454" spans="1:16" x14ac:dyDescent="0.2">
      <c r="A454" s="43" t="s">
        <v>15</v>
      </c>
      <c r="B454" s="43" t="s">
        <v>24</v>
      </c>
      <c r="C454" s="43" t="s">
        <v>42</v>
      </c>
      <c r="D454" s="43" t="s">
        <v>45</v>
      </c>
      <c r="E454">
        <v>1038</v>
      </c>
      <c r="F454">
        <v>260</v>
      </c>
      <c r="G454">
        <v>20</v>
      </c>
      <c r="H454">
        <v>20760</v>
      </c>
      <c r="I454" s="43" t="s">
        <v>756</v>
      </c>
      <c r="J454">
        <v>18891.599999999999</v>
      </c>
      <c r="K454">
        <v>10380</v>
      </c>
      <c r="L454" s="43" t="s">
        <v>757</v>
      </c>
      <c r="M454" s="44">
        <v>41791</v>
      </c>
      <c r="N454">
        <v>6</v>
      </c>
      <c r="O454" s="43" t="s">
        <v>23</v>
      </c>
      <c r="P454">
        <v>2014</v>
      </c>
    </row>
    <row r="455" spans="1:16" x14ac:dyDescent="0.2">
      <c r="A455" s="43" t="s">
        <v>21</v>
      </c>
      <c r="B455" s="43" t="s">
        <v>16</v>
      </c>
      <c r="C455" s="43" t="s">
        <v>42</v>
      </c>
      <c r="D455" s="43" t="s">
        <v>45</v>
      </c>
      <c r="E455">
        <v>1630.5</v>
      </c>
      <c r="F455">
        <v>260</v>
      </c>
      <c r="G455">
        <v>15</v>
      </c>
      <c r="H455">
        <v>24457.5</v>
      </c>
      <c r="I455" s="43" t="s">
        <v>766</v>
      </c>
      <c r="J455">
        <v>22256.32</v>
      </c>
      <c r="K455">
        <v>16305</v>
      </c>
      <c r="L455" s="43" t="s">
        <v>767</v>
      </c>
      <c r="M455" s="44">
        <v>41821</v>
      </c>
      <c r="N455">
        <v>7</v>
      </c>
      <c r="O455" s="43" t="s">
        <v>30</v>
      </c>
      <c r="P455">
        <v>2014</v>
      </c>
    </row>
    <row r="456" spans="1:16" x14ac:dyDescent="0.2">
      <c r="A456" s="43" t="s">
        <v>28</v>
      </c>
      <c r="B456" s="43" t="s">
        <v>22</v>
      </c>
      <c r="C456" s="43" t="s">
        <v>42</v>
      </c>
      <c r="D456" s="43" t="s">
        <v>45</v>
      </c>
      <c r="E456">
        <v>306</v>
      </c>
      <c r="F456">
        <v>260</v>
      </c>
      <c r="G456">
        <v>12</v>
      </c>
      <c r="H456">
        <v>3672</v>
      </c>
      <c r="I456" s="43" t="s">
        <v>768</v>
      </c>
      <c r="J456">
        <v>3341.52</v>
      </c>
      <c r="K456">
        <v>918</v>
      </c>
      <c r="L456" s="43" t="s">
        <v>769</v>
      </c>
      <c r="M456" s="44">
        <v>41609</v>
      </c>
      <c r="N456">
        <v>12</v>
      </c>
      <c r="O456" s="43" t="s">
        <v>25</v>
      </c>
      <c r="P456">
        <v>2013</v>
      </c>
    </row>
    <row r="457" spans="1:16" x14ac:dyDescent="0.2">
      <c r="A457" s="43" t="s">
        <v>28</v>
      </c>
      <c r="B457" s="43" t="s">
        <v>35</v>
      </c>
      <c r="C457" s="43" t="s">
        <v>17</v>
      </c>
      <c r="D457" s="43" t="s">
        <v>46</v>
      </c>
      <c r="E457">
        <v>386</v>
      </c>
      <c r="F457">
        <v>3</v>
      </c>
      <c r="G457">
        <v>12</v>
      </c>
      <c r="H457">
        <v>4632</v>
      </c>
      <c r="I457" s="43" t="s">
        <v>770</v>
      </c>
      <c r="J457">
        <v>4168.8</v>
      </c>
      <c r="K457">
        <v>1158</v>
      </c>
      <c r="L457" s="43" t="s">
        <v>771</v>
      </c>
      <c r="M457" s="44">
        <v>41548</v>
      </c>
      <c r="N457">
        <v>10</v>
      </c>
      <c r="O457" s="43" t="s">
        <v>34</v>
      </c>
      <c r="P457">
        <v>2013</v>
      </c>
    </row>
    <row r="458" spans="1:16" x14ac:dyDescent="0.2">
      <c r="A458" s="43" t="s">
        <v>15</v>
      </c>
      <c r="B458" s="43" t="s">
        <v>35</v>
      </c>
      <c r="C458" s="43" t="s">
        <v>26</v>
      </c>
      <c r="D458" s="43" t="s">
        <v>46</v>
      </c>
      <c r="E458">
        <v>2328</v>
      </c>
      <c r="F458">
        <v>5</v>
      </c>
      <c r="G458">
        <v>7</v>
      </c>
      <c r="H458">
        <v>16296</v>
      </c>
      <c r="I458" s="43" t="s">
        <v>772</v>
      </c>
      <c r="J458">
        <v>14666.4</v>
      </c>
      <c r="K458">
        <v>11640</v>
      </c>
      <c r="L458" s="43" t="s">
        <v>773</v>
      </c>
      <c r="M458" s="44">
        <v>41883</v>
      </c>
      <c r="N458">
        <v>9</v>
      </c>
      <c r="O458" s="43" t="s">
        <v>33</v>
      </c>
      <c r="P458">
        <v>2014</v>
      </c>
    </row>
    <row r="459" spans="1:16" x14ac:dyDescent="0.2">
      <c r="A459" s="43" t="s">
        <v>28</v>
      </c>
      <c r="B459" s="43" t="s">
        <v>35</v>
      </c>
      <c r="C459" s="43" t="s">
        <v>36</v>
      </c>
      <c r="D459" s="43" t="s">
        <v>46</v>
      </c>
      <c r="E459">
        <v>386</v>
      </c>
      <c r="F459">
        <v>10</v>
      </c>
      <c r="G459">
        <v>12</v>
      </c>
      <c r="H459">
        <v>4632</v>
      </c>
      <c r="I459" s="43" t="s">
        <v>770</v>
      </c>
      <c r="J459">
        <v>4168.8</v>
      </c>
      <c r="K459">
        <v>1158</v>
      </c>
      <c r="L459" s="43" t="s">
        <v>771</v>
      </c>
      <c r="M459" s="44">
        <v>41548</v>
      </c>
      <c r="N459">
        <v>10</v>
      </c>
      <c r="O459" s="43" t="s">
        <v>34</v>
      </c>
      <c r="P459">
        <v>2013</v>
      </c>
    </row>
    <row r="460" spans="1:16" x14ac:dyDescent="0.2">
      <c r="A460" s="43" t="s">
        <v>29</v>
      </c>
      <c r="B460" s="43" t="s">
        <v>35</v>
      </c>
      <c r="C460" s="43" t="s">
        <v>17</v>
      </c>
      <c r="D460" s="43" t="s">
        <v>46</v>
      </c>
      <c r="E460">
        <v>3445.5</v>
      </c>
      <c r="F460">
        <v>3</v>
      </c>
      <c r="G460">
        <v>125</v>
      </c>
      <c r="H460">
        <v>430687.5</v>
      </c>
      <c r="I460" s="43" t="s">
        <v>774</v>
      </c>
      <c r="J460">
        <v>387618.75</v>
      </c>
      <c r="K460">
        <v>413460</v>
      </c>
      <c r="L460" s="43" t="s">
        <v>775</v>
      </c>
      <c r="M460" s="44">
        <v>41730</v>
      </c>
      <c r="N460">
        <v>4</v>
      </c>
      <c r="O460" s="43" t="s">
        <v>41</v>
      </c>
      <c r="P460">
        <v>2014</v>
      </c>
    </row>
    <row r="461" spans="1:16" x14ac:dyDescent="0.2">
      <c r="A461" s="43" t="s">
        <v>29</v>
      </c>
      <c r="B461" s="43" t="s">
        <v>22</v>
      </c>
      <c r="C461" s="43" t="s">
        <v>17</v>
      </c>
      <c r="D461" s="43" t="s">
        <v>46</v>
      </c>
      <c r="E461">
        <v>1482</v>
      </c>
      <c r="F461">
        <v>3</v>
      </c>
      <c r="G461">
        <v>125</v>
      </c>
      <c r="H461">
        <v>185250</v>
      </c>
      <c r="I461" s="43" t="s">
        <v>776</v>
      </c>
      <c r="J461">
        <v>166725</v>
      </c>
      <c r="K461">
        <v>177840</v>
      </c>
      <c r="L461" s="43" t="s">
        <v>777</v>
      </c>
      <c r="M461" s="44">
        <v>41609</v>
      </c>
      <c r="N461">
        <v>12</v>
      </c>
      <c r="O461" s="43" t="s">
        <v>25</v>
      </c>
      <c r="P461">
        <v>2013</v>
      </c>
    </row>
    <row r="462" spans="1:16" x14ac:dyDescent="0.2">
      <c r="A462" s="43" t="s">
        <v>15</v>
      </c>
      <c r="B462" s="43" t="s">
        <v>35</v>
      </c>
      <c r="C462" s="43" t="s">
        <v>26</v>
      </c>
      <c r="D462" s="43" t="s">
        <v>46</v>
      </c>
      <c r="E462">
        <v>2313</v>
      </c>
      <c r="F462">
        <v>5</v>
      </c>
      <c r="G462">
        <v>350</v>
      </c>
      <c r="H462">
        <v>809550</v>
      </c>
      <c r="I462" s="43" t="s">
        <v>778</v>
      </c>
      <c r="J462">
        <v>728595</v>
      </c>
      <c r="K462">
        <v>601380</v>
      </c>
      <c r="L462" s="43" t="s">
        <v>779</v>
      </c>
      <c r="M462" s="44">
        <v>41760</v>
      </c>
      <c r="N462">
        <v>5</v>
      </c>
      <c r="O462" s="43" t="s">
        <v>44</v>
      </c>
      <c r="P462">
        <v>2014</v>
      </c>
    </row>
    <row r="463" spans="1:16" x14ac:dyDescent="0.2">
      <c r="A463" s="43" t="s">
        <v>29</v>
      </c>
      <c r="B463" s="43" t="s">
        <v>35</v>
      </c>
      <c r="C463" s="43" t="s">
        <v>26</v>
      </c>
      <c r="D463" s="43" t="s">
        <v>46</v>
      </c>
      <c r="E463">
        <v>1804</v>
      </c>
      <c r="F463">
        <v>5</v>
      </c>
      <c r="G463">
        <v>125</v>
      </c>
      <c r="H463">
        <v>225500</v>
      </c>
      <c r="I463" s="43" t="s">
        <v>780</v>
      </c>
      <c r="J463">
        <v>202950</v>
      </c>
      <c r="K463">
        <v>216480</v>
      </c>
      <c r="L463" s="43" t="s">
        <v>781</v>
      </c>
      <c r="M463" s="44">
        <v>41579</v>
      </c>
      <c r="N463">
        <v>11</v>
      </c>
      <c r="O463" s="43" t="s">
        <v>38</v>
      </c>
      <c r="P463">
        <v>2013</v>
      </c>
    </row>
    <row r="464" spans="1:16" x14ac:dyDescent="0.2">
      <c r="A464" s="43" t="s">
        <v>21</v>
      </c>
      <c r="B464" s="43" t="s">
        <v>22</v>
      </c>
      <c r="C464" s="43" t="s">
        <v>26</v>
      </c>
      <c r="D464" s="43" t="s">
        <v>46</v>
      </c>
      <c r="E464">
        <v>2072</v>
      </c>
      <c r="F464">
        <v>5</v>
      </c>
      <c r="G464">
        <v>15</v>
      </c>
      <c r="H464">
        <v>31080</v>
      </c>
      <c r="I464" s="43" t="s">
        <v>782</v>
      </c>
      <c r="J464">
        <v>27972</v>
      </c>
      <c r="K464">
        <v>20720</v>
      </c>
      <c r="L464" s="43" t="s">
        <v>783</v>
      </c>
      <c r="M464" s="44">
        <v>41974</v>
      </c>
      <c r="N464">
        <v>12</v>
      </c>
      <c r="O464" s="43" t="s">
        <v>25</v>
      </c>
      <c r="P464">
        <v>2014</v>
      </c>
    </row>
    <row r="465" spans="1:16" x14ac:dyDescent="0.2">
      <c r="A465" s="43" t="s">
        <v>15</v>
      </c>
      <c r="B465" s="43" t="s">
        <v>22</v>
      </c>
      <c r="C465" s="43" t="s">
        <v>36</v>
      </c>
      <c r="D465" s="43" t="s">
        <v>46</v>
      </c>
      <c r="E465">
        <v>1954</v>
      </c>
      <c r="F465">
        <v>10</v>
      </c>
      <c r="G465">
        <v>20</v>
      </c>
      <c r="H465">
        <v>39080</v>
      </c>
      <c r="I465" s="43" t="s">
        <v>784</v>
      </c>
      <c r="J465">
        <v>35172</v>
      </c>
      <c r="K465">
        <v>19540</v>
      </c>
      <c r="L465" s="43" t="s">
        <v>785</v>
      </c>
      <c r="M465" s="44">
        <v>41699</v>
      </c>
      <c r="N465">
        <v>3</v>
      </c>
      <c r="O465" s="43" t="s">
        <v>27</v>
      </c>
      <c r="P465">
        <v>2014</v>
      </c>
    </row>
    <row r="466" spans="1:16" x14ac:dyDescent="0.2">
      <c r="A466" s="43" t="s">
        <v>31</v>
      </c>
      <c r="B466" s="43" t="s">
        <v>24</v>
      </c>
      <c r="C466" s="43" t="s">
        <v>36</v>
      </c>
      <c r="D466" s="43" t="s">
        <v>46</v>
      </c>
      <c r="E466">
        <v>591</v>
      </c>
      <c r="F466">
        <v>10</v>
      </c>
      <c r="G466">
        <v>300</v>
      </c>
      <c r="H466">
        <v>177300</v>
      </c>
      <c r="I466" s="43" t="s">
        <v>786</v>
      </c>
      <c r="J466">
        <v>159570</v>
      </c>
      <c r="K466">
        <v>147750</v>
      </c>
      <c r="L466" s="43" t="s">
        <v>787</v>
      </c>
      <c r="M466" s="44">
        <v>41760</v>
      </c>
      <c r="N466">
        <v>5</v>
      </c>
      <c r="O466" s="43" t="s">
        <v>44</v>
      </c>
      <c r="P466">
        <v>2014</v>
      </c>
    </row>
    <row r="467" spans="1:16" x14ac:dyDescent="0.2">
      <c r="A467" s="43" t="s">
        <v>21</v>
      </c>
      <c r="B467" s="43" t="s">
        <v>22</v>
      </c>
      <c r="C467" s="43" t="s">
        <v>36</v>
      </c>
      <c r="D467" s="43" t="s">
        <v>46</v>
      </c>
      <c r="E467">
        <v>2167</v>
      </c>
      <c r="F467">
        <v>10</v>
      </c>
      <c r="G467">
        <v>15</v>
      </c>
      <c r="H467">
        <v>32505</v>
      </c>
      <c r="I467" s="43" t="s">
        <v>788</v>
      </c>
      <c r="J467">
        <v>29254.5</v>
      </c>
      <c r="K467">
        <v>21670</v>
      </c>
      <c r="L467" s="43" t="s">
        <v>789</v>
      </c>
      <c r="M467" s="44">
        <v>41548</v>
      </c>
      <c r="N467">
        <v>10</v>
      </c>
      <c r="O467" s="43" t="s">
        <v>34</v>
      </c>
      <c r="P467">
        <v>2013</v>
      </c>
    </row>
    <row r="468" spans="1:16" x14ac:dyDescent="0.2">
      <c r="A468" s="43" t="s">
        <v>15</v>
      </c>
      <c r="B468" s="43" t="s">
        <v>20</v>
      </c>
      <c r="C468" s="43" t="s">
        <v>36</v>
      </c>
      <c r="D468" s="43" t="s">
        <v>46</v>
      </c>
      <c r="E468">
        <v>241</v>
      </c>
      <c r="F468">
        <v>10</v>
      </c>
      <c r="G468">
        <v>20</v>
      </c>
      <c r="H468">
        <v>4820</v>
      </c>
      <c r="I468" s="43" t="s">
        <v>790</v>
      </c>
      <c r="J468">
        <v>4338</v>
      </c>
      <c r="K468">
        <v>2410</v>
      </c>
      <c r="L468" s="43" t="s">
        <v>791</v>
      </c>
      <c r="M468" s="44">
        <v>41913</v>
      </c>
      <c r="N468">
        <v>10</v>
      </c>
      <c r="O468" s="43" t="s">
        <v>34</v>
      </c>
      <c r="P468">
        <v>2014</v>
      </c>
    </row>
    <row r="469" spans="1:16" x14ac:dyDescent="0.2">
      <c r="A469" s="43" t="s">
        <v>21</v>
      </c>
      <c r="B469" s="43" t="s">
        <v>20</v>
      </c>
      <c r="C469" s="43" t="s">
        <v>39</v>
      </c>
      <c r="D469" s="43" t="s">
        <v>46</v>
      </c>
      <c r="E469">
        <v>681</v>
      </c>
      <c r="F469">
        <v>120</v>
      </c>
      <c r="G469">
        <v>15</v>
      </c>
      <c r="H469">
        <v>10215</v>
      </c>
      <c r="I469" s="43" t="s">
        <v>792</v>
      </c>
      <c r="J469">
        <v>9193.5</v>
      </c>
      <c r="K469">
        <v>6810</v>
      </c>
      <c r="L469" s="43" t="s">
        <v>793</v>
      </c>
      <c r="M469" s="44">
        <v>41640</v>
      </c>
      <c r="N469">
        <v>1</v>
      </c>
      <c r="O469" s="43" t="s">
        <v>19</v>
      </c>
      <c r="P469">
        <v>2014</v>
      </c>
    </row>
    <row r="470" spans="1:16" x14ac:dyDescent="0.2">
      <c r="A470" s="43" t="s">
        <v>21</v>
      </c>
      <c r="B470" s="43" t="s">
        <v>20</v>
      </c>
      <c r="C470" s="43" t="s">
        <v>39</v>
      </c>
      <c r="D470" s="43" t="s">
        <v>46</v>
      </c>
      <c r="E470">
        <v>510</v>
      </c>
      <c r="F470">
        <v>120</v>
      </c>
      <c r="G470">
        <v>15</v>
      </c>
      <c r="H470">
        <v>7650</v>
      </c>
      <c r="I470" s="43" t="s">
        <v>794</v>
      </c>
      <c r="J470">
        <v>6885</v>
      </c>
      <c r="K470">
        <v>5100</v>
      </c>
      <c r="L470" s="43" t="s">
        <v>795</v>
      </c>
      <c r="M470" s="44">
        <v>41730</v>
      </c>
      <c r="N470">
        <v>4</v>
      </c>
      <c r="O470" s="43" t="s">
        <v>41</v>
      </c>
      <c r="P470">
        <v>2014</v>
      </c>
    </row>
    <row r="471" spans="1:16" x14ac:dyDescent="0.2">
      <c r="A471" s="43" t="s">
        <v>21</v>
      </c>
      <c r="B471" s="43" t="s">
        <v>35</v>
      </c>
      <c r="C471" s="43" t="s">
        <v>39</v>
      </c>
      <c r="D471" s="43" t="s">
        <v>46</v>
      </c>
      <c r="E471">
        <v>790</v>
      </c>
      <c r="F471">
        <v>120</v>
      </c>
      <c r="G471">
        <v>15</v>
      </c>
      <c r="H471">
        <v>11850</v>
      </c>
      <c r="I471" s="43" t="s">
        <v>796</v>
      </c>
      <c r="J471">
        <v>10665</v>
      </c>
      <c r="K471">
        <v>7900</v>
      </c>
      <c r="L471" s="43" t="s">
        <v>797</v>
      </c>
      <c r="M471" s="44">
        <v>41760</v>
      </c>
      <c r="N471">
        <v>5</v>
      </c>
      <c r="O471" s="43" t="s">
        <v>44</v>
      </c>
      <c r="P471">
        <v>2014</v>
      </c>
    </row>
    <row r="472" spans="1:16" x14ac:dyDescent="0.2">
      <c r="A472" s="43" t="s">
        <v>15</v>
      </c>
      <c r="B472" s="43" t="s">
        <v>22</v>
      </c>
      <c r="C472" s="43" t="s">
        <v>39</v>
      </c>
      <c r="D472" s="43" t="s">
        <v>46</v>
      </c>
      <c r="E472">
        <v>639</v>
      </c>
      <c r="F472">
        <v>120</v>
      </c>
      <c r="G472">
        <v>350</v>
      </c>
      <c r="H472">
        <v>223650</v>
      </c>
      <c r="I472" s="43" t="s">
        <v>798</v>
      </c>
      <c r="J472">
        <v>201285</v>
      </c>
      <c r="K472">
        <v>166140</v>
      </c>
      <c r="L472" s="43" t="s">
        <v>799</v>
      </c>
      <c r="M472" s="44">
        <v>41821</v>
      </c>
      <c r="N472">
        <v>7</v>
      </c>
      <c r="O472" s="43" t="s">
        <v>30</v>
      </c>
      <c r="P472">
        <v>2014</v>
      </c>
    </row>
    <row r="473" spans="1:16" x14ac:dyDescent="0.2">
      <c r="A473" s="43" t="s">
        <v>29</v>
      </c>
      <c r="B473" s="43" t="s">
        <v>35</v>
      </c>
      <c r="C473" s="43" t="s">
        <v>39</v>
      </c>
      <c r="D473" s="43" t="s">
        <v>46</v>
      </c>
      <c r="E473">
        <v>1596</v>
      </c>
      <c r="F473">
        <v>120</v>
      </c>
      <c r="G473">
        <v>125</v>
      </c>
      <c r="H473">
        <v>199500</v>
      </c>
      <c r="I473" s="43" t="s">
        <v>800</v>
      </c>
      <c r="J473">
        <v>179550</v>
      </c>
      <c r="K473">
        <v>191520</v>
      </c>
      <c r="L473" s="43" t="s">
        <v>801</v>
      </c>
      <c r="M473" s="44">
        <v>41883</v>
      </c>
      <c r="N473">
        <v>9</v>
      </c>
      <c r="O473" s="43" t="s">
        <v>33</v>
      </c>
      <c r="P473">
        <v>2014</v>
      </c>
    </row>
    <row r="474" spans="1:16" x14ac:dyDescent="0.2">
      <c r="A474" s="43" t="s">
        <v>31</v>
      </c>
      <c r="B474" s="43" t="s">
        <v>35</v>
      </c>
      <c r="C474" s="43" t="s">
        <v>39</v>
      </c>
      <c r="D474" s="43" t="s">
        <v>46</v>
      </c>
      <c r="E474">
        <v>2294</v>
      </c>
      <c r="F474">
        <v>120</v>
      </c>
      <c r="G474">
        <v>300</v>
      </c>
      <c r="H474">
        <v>688200</v>
      </c>
      <c r="I474" s="43" t="s">
        <v>802</v>
      </c>
      <c r="J474">
        <v>619380</v>
      </c>
      <c r="K474">
        <v>573500</v>
      </c>
      <c r="L474" s="43" t="s">
        <v>803</v>
      </c>
      <c r="M474" s="44">
        <v>41548</v>
      </c>
      <c r="N474">
        <v>10</v>
      </c>
      <c r="O474" s="43" t="s">
        <v>34</v>
      </c>
      <c r="P474">
        <v>2013</v>
      </c>
    </row>
    <row r="475" spans="1:16" x14ac:dyDescent="0.2">
      <c r="A475" s="43" t="s">
        <v>15</v>
      </c>
      <c r="B475" s="43" t="s">
        <v>20</v>
      </c>
      <c r="C475" s="43" t="s">
        <v>39</v>
      </c>
      <c r="D475" s="43" t="s">
        <v>46</v>
      </c>
      <c r="E475">
        <v>241</v>
      </c>
      <c r="F475">
        <v>120</v>
      </c>
      <c r="G475">
        <v>20</v>
      </c>
      <c r="H475">
        <v>4820</v>
      </c>
      <c r="I475" s="43" t="s">
        <v>790</v>
      </c>
      <c r="J475">
        <v>4338</v>
      </c>
      <c r="K475">
        <v>2410</v>
      </c>
      <c r="L475" s="43" t="s">
        <v>791</v>
      </c>
      <c r="M475" s="44">
        <v>41913</v>
      </c>
      <c r="N475">
        <v>10</v>
      </c>
      <c r="O475" s="43" t="s">
        <v>34</v>
      </c>
      <c r="P475">
        <v>2014</v>
      </c>
    </row>
    <row r="476" spans="1:16" x14ac:dyDescent="0.2">
      <c r="A476" s="43" t="s">
        <v>15</v>
      </c>
      <c r="B476" s="43" t="s">
        <v>20</v>
      </c>
      <c r="C476" s="43" t="s">
        <v>39</v>
      </c>
      <c r="D476" s="43" t="s">
        <v>46</v>
      </c>
      <c r="E476">
        <v>2665</v>
      </c>
      <c r="F476">
        <v>120</v>
      </c>
      <c r="G476">
        <v>7</v>
      </c>
      <c r="H476">
        <v>18655</v>
      </c>
      <c r="I476" s="43" t="s">
        <v>804</v>
      </c>
      <c r="J476">
        <v>16789.5</v>
      </c>
      <c r="K476">
        <v>13325</v>
      </c>
      <c r="L476" s="43" t="s">
        <v>805</v>
      </c>
      <c r="M476" s="44">
        <v>41944</v>
      </c>
      <c r="N476">
        <v>11</v>
      </c>
      <c r="O476" s="43" t="s">
        <v>38</v>
      </c>
      <c r="P476">
        <v>2014</v>
      </c>
    </row>
    <row r="477" spans="1:16" x14ac:dyDescent="0.2">
      <c r="A477" s="43" t="s">
        <v>29</v>
      </c>
      <c r="B477" s="43" t="s">
        <v>16</v>
      </c>
      <c r="C477" s="43" t="s">
        <v>39</v>
      </c>
      <c r="D477" s="43" t="s">
        <v>46</v>
      </c>
      <c r="E477">
        <v>1916</v>
      </c>
      <c r="F477">
        <v>120</v>
      </c>
      <c r="G477">
        <v>125</v>
      </c>
      <c r="H477">
        <v>239500</v>
      </c>
      <c r="I477" s="43" t="s">
        <v>806</v>
      </c>
      <c r="J477">
        <v>215550</v>
      </c>
      <c r="K477">
        <v>229920</v>
      </c>
      <c r="L477" s="43" t="s">
        <v>807</v>
      </c>
      <c r="M477" s="44">
        <v>41609</v>
      </c>
      <c r="N477">
        <v>12</v>
      </c>
      <c r="O477" s="43" t="s">
        <v>25</v>
      </c>
      <c r="P477">
        <v>2013</v>
      </c>
    </row>
    <row r="478" spans="1:16" x14ac:dyDescent="0.2">
      <c r="A478" s="43" t="s">
        <v>31</v>
      </c>
      <c r="B478" s="43" t="s">
        <v>22</v>
      </c>
      <c r="C478" s="43" t="s">
        <v>39</v>
      </c>
      <c r="D478" s="43" t="s">
        <v>46</v>
      </c>
      <c r="E478">
        <v>853</v>
      </c>
      <c r="F478">
        <v>120</v>
      </c>
      <c r="G478">
        <v>300</v>
      </c>
      <c r="H478">
        <v>255900</v>
      </c>
      <c r="I478" s="43" t="s">
        <v>808</v>
      </c>
      <c r="J478">
        <v>230310</v>
      </c>
      <c r="K478">
        <v>213250</v>
      </c>
      <c r="L478" s="43" t="s">
        <v>809</v>
      </c>
      <c r="M478" s="44">
        <v>41974</v>
      </c>
      <c r="N478">
        <v>12</v>
      </c>
      <c r="O478" s="43" t="s">
        <v>25</v>
      </c>
      <c r="P478">
        <v>2014</v>
      </c>
    </row>
    <row r="479" spans="1:16" x14ac:dyDescent="0.2">
      <c r="A479" s="43" t="s">
        <v>29</v>
      </c>
      <c r="B479" s="43" t="s">
        <v>24</v>
      </c>
      <c r="C479" s="43" t="s">
        <v>40</v>
      </c>
      <c r="D479" s="43" t="s">
        <v>46</v>
      </c>
      <c r="E479">
        <v>341</v>
      </c>
      <c r="F479">
        <v>250</v>
      </c>
      <c r="G479">
        <v>125</v>
      </c>
      <c r="H479">
        <v>42625</v>
      </c>
      <c r="I479" s="43" t="s">
        <v>810</v>
      </c>
      <c r="J479">
        <v>38362.5</v>
      </c>
      <c r="K479">
        <v>40920</v>
      </c>
      <c r="L479" s="43" t="s">
        <v>811</v>
      </c>
      <c r="M479" s="44">
        <v>41760</v>
      </c>
      <c r="N479">
        <v>5</v>
      </c>
      <c r="O479" s="43" t="s">
        <v>44</v>
      </c>
      <c r="P479">
        <v>2014</v>
      </c>
    </row>
    <row r="480" spans="1:16" x14ac:dyDescent="0.2">
      <c r="A480" s="43" t="s">
        <v>21</v>
      </c>
      <c r="B480" s="43" t="s">
        <v>24</v>
      </c>
      <c r="C480" s="43" t="s">
        <v>40</v>
      </c>
      <c r="D480" s="43" t="s">
        <v>46</v>
      </c>
      <c r="E480">
        <v>641</v>
      </c>
      <c r="F480">
        <v>250</v>
      </c>
      <c r="G480">
        <v>15</v>
      </c>
      <c r="H480">
        <v>9615</v>
      </c>
      <c r="I480" s="43" t="s">
        <v>812</v>
      </c>
      <c r="J480">
        <v>8653.5</v>
      </c>
      <c r="K480">
        <v>6410</v>
      </c>
      <c r="L480" s="43" t="s">
        <v>813</v>
      </c>
      <c r="M480" s="44">
        <v>41821</v>
      </c>
      <c r="N480">
        <v>7</v>
      </c>
      <c r="O480" s="43" t="s">
        <v>30</v>
      </c>
      <c r="P480">
        <v>2014</v>
      </c>
    </row>
    <row r="481" spans="1:16" x14ac:dyDescent="0.2">
      <c r="A481" s="43" t="s">
        <v>15</v>
      </c>
      <c r="B481" s="43" t="s">
        <v>35</v>
      </c>
      <c r="C481" s="43" t="s">
        <v>40</v>
      </c>
      <c r="D481" s="43" t="s">
        <v>46</v>
      </c>
      <c r="E481">
        <v>2807</v>
      </c>
      <c r="F481">
        <v>250</v>
      </c>
      <c r="G481">
        <v>350</v>
      </c>
      <c r="H481">
        <v>982450</v>
      </c>
      <c r="I481" s="43" t="s">
        <v>814</v>
      </c>
      <c r="J481">
        <v>884205</v>
      </c>
      <c r="K481">
        <v>729820</v>
      </c>
      <c r="L481" s="43" t="s">
        <v>815</v>
      </c>
      <c r="M481" s="44">
        <v>41852</v>
      </c>
      <c r="N481">
        <v>8</v>
      </c>
      <c r="O481" s="43" t="s">
        <v>32</v>
      </c>
      <c r="P481">
        <v>2014</v>
      </c>
    </row>
    <row r="482" spans="1:16" x14ac:dyDescent="0.2">
      <c r="A482" s="43" t="s">
        <v>31</v>
      </c>
      <c r="B482" s="43" t="s">
        <v>24</v>
      </c>
      <c r="C482" s="43" t="s">
        <v>40</v>
      </c>
      <c r="D482" s="43" t="s">
        <v>46</v>
      </c>
      <c r="E482">
        <v>432</v>
      </c>
      <c r="F482">
        <v>250</v>
      </c>
      <c r="G482">
        <v>300</v>
      </c>
      <c r="H482">
        <v>129600</v>
      </c>
      <c r="I482" s="43" t="s">
        <v>816</v>
      </c>
      <c r="J482">
        <v>116640</v>
      </c>
      <c r="K482">
        <v>108000</v>
      </c>
      <c r="L482" s="43" t="s">
        <v>817</v>
      </c>
      <c r="M482" s="44">
        <v>41883</v>
      </c>
      <c r="N482">
        <v>9</v>
      </c>
      <c r="O482" s="43" t="s">
        <v>33</v>
      </c>
      <c r="P482">
        <v>2014</v>
      </c>
    </row>
    <row r="483" spans="1:16" x14ac:dyDescent="0.2">
      <c r="A483" s="43" t="s">
        <v>31</v>
      </c>
      <c r="B483" s="43" t="s">
        <v>35</v>
      </c>
      <c r="C483" s="43" t="s">
        <v>40</v>
      </c>
      <c r="D483" s="43" t="s">
        <v>46</v>
      </c>
      <c r="E483">
        <v>2294</v>
      </c>
      <c r="F483">
        <v>250</v>
      </c>
      <c r="G483">
        <v>300</v>
      </c>
      <c r="H483">
        <v>688200</v>
      </c>
      <c r="I483" s="43" t="s">
        <v>802</v>
      </c>
      <c r="J483">
        <v>619380</v>
      </c>
      <c r="K483">
        <v>573500</v>
      </c>
      <c r="L483" s="43" t="s">
        <v>803</v>
      </c>
      <c r="M483" s="44">
        <v>41548</v>
      </c>
      <c r="N483">
        <v>10</v>
      </c>
      <c r="O483" s="43" t="s">
        <v>34</v>
      </c>
      <c r="P483">
        <v>2013</v>
      </c>
    </row>
    <row r="484" spans="1:16" x14ac:dyDescent="0.2">
      <c r="A484" s="43" t="s">
        <v>21</v>
      </c>
      <c r="B484" s="43" t="s">
        <v>22</v>
      </c>
      <c r="C484" s="43" t="s">
        <v>40</v>
      </c>
      <c r="D484" s="43" t="s">
        <v>46</v>
      </c>
      <c r="E484">
        <v>2167</v>
      </c>
      <c r="F484">
        <v>250</v>
      </c>
      <c r="G484">
        <v>15</v>
      </c>
      <c r="H484">
        <v>32505</v>
      </c>
      <c r="I484" s="43" t="s">
        <v>788</v>
      </c>
      <c r="J484">
        <v>29254.5</v>
      </c>
      <c r="K484">
        <v>21670</v>
      </c>
      <c r="L484" s="43" t="s">
        <v>789</v>
      </c>
      <c r="M484" s="44">
        <v>41548</v>
      </c>
      <c r="N484">
        <v>10</v>
      </c>
      <c r="O484" s="43" t="s">
        <v>34</v>
      </c>
      <c r="P484">
        <v>2013</v>
      </c>
    </row>
    <row r="485" spans="1:16" x14ac:dyDescent="0.2">
      <c r="A485" s="43" t="s">
        <v>29</v>
      </c>
      <c r="B485" s="43" t="s">
        <v>16</v>
      </c>
      <c r="C485" s="43" t="s">
        <v>40</v>
      </c>
      <c r="D485" s="43" t="s">
        <v>46</v>
      </c>
      <c r="E485">
        <v>2529</v>
      </c>
      <c r="F485">
        <v>250</v>
      </c>
      <c r="G485">
        <v>125</v>
      </c>
      <c r="H485">
        <v>316125</v>
      </c>
      <c r="I485" s="43" t="s">
        <v>818</v>
      </c>
      <c r="J485">
        <v>284512.5</v>
      </c>
      <c r="K485">
        <v>303480</v>
      </c>
      <c r="L485" s="43" t="s">
        <v>819</v>
      </c>
      <c r="M485" s="44">
        <v>41944</v>
      </c>
      <c r="N485">
        <v>11</v>
      </c>
      <c r="O485" s="43" t="s">
        <v>38</v>
      </c>
      <c r="P485">
        <v>2014</v>
      </c>
    </row>
    <row r="486" spans="1:16" x14ac:dyDescent="0.2">
      <c r="A486" s="43" t="s">
        <v>15</v>
      </c>
      <c r="B486" s="43" t="s">
        <v>20</v>
      </c>
      <c r="C486" s="43" t="s">
        <v>40</v>
      </c>
      <c r="D486" s="43" t="s">
        <v>46</v>
      </c>
      <c r="E486">
        <v>1870</v>
      </c>
      <c r="F486">
        <v>250</v>
      </c>
      <c r="G486">
        <v>350</v>
      </c>
      <c r="H486">
        <v>654500</v>
      </c>
      <c r="I486" s="43" t="s">
        <v>820</v>
      </c>
      <c r="J486">
        <v>589050</v>
      </c>
      <c r="K486">
        <v>486200</v>
      </c>
      <c r="L486" s="43" t="s">
        <v>821</v>
      </c>
      <c r="M486" s="44">
        <v>41609</v>
      </c>
      <c r="N486">
        <v>12</v>
      </c>
      <c r="O486" s="43" t="s">
        <v>25</v>
      </c>
      <c r="P486">
        <v>2013</v>
      </c>
    </row>
    <row r="487" spans="1:16" x14ac:dyDescent="0.2">
      <c r="A487" s="43" t="s">
        <v>29</v>
      </c>
      <c r="B487" s="43" t="s">
        <v>35</v>
      </c>
      <c r="C487" s="43" t="s">
        <v>42</v>
      </c>
      <c r="D487" s="43" t="s">
        <v>46</v>
      </c>
      <c r="E487">
        <v>579</v>
      </c>
      <c r="F487">
        <v>260</v>
      </c>
      <c r="G487">
        <v>125</v>
      </c>
      <c r="H487">
        <v>72375</v>
      </c>
      <c r="I487" s="43" t="s">
        <v>822</v>
      </c>
      <c r="J487">
        <v>65137.5</v>
      </c>
      <c r="K487">
        <v>69480</v>
      </c>
      <c r="L487" s="43" t="s">
        <v>823</v>
      </c>
      <c r="M487" s="44">
        <v>41640</v>
      </c>
      <c r="N487">
        <v>1</v>
      </c>
      <c r="O487" s="43" t="s">
        <v>19</v>
      </c>
      <c r="P487">
        <v>2014</v>
      </c>
    </row>
    <row r="488" spans="1:16" x14ac:dyDescent="0.2">
      <c r="A488" s="43" t="s">
        <v>15</v>
      </c>
      <c r="B488" s="43" t="s">
        <v>16</v>
      </c>
      <c r="C488" s="43" t="s">
        <v>42</v>
      </c>
      <c r="D488" s="43" t="s">
        <v>46</v>
      </c>
      <c r="E488">
        <v>2240</v>
      </c>
      <c r="F488">
        <v>260</v>
      </c>
      <c r="G488">
        <v>350</v>
      </c>
      <c r="H488">
        <v>784000</v>
      </c>
      <c r="I488" s="43" t="s">
        <v>824</v>
      </c>
      <c r="J488">
        <v>705600</v>
      </c>
      <c r="K488">
        <v>582400</v>
      </c>
      <c r="L488" s="43" t="s">
        <v>825</v>
      </c>
      <c r="M488" s="44">
        <v>41671</v>
      </c>
      <c r="N488">
        <v>2</v>
      </c>
      <c r="O488" s="43" t="s">
        <v>37</v>
      </c>
      <c r="P488">
        <v>2014</v>
      </c>
    </row>
    <row r="489" spans="1:16" x14ac:dyDescent="0.2">
      <c r="A489" s="43" t="s">
        <v>31</v>
      </c>
      <c r="B489" s="43" t="s">
        <v>35</v>
      </c>
      <c r="C489" s="43" t="s">
        <v>42</v>
      </c>
      <c r="D489" s="43" t="s">
        <v>46</v>
      </c>
      <c r="E489">
        <v>2993</v>
      </c>
      <c r="F489">
        <v>260</v>
      </c>
      <c r="G489">
        <v>300</v>
      </c>
      <c r="H489">
        <v>897900</v>
      </c>
      <c r="I489" s="43" t="s">
        <v>826</v>
      </c>
      <c r="J489">
        <v>808110</v>
      </c>
      <c r="K489">
        <v>748250</v>
      </c>
      <c r="L489" s="43" t="s">
        <v>827</v>
      </c>
      <c r="M489" s="44">
        <v>41699</v>
      </c>
      <c r="N489">
        <v>3</v>
      </c>
      <c r="O489" s="43" t="s">
        <v>27</v>
      </c>
      <c r="P489">
        <v>2014</v>
      </c>
    </row>
    <row r="490" spans="1:16" x14ac:dyDescent="0.2">
      <c r="A490" s="43" t="s">
        <v>28</v>
      </c>
      <c r="B490" s="43" t="s">
        <v>16</v>
      </c>
      <c r="C490" s="43" t="s">
        <v>42</v>
      </c>
      <c r="D490" s="43" t="s">
        <v>46</v>
      </c>
      <c r="E490">
        <v>3520.5</v>
      </c>
      <c r="F490">
        <v>260</v>
      </c>
      <c r="G490">
        <v>12</v>
      </c>
      <c r="H490">
        <v>42246</v>
      </c>
      <c r="I490" s="43" t="s">
        <v>828</v>
      </c>
      <c r="J490">
        <v>38021.4</v>
      </c>
      <c r="K490">
        <v>10561.5</v>
      </c>
      <c r="L490" s="43" t="s">
        <v>829</v>
      </c>
      <c r="M490" s="44">
        <v>41730</v>
      </c>
      <c r="N490">
        <v>4</v>
      </c>
      <c r="O490" s="43" t="s">
        <v>41</v>
      </c>
      <c r="P490">
        <v>2014</v>
      </c>
    </row>
    <row r="491" spans="1:16" x14ac:dyDescent="0.2">
      <c r="A491" s="43" t="s">
        <v>15</v>
      </c>
      <c r="B491" s="43" t="s">
        <v>24</v>
      </c>
      <c r="C491" s="43" t="s">
        <v>42</v>
      </c>
      <c r="D491" s="43" t="s">
        <v>46</v>
      </c>
      <c r="E491">
        <v>2039</v>
      </c>
      <c r="F491">
        <v>260</v>
      </c>
      <c r="G491">
        <v>20</v>
      </c>
      <c r="H491">
        <v>40780</v>
      </c>
      <c r="I491" s="43" t="s">
        <v>830</v>
      </c>
      <c r="J491">
        <v>36702</v>
      </c>
      <c r="K491">
        <v>20390</v>
      </c>
      <c r="L491" s="43" t="s">
        <v>831</v>
      </c>
      <c r="M491" s="44">
        <v>41760</v>
      </c>
      <c r="N491">
        <v>5</v>
      </c>
      <c r="O491" s="43" t="s">
        <v>44</v>
      </c>
      <c r="P491">
        <v>2014</v>
      </c>
    </row>
    <row r="492" spans="1:16" x14ac:dyDescent="0.2">
      <c r="A492" s="43" t="s">
        <v>28</v>
      </c>
      <c r="B492" s="43" t="s">
        <v>20</v>
      </c>
      <c r="C492" s="43" t="s">
        <v>42</v>
      </c>
      <c r="D492" s="43" t="s">
        <v>46</v>
      </c>
      <c r="E492">
        <v>2574</v>
      </c>
      <c r="F492">
        <v>260</v>
      </c>
      <c r="G492">
        <v>12</v>
      </c>
      <c r="H492">
        <v>30888</v>
      </c>
      <c r="I492" s="43" t="s">
        <v>832</v>
      </c>
      <c r="J492">
        <v>27799.200000000001</v>
      </c>
      <c r="K492">
        <v>7722</v>
      </c>
      <c r="L492" s="43" t="s">
        <v>833</v>
      </c>
      <c r="M492" s="44">
        <v>41852</v>
      </c>
      <c r="N492">
        <v>8</v>
      </c>
      <c r="O492" s="43" t="s">
        <v>32</v>
      </c>
      <c r="P492">
        <v>2014</v>
      </c>
    </row>
    <row r="493" spans="1:16" x14ac:dyDescent="0.2">
      <c r="A493" s="43" t="s">
        <v>15</v>
      </c>
      <c r="B493" s="43" t="s">
        <v>16</v>
      </c>
      <c r="C493" s="43" t="s">
        <v>42</v>
      </c>
      <c r="D493" s="43" t="s">
        <v>46</v>
      </c>
      <c r="E493">
        <v>707</v>
      </c>
      <c r="F493">
        <v>260</v>
      </c>
      <c r="G493">
        <v>350</v>
      </c>
      <c r="H493">
        <v>247450</v>
      </c>
      <c r="I493" s="43" t="s">
        <v>834</v>
      </c>
      <c r="J493">
        <v>222705</v>
      </c>
      <c r="K493">
        <v>183820</v>
      </c>
      <c r="L493" s="43" t="s">
        <v>835</v>
      </c>
      <c r="M493" s="44">
        <v>41883</v>
      </c>
      <c r="N493">
        <v>9</v>
      </c>
      <c r="O493" s="43" t="s">
        <v>33</v>
      </c>
      <c r="P493">
        <v>2014</v>
      </c>
    </row>
    <row r="494" spans="1:16" x14ac:dyDescent="0.2">
      <c r="A494" s="43" t="s">
        <v>21</v>
      </c>
      <c r="B494" s="43" t="s">
        <v>22</v>
      </c>
      <c r="C494" s="43" t="s">
        <v>42</v>
      </c>
      <c r="D494" s="43" t="s">
        <v>46</v>
      </c>
      <c r="E494">
        <v>2072</v>
      </c>
      <c r="F494">
        <v>260</v>
      </c>
      <c r="G494">
        <v>15</v>
      </c>
      <c r="H494">
        <v>31080</v>
      </c>
      <c r="I494" s="43" t="s">
        <v>782</v>
      </c>
      <c r="J494">
        <v>27972</v>
      </c>
      <c r="K494">
        <v>20720</v>
      </c>
      <c r="L494" s="43" t="s">
        <v>783</v>
      </c>
      <c r="M494" s="44">
        <v>41974</v>
      </c>
      <c r="N494">
        <v>12</v>
      </c>
      <c r="O494" s="43" t="s">
        <v>25</v>
      </c>
      <c r="P494">
        <v>2014</v>
      </c>
    </row>
    <row r="495" spans="1:16" x14ac:dyDescent="0.2">
      <c r="A495" s="43" t="s">
        <v>31</v>
      </c>
      <c r="B495" s="43" t="s">
        <v>22</v>
      </c>
      <c r="C495" s="43" t="s">
        <v>42</v>
      </c>
      <c r="D495" s="43" t="s">
        <v>46</v>
      </c>
      <c r="E495">
        <v>853</v>
      </c>
      <c r="F495">
        <v>260</v>
      </c>
      <c r="G495">
        <v>300</v>
      </c>
      <c r="H495">
        <v>255900</v>
      </c>
      <c r="I495" s="43" t="s">
        <v>808</v>
      </c>
      <c r="J495">
        <v>230310</v>
      </c>
      <c r="K495">
        <v>213250</v>
      </c>
      <c r="L495" s="43" t="s">
        <v>809</v>
      </c>
      <c r="M495" s="44">
        <v>41974</v>
      </c>
      <c r="N495">
        <v>12</v>
      </c>
      <c r="O495" s="43" t="s">
        <v>25</v>
      </c>
      <c r="P495">
        <v>2014</v>
      </c>
    </row>
    <row r="496" spans="1:16" x14ac:dyDescent="0.2">
      <c r="A496" s="43" t="s">
        <v>28</v>
      </c>
      <c r="B496" s="43" t="s">
        <v>22</v>
      </c>
      <c r="C496" s="43" t="s">
        <v>17</v>
      </c>
      <c r="D496" s="43" t="s">
        <v>46</v>
      </c>
      <c r="E496">
        <v>1198</v>
      </c>
      <c r="F496">
        <v>3</v>
      </c>
      <c r="G496">
        <v>12</v>
      </c>
      <c r="H496">
        <v>14376</v>
      </c>
      <c r="I496" s="43" t="s">
        <v>836</v>
      </c>
      <c r="J496">
        <v>12794.64</v>
      </c>
      <c r="K496">
        <v>3594</v>
      </c>
      <c r="L496" s="43" t="s">
        <v>837</v>
      </c>
      <c r="M496" s="44">
        <v>41548</v>
      </c>
      <c r="N496">
        <v>10</v>
      </c>
      <c r="O496" s="43" t="s">
        <v>34</v>
      </c>
      <c r="P496">
        <v>2013</v>
      </c>
    </row>
    <row r="497" spans="1:16" x14ac:dyDescent="0.2">
      <c r="A497" s="43" t="s">
        <v>15</v>
      </c>
      <c r="B497" s="43" t="s">
        <v>22</v>
      </c>
      <c r="C497" s="43" t="s">
        <v>36</v>
      </c>
      <c r="D497" s="43" t="s">
        <v>46</v>
      </c>
      <c r="E497">
        <v>2532</v>
      </c>
      <c r="F497">
        <v>10</v>
      </c>
      <c r="G497">
        <v>7</v>
      </c>
      <c r="H497">
        <v>17724</v>
      </c>
      <c r="I497" s="43" t="s">
        <v>838</v>
      </c>
      <c r="J497">
        <v>15774.36</v>
      </c>
      <c r="K497">
        <v>12660</v>
      </c>
      <c r="L497" s="43" t="s">
        <v>839</v>
      </c>
      <c r="M497" s="44">
        <v>41730</v>
      </c>
      <c r="N497">
        <v>4</v>
      </c>
      <c r="O497" s="43" t="s">
        <v>41</v>
      </c>
      <c r="P497">
        <v>2014</v>
      </c>
    </row>
    <row r="498" spans="1:16" x14ac:dyDescent="0.2">
      <c r="A498" s="43" t="s">
        <v>28</v>
      </c>
      <c r="B498" s="43" t="s">
        <v>22</v>
      </c>
      <c r="C498" s="43" t="s">
        <v>36</v>
      </c>
      <c r="D498" s="43" t="s">
        <v>46</v>
      </c>
      <c r="E498">
        <v>1198</v>
      </c>
      <c r="F498">
        <v>10</v>
      </c>
      <c r="G498">
        <v>12</v>
      </c>
      <c r="H498">
        <v>14376</v>
      </c>
      <c r="I498" s="43" t="s">
        <v>836</v>
      </c>
      <c r="J498">
        <v>12794.64</v>
      </c>
      <c r="K498">
        <v>3594</v>
      </c>
      <c r="L498" s="43" t="s">
        <v>837</v>
      </c>
      <c r="M498" s="44">
        <v>41548</v>
      </c>
      <c r="N498">
        <v>10</v>
      </c>
      <c r="O498" s="43" t="s">
        <v>34</v>
      </c>
      <c r="P498">
        <v>2013</v>
      </c>
    </row>
    <row r="499" spans="1:16" x14ac:dyDescent="0.2">
      <c r="A499" s="43" t="s">
        <v>21</v>
      </c>
      <c r="B499" s="43" t="s">
        <v>16</v>
      </c>
      <c r="C499" s="43" t="s">
        <v>39</v>
      </c>
      <c r="D499" s="43" t="s">
        <v>46</v>
      </c>
      <c r="E499">
        <v>384</v>
      </c>
      <c r="F499">
        <v>120</v>
      </c>
      <c r="G499">
        <v>15</v>
      </c>
      <c r="H499">
        <v>5760</v>
      </c>
      <c r="I499" s="43" t="s">
        <v>840</v>
      </c>
      <c r="J499">
        <v>5126.3999999999996</v>
      </c>
      <c r="K499">
        <v>3840</v>
      </c>
      <c r="L499" s="43" t="s">
        <v>841</v>
      </c>
      <c r="M499" s="44">
        <v>41640</v>
      </c>
      <c r="N499">
        <v>1</v>
      </c>
      <c r="O499" s="43" t="s">
        <v>19</v>
      </c>
      <c r="P499">
        <v>2014</v>
      </c>
    </row>
    <row r="500" spans="1:16" x14ac:dyDescent="0.2">
      <c r="A500" s="43" t="s">
        <v>28</v>
      </c>
      <c r="B500" s="43" t="s">
        <v>20</v>
      </c>
      <c r="C500" s="43" t="s">
        <v>39</v>
      </c>
      <c r="D500" s="43" t="s">
        <v>46</v>
      </c>
      <c r="E500">
        <v>472</v>
      </c>
      <c r="F500">
        <v>120</v>
      </c>
      <c r="G500">
        <v>12</v>
      </c>
      <c r="H500">
        <v>5664</v>
      </c>
      <c r="I500" s="43" t="s">
        <v>842</v>
      </c>
      <c r="J500">
        <v>5040.96</v>
      </c>
      <c r="K500">
        <v>1416</v>
      </c>
      <c r="L500" s="43" t="s">
        <v>843</v>
      </c>
      <c r="M500" s="44">
        <v>41913</v>
      </c>
      <c r="N500">
        <v>10</v>
      </c>
      <c r="O500" s="43" t="s">
        <v>34</v>
      </c>
      <c r="P500">
        <v>2014</v>
      </c>
    </row>
    <row r="501" spans="1:16" x14ac:dyDescent="0.2">
      <c r="A501" s="43" t="s">
        <v>15</v>
      </c>
      <c r="B501" s="43" t="s">
        <v>35</v>
      </c>
      <c r="C501" s="43" t="s">
        <v>40</v>
      </c>
      <c r="D501" s="43" t="s">
        <v>46</v>
      </c>
      <c r="E501">
        <v>1579</v>
      </c>
      <c r="F501">
        <v>250</v>
      </c>
      <c r="G501">
        <v>7</v>
      </c>
      <c r="H501">
        <v>11053</v>
      </c>
      <c r="I501" s="43" t="s">
        <v>844</v>
      </c>
      <c r="J501">
        <v>9837.17</v>
      </c>
      <c r="K501">
        <v>7895</v>
      </c>
      <c r="L501" s="43" t="s">
        <v>845</v>
      </c>
      <c r="M501" s="44">
        <v>41699</v>
      </c>
      <c r="N501">
        <v>3</v>
      </c>
      <c r="O501" s="43" t="s">
        <v>27</v>
      </c>
      <c r="P501">
        <v>2014</v>
      </c>
    </row>
    <row r="502" spans="1:16" x14ac:dyDescent="0.2">
      <c r="A502" s="43" t="s">
        <v>28</v>
      </c>
      <c r="B502" s="43" t="s">
        <v>24</v>
      </c>
      <c r="C502" s="43" t="s">
        <v>40</v>
      </c>
      <c r="D502" s="43" t="s">
        <v>46</v>
      </c>
      <c r="E502">
        <v>1005</v>
      </c>
      <c r="F502">
        <v>250</v>
      </c>
      <c r="G502">
        <v>12</v>
      </c>
      <c r="H502">
        <v>12060</v>
      </c>
      <c r="I502" s="43" t="s">
        <v>846</v>
      </c>
      <c r="J502">
        <v>10733.4</v>
      </c>
      <c r="K502">
        <v>3015</v>
      </c>
      <c r="L502" s="43" t="s">
        <v>847</v>
      </c>
      <c r="M502" s="44">
        <v>41518</v>
      </c>
      <c r="N502">
        <v>9</v>
      </c>
      <c r="O502" s="43" t="s">
        <v>33</v>
      </c>
      <c r="P502">
        <v>2013</v>
      </c>
    </row>
    <row r="503" spans="1:16" x14ac:dyDescent="0.2">
      <c r="A503" s="43" t="s">
        <v>21</v>
      </c>
      <c r="B503" s="43" t="s">
        <v>35</v>
      </c>
      <c r="C503" s="43" t="s">
        <v>42</v>
      </c>
      <c r="D503" s="43" t="s">
        <v>46</v>
      </c>
      <c r="E503">
        <v>3199.5</v>
      </c>
      <c r="F503">
        <v>260</v>
      </c>
      <c r="G503">
        <v>15</v>
      </c>
      <c r="H503">
        <v>47992.5</v>
      </c>
      <c r="I503" s="43" t="s">
        <v>848</v>
      </c>
      <c r="J503">
        <v>42713.33</v>
      </c>
      <c r="K503">
        <v>31995</v>
      </c>
      <c r="L503" s="43" t="s">
        <v>849</v>
      </c>
      <c r="M503" s="44">
        <v>41821</v>
      </c>
      <c r="N503">
        <v>7</v>
      </c>
      <c r="O503" s="43" t="s">
        <v>30</v>
      </c>
      <c r="P503">
        <v>2014</v>
      </c>
    </row>
    <row r="504" spans="1:16" x14ac:dyDescent="0.2">
      <c r="A504" s="43" t="s">
        <v>28</v>
      </c>
      <c r="B504" s="43" t="s">
        <v>20</v>
      </c>
      <c r="C504" s="43" t="s">
        <v>42</v>
      </c>
      <c r="D504" s="43" t="s">
        <v>46</v>
      </c>
      <c r="E504">
        <v>472</v>
      </c>
      <c r="F504">
        <v>260</v>
      </c>
      <c r="G504">
        <v>12</v>
      </c>
      <c r="H504">
        <v>5664</v>
      </c>
      <c r="I504" s="43" t="s">
        <v>842</v>
      </c>
      <c r="J504">
        <v>5040.96</v>
      </c>
      <c r="K504">
        <v>1416</v>
      </c>
      <c r="L504" s="43" t="s">
        <v>843</v>
      </c>
      <c r="M504" s="44">
        <v>41913</v>
      </c>
      <c r="N504">
        <v>10</v>
      </c>
      <c r="O504" s="43" t="s">
        <v>34</v>
      </c>
      <c r="P504">
        <v>2014</v>
      </c>
    </row>
    <row r="505" spans="1:16" x14ac:dyDescent="0.2">
      <c r="A505" s="43" t="s">
        <v>28</v>
      </c>
      <c r="B505" s="43" t="s">
        <v>16</v>
      </c>
      <c r="C505" s="43" t="s">
        <v>17</v>
      </c>
      <c r="D505" s="43" t="s">
        <v>46</v>
      </c>
      <c r="E505">
        <v>1937</v>
      </c>
      <c r="F505">
        <v>3</v>
      </c>
      <c r="G505">
        <v>12</v>
      </c>
      <c r="H505">
        <v>23244</v>
      </c>
      <c r="I505" s="43" t="s">
        <v>850</v>
      </c>
      <c r="J505">
        <v>20687.16</v>
      </c>
      <c r="K505">
        <v>5811</v>
      </c>
      <c r="L505" s="43" t="s">
        <v>851</v>
      </c>
      <c r="M505" s="44">
        <v>41671</v>
      </c>
      <c r="N505">
        <v>2</v>
      </c>
      <c r="O505" s="43" t="s">
        <v>37</v>
      </c>
      <c r="P505">
        <v>2014</v>
      </c>
    </row>
    <row r="506" spans="1:16" x14ac:dyDescent="0.2">
      <c r="A506" s="43" t="s">
        <v>15</v>
      </c>
      <c r="B506" s="43" t="s">
        <v>20</v>
      </c>
      <c r="C506" s="43" t="s">
        <v>17</v>
      </c>
      <c r="D506" s="43" t="s">
        <v>46</v>
      </c>
      <c r="E506">
        <v>792</v>
      </c>
      <c r="F506">
        <v>3</v>
      </c>
      <c r="G506">
        <v>350</v>
      </c>
      <c r="H506">
        <v>277200</v>
      </c>
      <c r="I506" s="43" t="s">
        <v>852</v>
      </c>
      <c r="J506">
        <v>246708</v>
      </c>
      <c r="K506">
        <v>205920</v>
      </c>
      <c r="L506" s="43" t="s">
        <v>853</v>
      </c>
      <c r="M506" s="44">
        <v>41699</v>
      </c>
      <c r="N506">
        <v>3</v>
      </c>
      <c r="O506" s="43" t="s">
        <v>27</v>
      </c>
      <c r="P506">
        <v>2014</v>
      </c>
    </row>
    <row r="507" spans="1:16" x14ac:dyDescent="0.2">
      <c r="A507" s="43" t="s">
        <v>31</v>
      </c>
      <c r="B507" s="43" t="s">
        <v>20</v>
      </c>
      <c r="C507" s="43" t="s">
        <v>17</v>
      </c>
      <c r="D507" s="43" t="s">
        <v>46</v>
      </c>
      <c r="E507">
        <v>2811</v>
      </c>
      <c r="F507">
        <v>3</v>
      </c>
      <c r="G507">
        <v>300</v>
      </c>
      <c r="H507">
        <v>843300</v>
      </c>
      <c r="I507" s="43" t="s">
        <v>854</v>
      </c>
      <c r="J507">
        <v>750537</v>
      </c>
      <c r="K507">
        <v>702750</v>
      </c>
      <c r="L507" s="43" t="s">
        <v>855</v>
      </c>
      <c r="M507" s="44">
        <v>41821</v>
      </c>
      <c r="N507">
        <v>7</v>
      </c>
      <c r="O507" s="43" t="s">
        <v>30</v>
      </c>
      <c r="P507">
        <v>2014</v>
      </c>
    </row>
    <row r="508" spans="1:16" x14ac:dyDescent="0.2">
      <c r="A508" s="43" t="s">
        <v>29</v>
      </c>
      <c r="B508" s="43" t="s">
        <v>22</v>
      </c>
      <c r="C508" s="43" t="s">
        <v>17</v>
      </c>
      <c r="D508" s="43" t="s">
        <v>46</v>
      </c>
      <c r="E508">
        <v>2441</v>
      </c>
      <c r="F508">
        <v>3</v>
      </c>
      <c r="G508">
        <v>125</v>
      </c>
      <c r="H508">
        <v>305125</v>
      </c>
      <c r="I508" s="43" t="s">
        <v>856</v>
      </c>
      <c r="J508">
        <v>271561.25</v>
      </c>
      <c r="K508">
        <v>292920</v>
      </c>
      <c r="L508" s="43" t="s">
        <v>857</v>
      </c>
      <c r="M508" s="44">
        <v>41913</v>
      </c>
      <c r="N508">
        <v>10</v>
      </c>
      <c r="O508" s="43" t="s">
        <v>34</v>
      </c>
      <c r="P508">
        <v>2014</v>
      </c>
    </row>
    <row r="509" spans="1:16" x14ac:dyDescent="0.2">
      <c r="A509" s="43" t="s">
        <v>21</v>
      </c>
      <c r="B509" s="43" t="s">
        <v>16</v>
      </c>
      <c r="C509" s="43" t="s">
        <v>17</v>
      </c>
      <c r="D509" s="43" t="s">
        <v>46</v>
      </c>
      <c r="E509">
        <v>1560</v>
      </c>
      <c r="F509">
        <v>3</v>
      </c>
      <c r="G509">
        <v>15</v>
      </c>
      <c r="H509">
        <v>23400</v>
      </c>
      <c r="I509" s="43" t="s">
        <v>858</v>
      </c>
      <c r="J509">
        <v>20826</v>
      </c>
      <c r="K509">
        <v>15600</v>
      </c>
      <c r="L509" s="43" t="s">
        <v>859</v>
      </c>
      <c r="M509" s="44">
        <v>41579</v>
      </c>
      <c r="N509">
        <v>11</v>
      </c>
      <c r="O509" s="43" t="s">
        <v>38</v>
      </c>
      <c r="P509">
        <v>2013</v>
      </c>
    </row>
    <row r="510" spans="1:16" x14ac:dyDescent="0.2">
      <c r="A510" s="43" t="s">
        <v>15</v>
      </c>
      <c r="B510" s="43" t="s">
        <v>24</v>
      </c>
      <c r="C510" s="43" t="s">
        <v>17</v>
      </c>
      <c r="D510" s="43" t="s">
        <v>46</v>
      </c>
      <c r="E510">
        <v>2706</v>
      </c>
      <c r="F510">
        <v>3</v>
      </c>
      <c r="G510">
        <v>7</v>
      </c>
      <c r="H510">
        <v>18942</v>
      </c>
      <c r="I510" s="43" t="s">
        <v>860</v>
      </c>
      <c r="J510">
        <v>16858.38</v>
      </c>
      <c r="K510">
        <v>13530</v>
      </c>
      <c r="L510" s="43" t="s">
        <v>861</v>
      </c>
      <c r="M510" s="44">
        <v>41579</v>
      </c>
      <c r="N510">
        <v>11</v>
      </c>
      <c r="O510" s="43" t="s">
        <v>38</v>
      </c>
      <c r="P510">
        <v>2013</v>
      </c>
    </row>
    <row r="511" spans="1:16" x14ac:dyDescent="0.2">
      <c r="A511" s="43" t="s">
        <v>15</v>
      </c>
      <c r="B511" s="43" t="s">
        <v>20</v>
      </c>
      <c r="C511" s="43" t="s">
        <v>26</v>
      </c>
      <c r="D511" s="43" t="s">
        <v>46</v>
      </c>
      <c r="E511">
        <v>766</v>
      </c>
      <c r="F511">
        <v>5</v>
      </c>
      <c r="G511">
        <v>350</v>
      </c>
      <c r="H511">
        <v>268100</v>
      </c>
      <c r="I511" s="43" t="s">
        <v>862</v>
      </c>
      <c r="J511">
        <v>238609</v>
      </c>
      <c r="K511">
        <v>199160</v>
      </c>
      <c r="L511" s="43" t="s">
        <v>863</v>
      </c>
      <c r="M511" s="44">
        <v>41640</v>
      </c>
      <c r="N511">
        <v>1</v>
      </c>
      <c r="O511" s="43" t="s">
        <v>19</v>
      </c>
      <c r="P511">
        <v>2014</v>
      </c>
    </row>
    <row r="512" spans="1:16" x14ac:dyDescent="0.2">
      <c r="A512" s="43" t="s">
        <v>15</v>
      </c>
      <c r="B512" s="43" t="s">
        <v>20</v>
      </c>
      <c r="C512" s="43" t="s">
        <v>26</v>
      </c>
      <c r="D512" s="43" t="s">
        <v>46</v>
      </c>
      <c r="E512">
        <v>2992</v>
      </c>
      <c r="F512">
        <v>5</v>
      </c>
      <c r="G512">
        <v>20</v>
      </c>
      <c r="H512">
        <v>59840</v>
      </c>
      <c r="I512" s="43" t="s">
        <v>864</v>
      </c>
      <c r="J512">
        <v>53257.599999999999</v>
      </c>
      <c r="K512">
        <v>29920</v>
      </c>
      <c r="L512" s="43" t="s">
        <v>865</v>
      </c>
      <c r="M512" s="44">
        <v>41548</v>
      </c>
      <c r="N512">
        <v>10</v>
      </c>
      <c r="O512" s="43" t="s">
        <v>34</v>
      </c>
      <c r="P512">
        <v>2013</v>
      </c>
    </row>
    <row r="513" spans="1:16" x14ac:dyDescent="0.2">
      <c r="A513" s="43" t="s">
        <v>21</v>
      </c>
      <c r="B513" s="43" t="s">
        <v>24</v>
      </c>
      <c r="C513" s="43" t="s">
        <v>26</v>
      </c>
      <c r="D513" s="43" t="s">
        <v>46</v>
      </c>
      <c r="E513">
        <v>2157</v>
      </c>
      <c r="F513">
        <v>5</v>
      </c>
      <c r="G513">
        <v>15</v>
      </c>
      <c r="H513">
        <v>32355</v>
      </c>
      <c r="I513" s="43" t="s">
        <v>866</v>
      </c>
      <c r="J513">
        <v>28795.95</v>
      </c>
      <c r="K513">
        <v>21570</v>
      </c>
      <c r="L513" s="43" t="s">
        <v>867</v>
      </c>
      <c r="M513" s="44">
        <v>41974</v>
      </c>
      <c r="N513">
        <v>12</v>
      </c>
      <c r="O513" s="43" t="s">
        <v>25</v>
      </c>
      <c r="P513">
        <v>2014</v>
      </c>
    </row>
    <row r="514" spans="1:16" x14ac:dyDescent="0.2">
      <c r="A514" s="43" t="s">
        <v>31</v>
      </c>
      <c r="B514" s="43" t="s">
        <v>16</v>
      </c>
      <c r="C514" s="43" t="s">
        <v>36</v>
      </c>
      <c r="D514" s="43" t="s">
        <v>46</v>
      </c>
      <c r="E514">
        <v>873</v>
      </c>
      <c r="F514">
        <v>10</v>
      </c>
      <c r="G514">
        <v>300</v>
      </c>
      <c r="H514">
        <v>261900</v>
      </c>
      <c r="I514" s="43" t="s">
        <v>868</v>
      </c>
      <c r="J514">
        <v>233091</v>
      </c>
      <c r="K514">
        <v>218250</v>
      </c>
      <c r="L514" s="43" t="s">
        <v>869</v>
      </c>
      <c r="M514" s="44">
        <v>41640</v>
      </c>
      <c r="N514">
        <v>1</v>
      </c>
      <c r="O514" s="43" t="s">
        <v>19</v>
      </c>
      <c r="P514">
        <v>2014</v>
      </c>
    </row>
    <row r="515" spans="1:16" x14ac:dyDescent="0.2">
      <c r="A515" s="43" t="s">
        <v>15</v>
      </c>
      <c r="B515" s="43" t="s">
        <v>24</v>
      </c>
      <c r="C515" s="43" t="s">
        <v>36</v>
      </c>
      <c r="D515" s="43" t="s">
        <v>46</v>
      </c>
      <c r="E515">
        <v>1122</v>
      </c>
      <c r="F515">
        <v>10</v>
      </c>
      <c r="G515">
        <v>20</v>
      </c>
      <c r="H515">
        <v>22440</v>
      </c>
      <c r="I515" s="43" t="s">
        <v>870</v>
      </c>
      <c r="J515">
        <v>19971.599999999999</v>
      </c>
      <c r="K515">
        <v>11220</v>
      </c>
      <c r="L515" s="43" t="s">
        <v>871</v>
      </c>
      <c r="M515" s="44">
        <v>41699</v>
      </c>
      <c r="N515">
        <v>3</v>
      </c>
      <c r="O515" s="43" t="s">
        <v>27</v>
      </c>
      <c r="P515">
        <v>2014</v>
      </c>
    </row>
    <row r="516" spans="1:16" x14ac:dyDescent="0.2">
      <c r="A516" s="43" t="s">
        <v>15</v>
      </c>
      <c r="B516" s="43" t="s">
        <v>16</v>
      </c>
      <c r="C516" s="43" t="s">
        <v>36</v>
      </c>
      <c r="D516" s="43" t="s">
        <v>46</v>
      </c>
      <c r="E516">
        <v>2104.5</v>
      </c>
      <c r="F516">
        <v>10</v>
      </c>
      <c r="G516">
        <v>350</v>
      </c>
      <c r="H516">
        <v>736575</v>
      </c>
      <c r="I516" s="43" t="s">
        <v>872</v>
      </c>
      <c r="J516">
        <v>655551.75</v>
      </c>
      <c r="K516">
        <v>547170</v>
      </c>
      <c r="L516" s="43" t="s">
        <v>873</v>
      </c>
      <c r="M516" s="44">
        <v>41821</v>
      </c>
      <c r="N516">
        <v>7</v>
      </c>
      <c r="O516" s="43" t="s">
        <v>30</v>
      </c>
      <c r="P516">
        <v>2014</v>
      </c>
    </row>
    <row r="517" spans="1:16" x14ac:dyDescent="0.2">
      <c r="A517" s="43" t="s">
        <v>28</v>
      </c>
      <c r="B517" s="43" t="s">
        <v>16</v>
      </c>
      <c r="C517" s="43" t="s">
        <v>36</v>
      </c>
      <c r="D517" s="43" t="s">
        <v>46</v>
      </c>
      <c r="E517">
        <v>4026</v>
      </c>
      <c r="F517">
        <v>10</v>
      </c>
      <c r="G517">
        <v>12</v>
      </c>
      <c r="H517">
        <v>48312</v>
      </c>
      <c r="I517" s="43" t="s">
        <v>874</v>
      </c>
      <c r="J517">
        <v>42997.68</v>
      </c>
      <c r="K517">
        <v>12078</v>
      </c>
      <c r="L517" s="43" t="s">
        <v>875</v>
      </c>
      <c r="M517" s="44">
        <v>41821</v>
      </c>
      <c r="N517">
        <v>7</v>
      </c>
      <c r="O517" s="43" t="s">
        <v>30</v>
      </c>
      <c r="P517">
        <v>2014</v>
      </c>
    </row>
    <row r="518" spans="1:16" x14ac:dyDescent="0.2">
      <c r="A518" s="43" t="s">
        <v>28</v>
      </c>
      <c r="B518" s="43" t="s">
        <v>22</v>
      </c>
      <c r="C518" s="43" t="s">
        <v>36</v>
      </c>
      <c r="D518" s="43" t="s">
        <v>46</v>
      </c>
      <c r="E518">
        <v>2425.5</v>
      </c>
      <c r="F518">
        <v>10</v>
      </c>
      <c r="G518">
        <v>12</v>
      </c>
      <c r="H518">
        <v>29106</v>
      </c>
      <c r="I518" s="43" t="s">
        <v>876</v>
      </c>
      <c r="J518">
        <v>25904.34</v>
      </c>
      <c r="K518">
        <v>7276.5</v>
      </c>
      <c r="L518" s="43" t="s">
        <v>877</v>
      </c>
      <c r="M518" s="44">
        <v>41821</v>
      </c>
      <c r="N518">
        <v>7</v>
      </c>
      <c r="O518" s="43" t="s">
        <v>30</v>
      </c>
      <c r="P518">
        <v>2014</v>
      </c>
    </row>
    <row r="519" spans="1:16" x14ac:dyDescent="0.2">
      <c r="A519" s="43" t="s">
        <v>15</v>
      </c>
      <c r="B519" s="43" t="s">
        <v>16</v>
      </c>
      <c r="C519" s="43" t="s">
        <v>36</v>
      </c>
      <c r="D519" s="43" t="s">
        <v>46</v>
      </c>
      <c r="E519">
        <v>2394</v>
      </c>
      <c r="F519">
        <v>10</v>
      </c>
      <c r="G519">
        <v>20</v>
      </c>
      <c r="H519">
        <v>47880</v>
      </c>
      <c r="I519" s="43" t="s">
        <v>878</v>
      </c>
      <c r="J519">
        <v>42613.2</v>
      </c>
      <c r="K519">
        <v>23940</v>
      </c>
      <c r="L519" s="43" t="s">
        <v>879</v>
      </c>
      <c r="M519" s="44">
        <v>41852</v>
      </c>
      <c r="N519">
        <v>8</v>
      </c>
      <c r="O519" s="43" t="s">
        <v>32</v>
      </c>
      <c r="P519">
        <v>2014</v>
      </c>
    </row>
    <row r="520" spans="1:16" x14ac:dyDescent="0.2">
      <c r="A520" s="43" t="s">
        <v>21</v>
      </c>
      <c r="B520" s="43" t="s">
        <v>24</v>
      </c>
      <c r="C520" s="43" t="s">
        <v>36</v>
      </c>
      <c r="D520" s="43" t="s">
        <v>46</v>
      </c>
      <c r="E520">
        <v>1984</v>
      </c>
      <c r="F520">
        <v>10</v>
      </c>
      <c r="G520">
        <v>15</v>
      </c>
      <c r="H520">
        <v>29760</v>
      </c>
      <c r="I520" s="43" t="s">
        <v>880</v>
      </c>
      <c r="J520">
        <v>26486.400000000001</v>
      </c>
      <c r="K520">
        <v>19840</v>
      </c>
      <c r="L520" s="43" t="s">
        <v>881</v>
      </c>
      <c r="M520" s="44">
        <v>41852</v>
      </c>
      <c r="N520">
        <v>8</v>
      </c>
      <c r="O520" s="43" t="s">
        <v>32</v>
      </c>
      <c r="P520">
        <v>2014</v>
      </c>
    </row>
    <row r="521" spans="1:16" x14ac:dyDescent="0.2">
      <c r="A521" s="43" t="s">
        <v>29</v>
      </c>
      <c r="B521" s="43" t="s">
        <v>22</v>
      </c>
      <c r="C521" s="43" t="s">
        <v>36</v>
      </c>
      <c r="D521" s="43" t="s">
        <v>46</v>
      </c>
      <c r="E521">
        <v>2441</v>
      </c>
      <c r="F521">
        <v>10</v>
      </c>
      <c r="G521">
        <v>125</v>
      </c>
      <c r="H521">
        <v>305125</v>
      </c>
      <c r="I521" s="43" t="s">
        <v>856</v>
      </c>
      <c r="J521">
        <v>271561.25</v>
      </c>
      <c r="K521">
        <v>292920</v>
      </c>
      <c r="L521" s="43" t="s">
        <v>857</v>
      </c>
      <c r="M521" s="44">
        <v>41913</v>
      </c>
      <c r="N521">
        <v>10</v>
      </c>
      <c r="O521" s="43" t="s">
        <v>34</v>
      </c>
      <c r="P521">
        <v>2014</v>
      </c>
    </row>
    <row r="522" spans="1:16" x14ac:dyDescent="0.2">
      <c r="A522" s="43" t="s">
        <v>15</v>
      </c>
      <c r="B522" s="43" t="s">
        <v>20</v>
      </c>
      <c r="C522" s="43" t="s">
        <v>36</v>
      </c>
      <c r="D522" s="43" t="s">
        <v>46</v>
      </c>
      <c r="E522">
        <v>2992</v>
      </c>
      <c r="F522">
        <v>10</v>
      </c>
      <c r="G522">
        <v>20</v>
      </c>
      <c r="H522">
        <v>59840</v>
      </c>
      <c r="I522" s="43" t="s">
        <v>864</v>
      </c>
      <c r="J522">
        <v>53257.599999999999</v>
      </c>
      <c r="K522">
        <v>29920</v>
      </c>
      <c r="L522" s="43" t="s">
        <v>865</v>
      </c>
      <c r="M522" s="44">
        <v>41548</v>
      </c>
      <c r="N522">
        <v>10</v>
      </c>
      <c r="O522" s="43" t="s">
        <v>34</v>
      </c>
      <c r="P522">
        <v>2013</v>
      </c>
    </row>
    <row r="523" spans="1:16" x14ac:dyDescent="0.2">
      <c r="A523" s="43" t="s">
        <v>31</v>
      </c>
      <c r="B523" s="43" t="s">
        <v>16</v>
      </c>
      <c r="C523" s="43" t="s">
        <v>36</v>
      </c>
      <c r="D523" s="43" t="s">
        <v>46</v>
      </c>
      <c r="E523">
        <v>1366</v>
      </c>
      <c r="F523">
        <v>10</v>
      </c>
      <c r="G523">
        <v>300</v>
      </c>
      <c r="H523">
        <v>409800</v>
      </c>
      <c r="I523" s="43" t="s">
        <v>882</v>
      </c>
      <c r="J523">
        <v>364722</v>
      </c>
      <c r="K523">
        <v>341500</v>
      </c>
      <c r="L523" s="43" t="s">
        <v>883</v>
      </c>
      <c r="M523" s="44">
        <v>41944</v>
      </c>
      <c r="N523">
        <v>11</v>
      </c>
      <c r="O523" s="43" t="s">
        <v>38</v>
      </c>
      <c r="P523">
        <v>2014</v>
      </c>
    </row>
    <row r="524" spans="1:16" x14ac:dyDescent="0.2">
      <c r="A524" s="43" t="s">
        <v>15</v>
      </c>
      <c r="B524" s="43" t="s">
        <v>22</v>
      </c>
      <c r="C524" s="43" t="s">
        <v>39</v>
      </c>
      <c r="D524" s="43" t="s">
        <v>46</v>
      </c>
      <c r="E524">
        <v>2805</v>
      </c>
      <c r="F524">
        <v>120</v>
      </c>
      <c r="G524">
        <v>20</v>
      </c>
      <c r="H524">
        <v>56100</v>
      </c>
      <c r="I524" s="43" t="s">
        <v>884</v>
      </c>
      <c r="J524">
        <v>49929</v>
      </c>
      <c r="K524">
        <v>28050</v>
      </c>
      <c r="L524" s="43" t="s">
        <v>885</v>
      </c>
      <c r="M524" s="44">
        <v>41518</v>
      </c>
      <c r="N524">
        <v>9</v>
      </c>
      <c r="O524" s="43" t="s">
        <v>33</v>
      </c>
      <c r="P524">
        <v>2013</v>
      </c>
    </row>
    <row r="525" spans="1:16" x14ac:dyDescent="0.2">
      <c r="A525" s="43" t="s">
        <v>21</v>
      </c>
      <c r="B525" s="43" t="s">
        <v>24</v>
      </c>
      <c r="C525" s="43" t="s">
        <v>39</v>
      </c>
      <c r="D525" s="43" t="s">
        <v>46</v>
      </c>
      <c r="E525">
        <v>655</v>
      </c>
      <c r="F525">
        <v>120</v>
      </c>
      <c r="G525">
        <v>15</v>
      </c>
      <c r="H525">
        <v>9825</v>
      </c>
      <c r="I525" s="43" t="s">
        <v>886</v>
      </c>
      <c r="J525">
        <v>8744.25</v>
      </c>
      <c r="K525">
        <v>6550</v>
      </c>
      <c r="L525" s="43" t="s">
        <v>887</v>
      </c>
      <c r="M525" s="44">
        <v>41518</v>
      </c>
      <c r="N525">
        <v>9</v>
      </c>
      <c r="O525" s="43" t="s">
        <v>33</v>
      </c>
      <c r="P525">
        <v>2013</v>
      </c>
    </row>
    <row r="526" spans="1:16" x14ac:dyDescent="0.2">
      <c r="A526" s="43" t="s">
        <v>15</v>
      </c>
      <c r="B526" s="43" t="s">
        <v>24</v>
      </c>
      <c r="C526" s="43" t="s">
        <v>39</v>
      </c>
      <c r="D526" s="43" t="s">
        <v>46</v>
      </c>
      <c r="E526">
        <v>344</v>
      </c>
      <c r="F526">
        <v>120</v>
      </c>
      <c r="G526">
        <v>350</v>
      </c>
      <c r="H526">
        <v>120400</v>
      </c>
      <c r="I526" s="43" t="s">
        <v>888</v>
      </c>
      <c r="J526">
        <v>107156</v>
      </c>
      <c r="K526">
        <v>89440</v>
      </c>
      <c r="L526" s="43" t="s">
        <v>889</v>
      </c>
      <c r="M526" s="44">
        <v>41548</v>
      </c>
      <c r="N526">
        <v>10</v>
      </c>
      <c r="O526" s="43" t="s">
        <v>34</v>
      </c>
      <c r="P526">
        <v>2013</v>
      </c>
    </row>
    <row r="527" spans="1:16" x14ac:dyDescent="0.2">
      <c r="A527" s="43" t="s">
        <v>15</v>
      </c>
      <c r="B527" s="43" t="s">
        <v>16</v>
      </c>
      <c r="C527" s="43" t="s">
        <v>39</v>
      </c>
      <c r="D527" s="43" t="s">
        <v>46</v>
      </c>
      <c r="E527">
        <v>1808</v>
      </c>
      <c r="F527">
        <v>120</v>
      </c>
      <c r="G527">
        <v>7</v>
      </c>
      <c r="H527">
        <v>12656</v>
      </c>
      <c r="I527" s="43" t="s">
        <v>890</v>
      </c>
      <c r="J527">
        <v>11263.84</v>
      </c>
      <c r="K527">
        <v>9040</v>
      </c>
      <c r="L527" s="43" t="s">
        <v>891</v>
      </c>
      <c r="M527" s="44">
        <v>41944</v>
      </c>
      <c r="N527">
        <v>11</v>
      </c>
      <c r="O527" s="43" t="s">
        <v>38</v>
      </c>
      <c r="P527">
        <v>2014</v>
      </c>
    </row>
    <row r="528" spans="1:16" x14ac:dyDescent="0.2">
      <c r="A528" s="43" t="s">
        <v>28</v>
      </c>
      <c r="B528" s="43" t="s">
        <v>22</v>
      </c>
      <c r="C528" s="43" t="s">
        <v>40</v>
      </c>
      <c r="D528" s="43" t="s">
        <v>46</v>
      </c>
      <c r="E528">
        <v>1734</v>
      </c>
      <c r="F528">
        <v>250</v>
      </c>
      <c r="G528">
        <v>12</v>
      </c>
      <c r="H528">
        <v>20808</v>
      </c>
      <c r="I528" s="43" t="s">
        <v>892</v>
      </c>
      <c r="J528">
        <v>18519.12</v>
      </c>
      <c r="K528">
        <v>5202</v>
      </c>
      <c r="L528" s="43" t="s">
        <v>893</v>
      </c>
      <c r="M528" s="44">
        <v>41640</v>
      </c>
      <c r="N528">
        <v>1</v>
      </c>
      <c r="O528" s="43" t="s">
        <v>19</v>
      </c>
      <c r="P528">
        <v>2014</v>
      </c>
    </row>
    <row r="529" spans="1:16" x14ac:dyDescent="0.2">
      <c r="A529" s="43" t="s">
        <v>29</v>
      </c>
      <c r="B529" s="43" t="s">
        <v>24</v>
      </c>
      <c r="C529" s="43" t="s">
        <v>40</v>
      </c>
      <c r="D529" s="43" t="s">
        <v>46</v>
      </c>
      <c r="E529">
        <v>554</v>
      </c>
      <c r="F529">
        <v>250</v>
      </c>
      <c r="G529">
        <v>125</v>
      </c>
      <c r="H529">
        <v>69250</v>
      </c>
      <c r="I529" s="43" t="s">
        <v>894</v>
      </c>
      <c r="J529">
        <v>61632.5</v>
      </c>
      <c r="K529">
        <v>66480</v>
      </c>
      <c r="L529" s="43" t="s">
        <v>895</v>
      </c>
      <c r="M529" s="44">
        <v>41640</v>
      </c>
      <c r="N529">
        <v>1</v>
      </c>
      <c r="O529" s="43" t="s">
        <v>19</v>
      </c>
      <c r="P529">
        <v>2014</v>
      </c>
    </row>
    <row r="530" spans="1:16" x14ac:dyDescent="0.2">
      <c r="A530" s="43" t="s">
        <v>15</v>
      </c>
      <c r="B530" s="43" t="s">
        <v>16</v>
      </c>
      <c r="C530" s="43" t="s">
        <v>40</v>
      </c>
      <c r="D530" s="43" t="s">
        <v>46</v>
      </c>
      <c r="E530">
        <v>2935</v>
      </c>
      <c r="F530">
        <v>250</v>
      </c>
      <c r="G530">
        <v>20</v>
      </c>
      <c r="H530">
        <v>58700</v>
      </c>
      <c r="I530" s="43" t="s">
        <v>896</v>
      </c>
      <c r="J530">
        <v>52243</v>
      </c>
      <c r="K530">
        <v>29350</v>
      </c>
      <c r="L530" s="43" t="s">
        <v>897</v>
      </c>
      <c r="M530" s="44">
        <v>41579</v>
      </c>
      <c r="N530">
        <v>11</v>
      </c>
      <c r="O530" s="43" t="s">
        <v>38</v>
      </c>
      <c r="P530">
        <v>2013</v>
      </c>
    </row>
    <row r="531" spans="1:16" x14ac:dyDescent="0.2">
      <c r="A531" s="43" t="s">
        <v>29</v>
      </c>
      <c r="B531" s="43" t="s">
        <v>20</v>
      </c>
      <c r="C531" s="43" t="s">
        <v>42</v>
      </c>
      <c r="D531" s="43" t="s">
        <v>46</v>
      </c>
      <c r="E531">
        <v>3165</v>
      </c>
      <c r="F531">
        <v>260</v>
      </c>
      <c r="G531">
        <v>125</v>
      </c>
      <c r="H531">
        <v>395625</v>
      </c>
      <c r="I531" s="43" t="s">
        <v>898</v>
      </c>
      <c r="J531">
        <v>352106.25</v>
      </c>
      <c r="K531">
        <v>379800</v>
      </c>
      <c r="L531" s="43" t="s">
        <v>899</v>
      </c>
      <c r="M531" s="44">
        <v>41640</v>
      </c>
      <c r="N531">
        <v>1</v>
      </c>
      <c r="O531" s="43" t="s">
        <v>19</v>
      </c>
      <c r="P531">
        <v>2014</v>
      </c>
    </row>
    <row r="532" spans="1:16" x14ac:dyDescent="0.2">
      <c r="A532" s="43" t="s">
        <v>15</v>
      </c>
      <c r="B532" s="43" t="s">
        <v>24</v>
      </c>
      <c r="C532" s="43" t="s">
        <v>42</v>
      </c>
      <c r="D532" s="43" t="s">
        <v>46</v>
      </c>
      <c r="E532">
        <v>2629</v>
      </c>
      <c r="F532">
        <v>260</v>
      </c>
      <c r="G532">
        <v>20</v>
      </c>
      <c r="H532">
        <v>52580</v>
      </c>
      <c r="I532" s="43" t="s">
        <v>900</v>
      </c>
      <c r="J532">
        <v>46796.2</v>
      </c>
      <c r="K532">
        <v>26290</v>
      </c>
      <c r="L532" s="43" t="s">
        <v>901</v>
      </c>
      <c r="M532" s="44">
        <v>41640</v>
      </c>
      <c r="N532">
        <v>1</v>
      </c>
      <c r="O532" s="43" t="s">
        <v>19</v>
      </c>
      <c r="P532">
        <v>2014</v>
      </c>
    </row>
    <row r="533" spans="1:16" x14ac:dyDescent="0.2">
      <c r="A533" s="43" t="s">
        <v>29</v>
      </c>
      <c r="B533" s="43" t="s">
        <v>22</v>
      </c>
      <c r="C533" s="43" t="s">
        <v>42</v>
      </c>
      <c r="D533" s="43" t="s">
        <v>46</v>
      </c>
      <c r="E533">
        <v>1433</v>
      </c>
      <c r="F533">
        <v>260</v>
      </c>
      <c r="G533">
        <v>125</v>
      </c>
      <c r="H533">
        <v>179125</v>
      </c>
      <c r="I533" s="43" t="s">
        <v>902</v>
      </c>
      <c r="J533">
        <v>159421.25</v>
      </c>
      <c r="K533">
        <v>171960</v>
      </c>
      <c r="L533" s="43" t="s">
        <v>903</v>
      </c>
      <c r="M533" s="44">
        <v>41760</v>
      </c>
      <c r="N533">
        <v>5</v>
      </c>
      <c r="O533" s="43" t="s">
        <v>44</v>
      </c>
      <c r="P533">
        <v>2014</v>
      </c>
    </row>
    <row r="534" spans="1:16" x14ac:dyDescent="0.2">
      <c r="A534" s="43" t="s">
        <v>29</v>
      </c>
      <c r="B534" s="43" t="s">
        <v>24</v>
      </c>
      <c r="C534" s="43" t="s">
        <v>42</v>
      </c>
      <c r="D534" s="43" t="s">
        <v>46</v>
      </c>
      <c r="E534">
        <v>947</v>
      </c>
      <c r="F534">
        <v>260</v>
      </c>
      <c r="G534">
        <v>125</v>
      </c>
      <c r="H534">
        <v>118375</v>
      </c>
      <c r="I534" s="43" t="s">
        <v>904</v>
      </c>
      <c r="J534">
        <v>105353.75</v>
      </c>
      <c r="K534">
        <v>113640</v>
      </c>
      <c r="L534" s="43" t="s">
        <v>905</v>
      </c>
      <c r="M534" s="44">
        <v>41518</v>
      </c>
      <c r="N534">
        <v>9</v>
      </c>
      <c r="O534" s="43" t="s">
        <v>33</v>
      </c>
      <c r="P534">
        <v>2013</v>
      </c>
    </row>
    <row r="535" spans="1:16" x14ac:dyDescent="0.2">
      <c r="A535" s="43" t="s">
        <v>15</v>
      </c>
      <c r="B535" s="43" t="s">
        <v>24</v>
      </c>
      <c r="C535" s="43" t="s">
        <v>42</v>
      </c>
      <c r="D535" s="43" t="s">
        <v>46</v>
      </c>
      <c r="E535">
        <v>344</v>
      </c>
      <c r="F535">
        <v>260</v>
      </c>
      <c r="G535">
        <v>350</v>
      </c>
      <c r="H535">
        <v>120400</v>
      </c>
      <c r="I535" s="43" t="s">
        <v>888</v>
      </c>
      <c r="J535">
        <v>107156</v>
      </c>
      <c r="K535">
        <v>89440</v>
      </c>
      <c r="L535" s="43" t="s">
        <v>889</v>
      </c>
      <c r="M535" s="44">
        <v>41548</v>
      </c>
      <c r="N535">
        <v>10</v>
      </c>
      <c r="O535" s="43" t="s">
        <v>34</v>
      </c>
      <c r="P535">
        <v>2013</v>
      </c>
    </row>
    <row r="536" spans="1:16" x14ac:dyDescent="0.2">
      <c r="A536" s="43" t="s">
        <v>21</v>
      </c>
      <c r="B536" s="43" t="s">
        <v>24</v>
      </c>
      <c r="C536" s="43" t="s">
        <v>42</v>
      </c>
      <c r="D536" s="43" t="s">
        <v>46</v>
      </c>
      <c r="E536">
        <v>2157</v>
      </c>
      <c r="F536">
        <v>260</v>
      </c>
      <c r="G536">
        <v>15</v>
      </c>
      <c r="H536">
        <v>32355</v>
      </c>
      <c r="I536" s="43" t="s">
        <v>866</v>
      </c>
      <c r="J536">
        <v>28795.95</v>
      </c>
      <c r="K536">
        <v>21570</v>
      </c>
      <c r="L536" s="43" t="s">
        <v>867</v>
      </c>
      <c r="M536" s="44">
        <v>41974</v>
      </c>
      <c r="N536">
        <v>12</v>
      </c>
      <c r="O536" s="43" t="s">
        <v>25</v>
      </c>
      <c r="P536">
        <v>2014</v>
      </c>
    </row>
    <row r="537" spans="1:16" x14ac:dyDescent="0.2">
      <c r="A537" s="43" t="s">
        <v>15</v>
      </c>
      <c r="B537" s="43" t="s">
        <v>35</v>
      </c>
      <c r="C537" s="43" t="s">
        <v>36</v>
      </c>
      <c r="D537" s="43" t="s">
        <v>46</v>
      </c>
      <c r="E537">
        <v>380</v>
      </c>
      <c r="F537">
        <v>10</v>
      </c>
      <c r="G537">
        <v>7</v>
      </c>
      <c r="H537">
        <v>2660</v>
      </c>
      <c r="I537" s="43" t="s">
        <v>906</v>
      </c>
      <c r="J537">
        <v>2367.4</v>
      </c>
      <c r="K537">
        <v>1900</v>
      </c>
      <c r="L537" s="43" t="s">
        <v>907</v>
      </c>
      <c r="M537" s="44">
        <v>41518</v>
      </c>
      <c r="N537">
        <v>9</v>
      </c>
      <c r="O537" s="43" t="s">
        <v>33</v>
      </c>
      <c r="P537">
        <v>2013</v>
      </c>
    </row>
    <row r="538" spans="1:16" x14ac:dyDescent="0.2">
      <c r="A538" s="43" t="s">
        <v>15</v>
      </c>
      <c r="B538" s="43" t="s">
        <v>24</v>
      </c>
      <c r="C538" s="43" t="s">
        <v>17</v>
      </c>
      <c r="D538" s="43" t="s">
        <v>46</v>
      </c>
      <c r="E538">
        <v>886</v>
      </c>
      <c r="F538">
        <v>3</v>
      </c>
      <c r="G538">
        <v>350</v>
      </c>
      <c r="H538">
        <v>310100</v>
      </c>
      <c r="I538" s="43" t="s">
        <v>908</v>
      </c>
      <c r="J538">
        <v>272888</v>
      </c>
      <c r="K538">
        <v>230360</v>
      </c>
      <c r="L538" s="43" t="s">
        <v>909</v>
      </c>
      <c r="M538" s="44">
        <v>41791</v>
      </c>
      <c r="N538">
        <v>6</v>
      </c>
      <c r="O538" s="43" t="s">
        <v>23</v>
      </c>
      <c r="P538">
        <v>2014</v>
      </c>
    </row>
    <row r="539" spans="1:16" x14ac:dyDescent="0.2">
      <c r="A539" s="43" t="s">
        <v>29</v>
      </c>
      <c r="B539" s="43" t="s">
        <v>16</v>
      </c>
      <c r="C539" s="43" t="s">
        <v>17</v>
      </c>
      <c r="D539" s="43" t="s">
        <v>46</v>
      </c>
      <c r="E539">
        <v>2416</v>
      </c>
      <c r="F539">
        <v>3</v>
      </c>
      <c r="G539">
        <v>125</v>
      </c>
      <c r="H539">
        <v>302000</v>
      </c>
      <c r="I539" s="43" t="s">
        <v>910</v>
      </c>
      <c r="J539">
        <v>265760</v>
      </c>
      <c r="K539">
        <v>289920</v>
      </c>
      <c r="L539" s="43" t="s">
        <v>911</v>
      </c>
      <c r="M539" s="44">
        <v>41518</v>
      </c>
      <c r="N539">
        <v>9</v>
      </c>
      <c r="O539" s="43" t="s">
        <v>33</v>
      </c>
      <c r="P539">
        <v>2013</v>
      </c>
    </row>
    <row r="540" spans="1:16" x14ac:dyDescent="0.2">
      <c r="A540" s="43" t="s">
        <v>29</v>
      </c>
      <c r="B540" s="43" t="s">
        <v>24</v>
      </c>
      <c r="C540" s="43" t="s">
        <v>17</v>
      </c>
      <c r="D540" s="43" t="s">
        <v>46</v>
      </c>
      <c r="E540">
        <v>2156</v>
      </c>
      <c r="F540">
        <v>3</v>
      </c>
      <c r="G540">
        <v>125</v>
      </c>
      <c r="H540">
        <v>269500</v>
      </c>
      <c r="I540" s="43" t="s">
        <v>912</v>
      </c>
      <c r="J540">
        <v>237160</v>
      </c>
      <c r="K540">
        <v>258720</v>
      </c>
      <c r="L540" s="43" t="s">
        <v>913</v>
      </c>
      <c r="M540" s="44">
        <v>41913</v>
      </c>
      <c r="N540">
        <v>10</v>
      </c>
      <c r="O540" s="43" t="s">
        <v>34</v>
      </c>
      <c r="P540">
        <v>2014</v>
      </c>
    </row>
    <row r="541" spans="1:16" x14ac:dyDescent="0.2">
      <c r="A541" s="43" t="s">
        <v>21</v>
      </c>
      <c r="B541" s="43" t="s">
        <v>16</v>
      </c>
      <c r="C541" s="43" t="s">
        <v>17</v>
      </c>
      <c r="D541" s="43" t="s">
        <v>46</v>
      </c>
      <c r="E541">
        <v>2689</v>
      </c>
      <c r="F541">
        <v>3</v>
      </c>
      <c r="G541">
        <v>15</v>
      </c>
      <c r="H541">
        <v>40335</v>
      </c>
      <c r="I541" s="43" t="s">
        <v>914</v>
      </c>
      <c r="J541">
        <v>35494.800000000003</v>
      </c>
      <c r="K541">
        <v>26890</v>
      </c>
      <c r="L541" s="43" t="s">
        <v>915</v>
      </c>
      <c r="M541" s="44">
        <v>41944</v>
      </c>
      <c r="N541">
        <v>11</v>
      </c>
      <c r="O541" s="43" t="s">
        <v>38</v>
      </c>
      <c r="P541">
        <v>2014</v>
      </c>
    </row>
    <row r="542" spans="1:16" x14ac:dyDescent="0.2">
      <c r="A542" s="43" t="s">
        <v>21</v>
      </c>
      <c r="B542" s="43" t="s">
        <v>35</v>
      </c>
      <c r="C542" s="43" t="s">
        <v>26</v>
      </c>
      <c r="D542" s="43" t="s">
        <v>46</v>
      </c>
      <c r="E542">
        <v>677</v>
      </c>
      <c r="F542">
        <v>5</v>
      </c>
      <c r="G542">
        <v>15</v>
      </c>
      <c r="H542">
        <v>10155</v>
      </c>
      <c r="I542" s="43" t="s">
        <v>330</v>
      </c>
      <c r="J542">
        <v>8936.4</v>
      </c>
      <c r="K542">
        <v>6770</v>
      </c>
      <c r="L542" s="43" t="s">
        <v>916</v>
      </c>
      <c r="M542" s="44">
        <v>41699</v>
      </c>
      <c r="N542">
        <v>3</v>
      </c>
      <c r="O542" s="43" t="s">
        <v>27</v>
      </c>
      <c r="P542">
        <v>2014</v>
      </c>
    </row>
    <row r="543" spans="1:16" x14ac:dyDescent="0.2">
      <c r="A543" s="43" t="s">
        <v>31</v>
      </c>
      <c r="B543" s="43" t="s">
        <v>22</v>
      </c>
      <c r="C543" s="43" t="s">
        <v>26</v>
      </c>
      <c r="D543" s="43" t="s">
        <v>46</v>
      </c>
      <c r="E543">
        <v>1773</v>
      </c>
      <c r="F543">
        <v>5</v>
      </c>
      <c r="G543">
        <v>300</v>
      </c>
      <c r="H543">
        <v>531900</v>
      </c>
      <c r="I543" s="43" t="s">
        <v>917</v>
      </c>
      <c r="J543">
        <v>468072</v>
      </c>
      <c r="K543">
        <v>443250</v>
      </c>
      <c r="L543" s="43" t="s">
        <v>918</v>
      </c>
      <c r="M543" s="44">
        <v>41730</v>
      </c>
      <c r="N543">
        <v>4</v>
      </c>
      <c r="O543" s="43" t="s">
        <v>41</v>
      </c>
      <c r="P543">
        <v>2014</v>
      </c>
    </row>
    <row r="544" spans="1:16" x14ac:dyDescent="0.2">
      <c r="A544" s="43" t="s">
        <v>15</v>
      </c>
      <c r="B544" s="43" t="s">
        <v>24</v>
      </c>
      <c r="C544" s="43" t="s">
        <v>26</v>
      </c>
      <c r="D544" s="43" t="s">
        <v>46</v>
      </c>
      <c r="E544">
        <v>2420</v>
      </c>
      <c r="F544">
        <v>5</v>
      </c>
      <c r="G544">
        <v>7</v>
      </c>
      <c r="H544">
        <v>16940</v>
      </c>
      <c r="I544" s="43" t="s">
        <v>919</v>
      </c>
      <c r="J544">
        <v>14907.2</v>
      </c>
      <c r="K544">
        <v>12100</v>
      </c>
      <c r="L544" s="43" t="s">
        <v>920</v>
      </c>
      <c r="M544" s="44">
        <v>41883</v>
      </c>
      <c r="N544">
        <v>9</v>
      </c>
      <c r="O544" s="43" t="s">
        <v>33</v>
      </c>
      <c r="P544">
        <v>2014</v>
      </c>
    </row>
    <row r="545" spans="1:16" x14ac:dyDescent="0.2">
      <c r="A545" s="43" t="s">
        <v>15</v>
      </c>
      <c r="B545" s="43" t="s">
        <v>16</v>
      </c>
      <c r="C545" s="43" t="s">
        <v>26</v>
      </c>
      <c r="D545" s="43" t="s">
        <v>46</v>
      </c>
      <c r="E545">
        <v>2734</v>
      </c>
      <c r="F545">
        <v>5</v>
      </c>
      <c r="G545">
        <v>7</v>
      </c>
      <c r="H545">
        <v>19138</v>
      </c>
      <c r="I545" s="43" t="s">
        <v>921</v>
      </c>
      <c r="J545">
        <v>16841.439999999999</v>
      </c>
      <c r="K545">
        <v>13670</v>
      </c>
      <c r="L545" s="43" t="s">
        <v>922</v>
      </c>
      <c r="M545" s="44">
        <v>41913</v>
      </c>
      <c r="N545">
        <v>10</v>
      </c>
      <c r="O545" s="43" t="s">
        <v>34</v>
      </c>
      <c r="P545">
        <v>2014</v>
      </c>
    </row>
    <row r="546" spans="1:16" x14ac:dyDescent="0.2">
      <c r="A546" s="43" t="s">
        <v>15</v>
      </c>
      <c r="B546" s="43" t="s">
        <v>24</v>
      </c>
      <c r="C546" s="43" t="s">
        <v>26</v>
      </c>
      <c r="D546" s="43" t="s">
        <v>46</v>
      </c>
      <c r="E546">
        <v>1715</v>
      </c>
      <c r="F546">
        <v>5</v>
      </c>
      <c r="G546">
        <v>20</v>
      </c>
      <c r="H546">
        <v>34300</v>
      </c>
      <c r="I546" s="43" t="s">
        <v>923</v>
      </c>
      <c r="J546">
        <v>30184</v>
      </c>
      <c r="K546">
        <v>17150</v>
      </c>
      <c r="L546" s="43" t="s">
        <v>924</v>
      </c>
      <c r="M546" s="44">
        <v>41548</v>
      </c>
      <c r="N546">
        <v>10</v>
      </c>
      <c r="O546" s="43" t="s">
        <v>34</v>
      </c>
      <c r="P546">
        <v>2013</v>
      </c>
    </row>
    <row r="547" spans="1:16" x14ac:dyDescent="0.2">
      <c r="A547" s="43" t="s">
        <v>31</v>
      </c>
      <c r="B547" s="43" t="s">
        <v>22</v>
      </c>
      <c r="C547" s="43" t="s">
        <v>26</v>
      </c>
      <c r="D547" s="43" t="s">
        <v>46</v>
      </c>
      <c r="E547">
        <v>1186</v>
      </c>
      <c r="F547">
        <v>5</v>
      </c>
      <c r="G547">
        <v>300</v>
      </c>
      <c r="H547">
        <v>355800</v>
      </c>
      <c r="I547" s="43" t="s">
        <v>925</v>
      </c>
      <c r="J547">
        <v>313104</v>
      </c>
      <c r="K547">
        <v>296500</v>
      </c>
      <c r="L547" s="43" t="s">
        <v>926</v>
      </c>
      <c r="M547" s="44">
        <v>41609</v>
      </c>
      <c r="N547">
        <v>12</v>
      </c>
      <c r="O547" s="43" t="s">
        <v>25</v>
      </c>
      <c r="P547">
        <v>2013</v>
      </c>
    </row>
    <row r="548" spans="1:16" x14ac:dyDescent="0.2">
      <c r="A548" s="43" t="s">
        <v>31</v>
      </c>
      <c r="B548" s="43" t="s">
        <v>35</v>
      </c>
      <c r="C548" s="43" t="s">
        <v>36</v>
      </c>
      <c r="D548" s="43" t="s">
        <v>46</v>
      </c>
      <c r="E548">
        <v>3495</v>
      </c>
      <c r="F548">
        <v>10</v>
      </c>
      <c r="G548">
        <v>300</v>
      </c>
      <c r="H548">
        <v>1048500</v>
      </c>
      <c r="I548" s="43" t="s">
        <v>927</v>
      </c>
      <c r="J548">
        <v>922680</v>
      </c>
      <c r="K548">
        <v>873750</v>
      </c>
      <c r="L548" s="43" t="s">
        <v>928</v>
      </c>
      <c r="M548" s="44">
        <v>41640</v>
      </c>
      <c r="N548">
        <v>1</v>
      </c>
      <c r="O548" s="43" t="s">
        <v>19</v>
      </c>
      <c r="P548">
        <v>2014</v>
      </c>
    </row>
    <row r="549" spans="1:16" x14ac:dyDescent="0.2">
      <c r="A549" s="43" t="s">
        <v>15</v>
      </c>
      <c r="B549" s="43" t="s">
        <v>24</v>
      </c>
      <c r="C549" s="43" t="s">
        <v>36</v>
      </c>
      <c r="D549" s="43" t="s">
        <v>46</v>
      </c>
      <c r="E549">
        <v>886</v>
      </c>
      <c r="F549">
        <v>10</v>
      </c>
      <c r="G549">
        <v>350</v>
      </c>
      <c r="H549">
        <v>310100</v>
      </c>
      <c r="I549" s="43" t="s">
        <v>908</v>
      </c>
      <c r="J549">
        <v>272888</v>
      </c>
      <c r="K549">
        <v>230360</v>
      </c>
      <c r="L549" s="43" t="s">
        <v>909</v>
      </c>
      <c r="M549" s="44">
        <v>41791</v>
      </c>
      <c r="N549">
        <v>6</v>
      </c>
      <c r="O549" s="43" t="s">
        <v>23</v>
      </c>
      <c r="P549">
        <v>2014</v>
      </c>
    </row>
    <row r="550" spans="1:16" x14ac:dyDescent="0.2">
      <c r="A550" s="43" t="s">
        <v>29</v>
      </c>
      <c r="B550" s="43" t="s">
        <v>24</v>
      </c>
      <c r="C550" s="43" t="s">
        <v>36</v>
      </c>
      <c r="D550" s="43" t="s">
        <v>46</v>
      </c>
      <c r="E550">
        <v>2156</v>
      </c>
      <c r="F550">
        <v>10</v>
      </c>
      <c r="G550">
        <v>125</v>
      </c>
      <c r="H550">
        <v>269500</v>
      </c>
      <c r="I550" s="43" t="s">
        <v>912</v>
      </c>
      <c r="J550">
        <v>237160</v>
      </c>
      <c r="K550">
        <v>258720</v>
      </c>
      <c r="L550" s="43" t="s">
        <v>913</v>
      </c>
      <c r="M550" s="44">
        <v>41913</v>
      </c>
      <c r="N550">
        <v>10</v>
      </c>
      <c r="O550" s="43" t="s">
        <v>34</v>
      </c>
      <c r="P550">
        <v>2014</v>
      </c>
    </row>
    <row r="551" spans="1:16" x14ac:dyDescent="0.2">
      <c r="A551" s="43" t="s">
        <v>15</v>
      </c>
      <c r="B551" s="43" t="s">
        <v>24</v>
      </c>
      <c r="C551" s="43" t="s">
        <v>36</v>
      </c>
      <c r="D551" s="43" t="s">
        <v>46</v>
      </c>
      <c r="E551">
        <v>905</v>
      </c>
      <c r="F551">
        <v>10</v>
      </c>
      <c r="G551">
        <v>20</v>
      </c>
      <c r="H551">
        <v>18100</v>
      </c>
      <c r="I551" s="43" t="s">
        <v>929</v>
      </c>
      <c r="J551">
        <v>15928</v>
      </c>
      <c r="K551">
        <v>9050</v>
      </c>
      <c r="L551" s="43" t="s">
        <v>930</v>
      </c>
      <c r="M551" s="44">
        <v>41913</v>
      </c>
      <c r="N551">
        <v>10</v>
      </c>
      <c r="O551" s="43" t="s">
        <v>34</v>
      </c>
      <c r="P551">
        <v>2014</v>
      </c>
    </row>
    <row r="552" spans="1:16" x14ac:dyDescent="0.2">
      <c r="A552" s="43" t="s">
        <v>15</v>
      </c>
      <c r="B552" s="43" t="s">
        <v>24</v>
      </c>
      <c r="C552" s="43" t="s">
        <v>36</v>
      </c>
      <c r="D552" s="43" t="s">
        <v>46</v>
      </c>
      <c r="E552">
        <v>1715</v>
      </c>
      <c r="F552">
        <v>10</v>
      </c>
      <c r="G552">
        <v>20</v>
      </c>
      <c r="H552">
        <v>34300</v>
      </c>
      <c r="I552" s="43" t="s">
        <v>923</v>
      </c>
      <c r="J552">
        <v>30184</v>
      </c>
      <c r="K552">
        <v>17150</v>
      </c>
      <c r="L552" s="43" t="s">
        <v>924</v>
      </c>
      <c r="M552" s="44">
        <v>41548</v>
      </c>
      <c r="N552">
        <v>10</v>
      </c>
      <c r="O552" s="43" t="s">
        <v>34</v>
      </c>
      <c r="P552">
        <v>2013</v>
      </c>
    </row>
    <row r="553" spans="1:16" x14ac:dyDescent="0.2">
      <c r="A553" s="43" t="s">
        <v>15</v>
      </c>
      <c r="B553" s="43" t="s">
        <v>22</v>
      </c>
      <c r="C553" s="43" t="s">
        <v>36</v>
      </c>
      <c r="D553" s="43" t="s">
        <v>46</v>
      </c>
      <c r="E553">
        <v>1594</v>
      </c>
      <c r="F553">
        <v>10</v>
      </c>
      <c r="G553">
        <v>350</v>
      </c>
      <c r="H553">
        <v>557900</v>
      </c>
      <c r="I553" s="43" t="s">
        <v>931</v>
      </c>
      <c r="J553">
        <v>490952</v>
      </c>
      <c r="K553">
        <v>414440</v>
      </c>
      <c r="L553" s="43" t="s">
        <v>932</v>
      </c>
      <c r="M553" s="44">
        <v>41944</v>
      </c>
      <c r="N553">
        <v>11</v>
      </c>
      <c r="O553" s="43" t="s">
        <v>38</v>
      </c>
      <c r="P553">
        <v>2014</v>
      </c>
    </row>
    <row r="554" spans="1:16" x14ac:dyDescent="0.2">
      <c r="A554" s="43" t="s">
        <v>31</v>
      </c>
      <c r="B554" s="43" t="s">
        <v>20</v>
      </c>
      <c r="C554" s="43" t="s">
        <v>36</v>
      </c>
      <c r="D554" s="43" t="s">
        <v>46</v>
      </c>
      <c r="E554">
        <v>1359</v>
      </c>
      <c r="F554">
        <v>10</v>
      </c>
      <c r="G554">
        <v>300</v>
      </c>
      <c r="H554">
        <v>407700</v>
      </c>
      <c r="I554" s="43" t="s">
        <v>933</v>
      </c>
      <c r="J554">
        <v>358776</v>
      </c>
      <c r="K554">
        <v>339750</v>
      </c>
      <c r="L554" s="43" t="s">
        <v>934</v>
      </c>
      <c r="M554" s="44">
        <v>41944</v>
      </c>
      <c r="N554">
        <v>11</v>
      </c>
      <c r="O554" s="43" t="s">
        <v>38</v>
      </c>
      <c r="P554">
        <v>2014</v>
      </c>
    </row>
    <row r="555" spans="1:16" x14ac:dyDescent="0.2">
      <c r="A555" s="43" t="s">
        <v>31</v>
      </c>
      <c r="B555" s="43" t="s">
        <v>24</v>
      </c>
      <c r="C555" s="43" t="s">
        <v>36</v>
      </c>
      <c r="D555" s="43" t="s">
        <v>46</v>
      </c>
      <c r="E555">
        <v>2150</v>
      </c>
      <c r="F555">
        <v>10</v>
      </c>
      <c r="G555">
        <v>300</v>
      </c>
      <c r="H555">
        <v>645000</v>
      </c>
      <c r="I555" s="43" t="s">
        <v>935</v>
      </c>
      <c r="J555">
        <v>567600</v>
      </c>
      <c r="K555">
        <v>537500</v>
      </c>
      <c r="L555" s="43" t="s">
        <v>936</v>
      </c>
      <c r="M555" s="44">
        <v>41944</v>
      </c>
      <c r="N555">
        <v>11</v>
      </c>
      <c r="O555" s="43" t="s">
        <v>38</v>
      </c>
      <c r="P555">
        <v>2014</v>
      </c>
    </row>
    <row r="556" spans="1:16" x14ac:dyDescent="0.2">
      <c r="A556" s="43" t="s">
        <v>15</v>
      </c>
      <c r="B556" s="43" t="s">
        <v>24</v>
      </c>
      <c r="C556" s="43" t="s">
        <v>36</v>
      </c>
      <c r="D556" s="43" t="s">
        <v>46</v>
      </c>
      <c r="E556">
        <v>1197</v>
      </c>
      <c r="F556">
        <v>10</v>
      </c>
      <c r="G556">
        <v>350</v>
      </c>
      <c r="H556">
        <v>418950</v>
      </c>
      <c r="I556" s="43" t="s">
        <v>937</v>
      </c>
      <c r="J556">
        <v>368676</v>
      </c>
      <c r="K556">
        <v>311220</v>
      </c>
      <c r="L556" s="43" t="s">
        <v>938</v>
      </c>
      <c r="M556" s="44">
        <v>41944</v>
      </c>
      <c r="N556">
        <v>11</v>
      </c>
      <c r="O556" s="43" t="s">
        <v>38</v>
      </c>
      <c r="P556">
        <v>2014</v>
      </c>
    </row>
    <row r="557" spans="1:16" x14ac:dyDescent="0.2">
      <c r="A557" s="43" t="s">
        <v>21</v>
      </c>
      <c r="B557" s="43" t="s">
        <v>24</v>
      </c>
      <c r="C557" s="43" t="s">
        <v>36</v>
      </c>
      <c r="D557" s="43" t="s">
        <v>46</v>
      </c>
      <c r="E557">
        <v>380</v>
      </c>
      <c r="F557">
        <v>10</v>
      </c>
      <c r="G557">
        <v>15</v>
      </c>
      <c r="H557">
        <v>5700</v>
      </c>
      <c r="I557" s="43" t="s">
        <v>939</v>
      </c>
      <c r="J557">
        <v>5016</v>
      </c>
      <c r="K557">
        <v>3800</v>
      </c>
      <c r="L557" s="43" t="s">
        <v>940</v>
      </c>
      <c r="M557" s="44">
        <v>41609</v>
      </c>
      <c r="N557">
        <v>12</v>
      </c>
      <c r="O557" s="43" t="s">
        <v>25</v>
      </c>
      <c r="P557">
        <v>2013</v>
      </c>
    </row>
    <row r="558" spans="1:16" x14ac:dyDescent="0.2">
      <c r="A558" s="43" t="s">
        <v>15</v>
      </c>
      <c r="B558" s="43" t="s">
        <v>24</v>
      </c>
      <c r="C558" s="43" t="s">
        <v>36</v>
      </c>
      <c r="D558" s="43" t="s">
        <v>46</v>
      </c>
      <c r="E558">
        <v>1233</v>
      </c>
      <c r="F558">
        <v>10</v>
      </c>
      <c r="G558">
        <v>20</v>
      </c>
      <c r="H558">
        <v>24660</v>
      </c>
      <c r="I558" s="43" t="s">
        <v>941</v>
      </c>
      <c r="J558">
        <v>21700.799999999999</v>
      </c>
      <c r="K558">
        <v>12330</v>
      </c>
      <c r="L558" s="43" t="s">
        <v>942</v>
      </c>
      <c r="M558" s="44">
        <v>41974</v>
      </c>
      <c r="N558">
        <v>12</v>
      </c>
      <c r="O558" s="43" t="s">
        <v>25</v>
      </c>
      <c r="P558">
        <v>2014</v>
      </c>
    </row>
    <row r="559" spans="1:16" x14ac:dyDescent="0.2">
      <c r="A559" s="43" t="s">
        <v>15</v>
      </c>
      <c r="B559" s="43" t="s">
        <v>24</v>
      </c>
      <c r="C559" s="43" t="s">
        <v>39</v>
      </c>
      <c r="D559" s="43" t="s">
        <v>46</v>
      </c>
      <c r="E559">
        <v>1395</v>
      </c>
      <c r="F559">
        <v>120</v>
      </c>
      <c r="G559">
        <v>350</v>
      </c>
      <c r="H559">
        <v>488250</v>
      </c>
      <c r="I559" s="43" t="s">
        <v>943</v>
      </c>
      <c r="J559">
        <v>429660</v>
      </c>
      <c r="K559">
        <v>362700</v>
      </c>
      <c r="L559" s="43" t="s">
        <v>944</v>
      </c>
      <c r="M559" s="44">
        <v>41821</v>
      </c>
      <c r="N559">
        <v>7</v>
      </c>
      <c r="O559" s="43" t="s">
        <v>30</v>
      </c>
      <c r="P559">
        <v>2014</v>
      </c>
    </row>
    <row r="560" spans="1:16" x14ac:dyDescent="0.2">
      <c r="A560" s="43" t="s">
        <v>15</v>
      </c>
      <c r="B560" s="43" t="s">
        <v>35</v>
      </c>
      <c r="C560" s="43" t="s">
        <v>39</v>
      </c>
      <c r="D560" s="43" t="s">
        <v>46</v>
      </c>
      <c r="E560">
        <v>986</v>
      </c>
      <c r="F560">
        <v>120</v>
      </c>
      <c r="G560">
        <v>350</v>
      </c>
      <c r="H560">
        <v>345100</v>
      </c>
      <c r="I560" s="43" t="s">
        <v>945</v>
      </c>
      <c r="J560">
        <v>303688</v>
      </c>
      <c r="K560">
        <v>256360</v>
      </c>
      <c r="L560" s="43" t="s">
        <v>946</v>
      </c>
      <c r="M560" s="44">
        <v>41913</v>
      </c>
      <c r="N560">
        <v>10</v>
      </c>
      <c r="O560" s="43" t="s">
        <v>34</v>
      </c>
      <c r="P560">
        <v>2014</v>
      </c>
    </row>
    <row r="561" spans="1:16" x14ac:dyDescent="0.2">
      <c r="A561" s="43" t="s">
        <v>15</v>
      </c>
      <c r="B561" s="43" t="s">
        <v>24</v>
      </c>
      <c r="C561" s="43" t="s">
        <v>39</v>
      </c>
      <c r="D561" s="43" t="s">
        <v>46</v>
      </c>
      <c r="E561">
        <v>905</v>
      </c>
      <c r="F561">
        <v>120</v>
      </c>
      <c r="G561">
        <v>20</v>
      </c>
      <c r="H561">
        <v>18100</v>
      </c>
      <c r="I561" s="43" t="s">
        <v>929</v>
      </c>
      <c r="J561">
        <v>15928</v>
      </c>
      <c r="K561">
        <v>9050</v>
      </c>
      <c r="L561" s="43" t="s">
        <v>930</v>
      </c>
      <c r="M561" s="44">
        <v>41913</v>
      </c>
      <c r="N561">
        <v>10</v>
      </c>
      <c r="O561" s="43" t="s">
        <v>34</v>
      </c>
      <c r="P561">
        <v>2014</v>
      </c>
    </row>
    <row r="562" spans="1:16" x14ac:dyDescent="0.2">
      <c r="A562" s="43" t="s">
        <v>28</v>
      </c>
      <c r="B562" s="43" t="s">
        <v>16</v>
      </c>
      <c r="C562" s="43" t="s">
        <v>40</v>
      </c>
      <c r="D562" s="43" t="s">
        <v>46</v>
      </c>
      <c r="E562">
        <v>2109</v>
      </c>
      <c r="F562">
        <v>250</v>
      </c>
      <c r="G562">
        <v>12</v>
      </c>
      <c r="H562">
        <v>25308</v>
      </c>
      <c r="I562" s="43" t="s">
        <v>947</v>
      </c>
      <c r="J562">
        <v>22271.040000000001</v>
      </c>
      <c r="K562">
        <v>6327</v>
      </c>
      <c r="L562" s="43" t="s">
        <v>948</v>
      </c>
      <c r="M562" s="44">
        <v>41760</v>
      </c>
      <c r="N562">
        <v>5</v>
      </c>
      <c r="O562" s="43" t="s">
        <v>44</v>
      </c>
      <c r="P562">
        <v>2014</v>
      </c>
    </row>
    <row r="563" spans="1:16" x14ac:dyDescent="0.2">
      <c r="A563" s="43" t="s">
        <v>21</v>
      </c>
      <c r="B563" s="43" t="s">
        <v>22</v>
      </c>
      <c r="C563" s="43" t="s">
        <v>40</v>
      </c>
      <c r="D563" s="43" t="s">
        <v>46</v>
      </c>
      <c r="E563">
        <v>3874.5</v>
      </c>
      <c r="F563">
        <v>250</v>
      </c>
      <c r="G563">
        <v>15</v>
      </c>
      <c r="H563">
        <v>58117.5</v>
      </c>
      <c r="I563" s="43" t="s">
        <v>949</v>
      </c>
      <c r="J563">
        <v>51143.4</v>
      </c>
      <c r="K563">
        <v>38745</v>
      </c>
      <c r="L563" s="43" t="s">
        <v>950</v>
      </c>
      <c r="M563" s="44">
        <v>41821</v>
      </c>
      <c r="N563">
        <v>7</v>
      </c>
      <c r="O563" s="43" t="s">
        <v>30</v>
      </c>
      <c r="P563">
        <v>2014</v>
      </c>
    </row>
    <row r="564" spans="1:16" x14ac:dyDescent="0.2">
      <c r="A564" s="43" t="s">
        <v>15</v>
      </c>
      <c r="B564" s="43" t="s">
        <v>16</v>
      </c>
      <c r="C564" s="43" t="s">
        <v>40</v>
      </c>
      <c r="D564" s="43" t="s">
        <v>46</v>
      </c>
      <c r="E564">
        <v>623</v>
      </c>
      <c r="F564">
        <v>250</v>
      </c>
      <c r="G564">
        <v>350</v>
      </c>
      <c r="H564">
        <v>218050</v>
      </c>
      <c r="I564" s="43" t="s">
        <v>951</v>
      </c>
      <c r="J564">
        <v>191884</v>
      </c>
      <c r="K564">
        <v>161980</v>
      </c>
      <c r="L564" s="43" t="s">
        <v>952</v>
      </c>
      <c r="M564" s="44">
        <v>41518</v>
      </c>
      <c r="N564">
        <v>9</v>
      </c>
      <c r="O564" s="43" t="s">
        <v>33</v>
      </c>
      <c r="P564">
        <v>2013</v>
      </c>
    </row>
    <row r="565" spans="1:16" x14ac:dyDescent="0.2">
      <c r="A565" s="43" t="s">
        <v>15</v>
      </c>
      <c r="B565" s="43" t="s">
        <v>35</v>
      </c>
      <c r="C565" s="43" t="s">
        <v>40</v>
      </c>
      <c r="D565" s="43" t="s">
        <v>46</v>
      </c>
      <c r="E565">
        <v>986</v>
      </c>
      <c r="F565">
        <v>250</v>
      </c>
      <c r="G565">
        <v>350</v>
      </c>
      <c r="H565">
        <v>345100</v>
      </c>
      <c r="I565" s="43" t="s">
        <v>945</v>
      </c>
      <c r="J565">
        <v>303688</v>
      </c>
      <c r="K565">
        <v>256360</v>
      </c>
      <c r="L565" s="43" t="s">
        <v>946</v>
      </c>
      <c r="M565" s="44">
        <v>41913</v>
      </c>
      <c r="N565">
        <v>10</v>
      </c>
      <c r="O565" s="43" t="s">
        <v>34</v>
      </c>
      <c r="P565">
        <v>2014</v>
      </c>
    </row>
    <row r="566" spans="1:16" x14ac:dyDescent="0.2">
      <c r="A566" s="43" t="s">
        <v>29</v>
      </c>
      <c r="B566" s="43" t="s">
        <v>35</v>
      </c>
      <c r="C566" s="43" t="s">
        <v>40</v>
      </c>
      <c r="D566" s="43" t="s">
        <v>46</v>
      </c>
      <c r="E566">
        <v>2387</v>
      </c>
      <c r="F566">
        <v>250</v>
      </c>
      <c r="G566">
        <v>125</v>
      </c>
      <c r="H566">
        <v>298375</v>
      </c>
      <c r="I566" s="43" t="s">
        <v>953</v>
      </c>
      <c r="J566">
        <v>262570</v>
      </c>
      <c r="K566">
        <v>286440</v>
      </c>
      <c r="L566" s="43" t="s">
        <v>954</v>
      </c>
      <c r="M566" s="44">
        <v>41944</v>
      </c>
      <c r="N566">
        <v>11</v>
      </c>
      <c r="O566" s="43" t="s">
        <v>38</v>
      </c>
      <c r="P566">
        <v>2014</v>
      </c>
    </row>
    <row r="567" spans="1:16" x14ac:dyDescent="0.2">
      <c r="A567" s="43" t="s">
        <v>15</v>
      </c>
      <c r="B567" s="43" t="s">
        <v>24</v>
      </c>
      <c r="C567" s="43" t="s">
        <v>40</v>
      </c>
      <c r="D567" s="43" t="s">
        <v>46</v>
      </c>
      <c r="E567">
        <v>1233</v>
      </c>
      <c r="F567">
        <v>250</v>
      </c>
      <c r="G567">
        <v>20</v>
      </c>
      <c r="H567">
        <v>24660</v>
      </c>
      <c r="I567" s="43" t="s">
        <v>941</v>
      </c>
      <c r="J567">
        <v>21700.799999999999</v>
      </c>
      <c r="K567">
        <v>12330</v>
      </c>
      <c r="L567" s="43" t="s">
        <v>942</v>
      </c>
      <c r="M567" s="44">
        <v>41974</v>
      </c>
      <c r="N567">
        <v>12</v>
      </c>
      <c r="O567" s="43" t="s">
        <v>25</v>
      </c>
      <c r="P567">
        <v>2014</v>
      </c>
    </row>
    <row r="568" spans="1:16" x14ac:dyDescent="0.2">
      <c r="A568" s="43" t="s">
        <v>15</v>
      </c>
      <c r="B568" s="43" t="s">
        <v>35</v>
      </c>
      <c r="C568" s="43" t="s">
        <v>42</v>
      </c>
      <c r="D568" s="43" t="s">
        <v>46</v>
      </c>
      <c r="E568">
        <v>270</v>
      </c>
      <c r="F568">
        <v>260</v>
      </c>
      <c r="G568">
        <v>350</v>
      </c>
      <c r="H568">
        <v>94500</v>
      </c>
      <c r="I568" s="43" t="s">
        <v>955</v>
      </c>
      <c r="J568">
        <v>83160</v>
      </c>
      <c r="K568">
        <v>70200</v>
      </c>
      <c r="L568" s="43" t="s">
        <v>816</v>
      </c>
      <c r="M568" s="44">
        <v>41671</v>
      </c>
      <c r="N568">
        <v>2</v>
      </c>
      <c r="O568" s="43" t="s">
        <v>37</v>
      </c>
      <c r="P568">
        <v>2014</v>
      </c>
    </row>
    <row r="569" spans="1:16" x14ac:dyDescent="0.2">
      <c r="A569" s="43" t="s">
        <v>15</v>
      </c>
      <c r="B569" s="43" t="s">
        <v>22</v>
      </c>
      <c r="C569" s="43" t="s">
        <v>42</v>
      </c>
      <c r="D569" s="43" t="s">
        <v>46</v>
      </c>
      <c r="E569">
        <v>3421.5</v>
      </c>
      <c r="F569">
        <v>260</v>
      </c>
      <c r="G569">
        <v>7</v>
      </c>
      <c r="H569">
        <v>23950.5</v>
      </c>
      <c r="I569" s="43" t="s">
        <v>956</v>
      </c>
      <c r="J569">
        <v>21076.44</v>
      </c>
      <c r="K569">
        <v>17107.5</v>
      </c>
      <c r="L569" s="43" t="s">
        <v>957</v>
      </c>
      <c r="M569" s="44">
        <v>41821</v>
      </c>
      <c r="N569">
        <v>7</v>
      </c>
      <c r="O569" s="43" t="s">
        <v>30</v>
      </c>
      <c r="P569">
        <v>2014</v>
      </c>
    </row>
    <row r="570" spans="1:16" x14ac:dyDescent="0.2">
      <c r="A570" s="43" t="s">
        <v>15</v>
      </c>
      <c r="B570" s="43" t="s">
        <v>16</v>
      </c>
      <c r="C570" s="43" t="s">
        <v>42</v>
      </c>
      <c r="D570" s="43" t="s">
        <v>46</v>
      </c>
      <c r="E570">
        <v>2734</v>
      </c>
      <c r="F570">
        <v>260</v>
      </c>
      <c r="G570">
        <v>7</v>
      </c>
      <c r="H570">
        <v>19138</v>
      </c>
      <c r="I570" s="43" t="s">
        <v>921</v>
      </c>
      <c r="J570">
        <v>16841.439999999999</v>
      </c>
      <c r="K570">
        <v>13670</v>
      </c>
      <c r="L570" s="43" t="s">
        <v>922</v>
      </c>
      <c r="M570" s="44">
        <v>41913</v>
      </c>
      <c r="N570">
        <v>10</v>
      </c>
      <c r="O570" s="43" t="s">
        <v>34</v>
      </c>
      <c r="P570">
        <v>2014</v>
      </c>
    </row>
    <row r="571" spans="1:16" x14ac:dyDescent="0.2">
      <c r="A571" s="43" t="s">
        <v>21</v>
      </c>
      <c r="B571" s="43" t="s">
        <v>35</v>
      </c>
      <c r="C571" s="43" t="s">
        <v>42</v>
      </c>
      <c r="D571" s="43" t="s">
        <v>46</v>
      </c>
      <c r="E571">
        <v>2548</v>
      </c>
      <c r="F571">
        <v>260</v>
      </c>
      <c r="G571">
        <v>15</v>
      </c>
      <c r="H571">
        <v>38220</v>
      </c>
      <c r="I571" s="43" t="s">
        <v>958</v>
      </c>
      <c r="J571">
        <v>33633.599999999999</v>
      </c>
      <c r="K571">
        <v>25480</v>
      </c>
      <c r="L571" s="43" t="s">
        <v>959</v>
      </c>
      <c r="M571" s="44">
        <v>41579</v>
      </c>
      <c r="N571">
        <v>11</v>
      </c>
      <c r="O571" s="43" t="s">
        <v>38</v>
      </c>
      <c r="P571">
        <v>2013</v>
      </c>
    </row>
    <row r="572" spans="1:16" x14ac:dyDescent="0.2">
      <c r="A572" s="43" t="s">
        <v>15</v>
      </c>
      <c r="B572" s="43" t="s">
        <v>22</v>
      </c>
      <c r="C572" s="43" t="s">
        <v>17</v>
      </c>
      <c r="D572" s="43" t="s">
        <v>46</v>
      </c>
      <c r="E572">
        <v>2521.5</v>
      </c>
      <c r="F572">
        <v>3</v>
      </c>
      <c r="G572">
        <v>20</v>
      </c>
      <c r="H572">
        <v>50430</v>
      </c>
      <c r="I572" s="43" t="s">
        <v>960</v>
      </c>
      <c r="J572">
        <v>44378.400000000001</v>
      </c>
      <c r="K572">
        <v>25215</v>
      </c>
      <c r="L572" s="43" t="s">
        <v>961</v>
      </c>
      <c r="M572" s="44">
        <v>41640</v>
      </c>
      <c r="N572">
        <v>1</v>
      </c>
      <c r="O572" s="43" t="s">
        <v>19</v>
      </c>
      <c r="P572">
        <v>2014</v>
      </c>
    </row>
    <row r="573" spans="1:16" x14ac:dyDescent="0.2">
      <c r="A573" s="43" t="s">
        <v>28</v>
      </c>
      <c r="B573" s="43" t="s">
        <v>24</v>
      </c>
      <c r="C573" s="43" t="s">
        <v>26</v>
      </c>
      <c r="D573" s="43" t="s">
        <v>46</v>
      </c>
      <c r="E573">
        <v>2661</v>
      </c>
      <c r="F573">
        <v>5</v>
      </c>
      <c r="G573">
        <v>12</v>
      </c>
      <c r="H573">
        <v>31932</v>
      </c>
      <c r="I573" s="43" t="s">
        <v>962</v>
      </c>
      <c r="J573">
        <v>28100.16</v>
      </c>
      <c r="K573">
        <v>7983</v>
      </c>
      <c r="L573" s="43" t="s">
        <v>963</v>
      </c>
      <c r="M573" s="44">
        <v>41760</v>
      </c>
      <c r="N573">
        <v>5</v>
      </c>
      <c r="O573" s="43" t="s">
        <v>44</v>
      </c>
      <c r="P573">
        <v>2014</v>
      </c>
    </row>
    <row r="574" spans="1:16" x14ac:dyDescent="0.2">
      <c r="A574" s="43" t="s">
        <v>15</v>
      </c>
      <c r="B574" s="43" t="s">
        <v>20</v>
      </c>
      <c r="C574" s="43" t="s">
        <v>36</v>
      </c>
      <c r="D574" s="43" t="s">
        <v>46</v>
      </c>
      <c r="E574">
        <v>1531</v>
      </c>
      <c r="F574">
        <v>10</v>
      </c>
      <c r="G574">
        <v>20</v>
      </c>
      <c r="H574">
        <v>30620</v>
      </c>
      <c r="I574" s="43" t="s">
        <v>964</v>
      </c>
      <c r="J574">
        <v>26945.599999999999</v>
      </c>
      <c r="K574">
        <v>15310</v>
      </c>
      <c r="L574" s="43" t="s">
        <v>965</v>
      </c>
      <c r="M574" s="44">
        <v>41974</v>
      </c>
      <c r="N574">
        <v>12</v>
      </c>
      <c r="O574" s="43" t="s">
        <v>25</v>
      </c>
      <c r="P574">
        <v>2014</v>
      </c>
    </row>
    <row r="575" spans="1:16" x14ac:dyDescent="0.2">
      <c r="A575" s="43" t="s">
        <v>15</v>
      </c>
      <c r="B575" s="43" t="s">
        <v>22</v>
      </c>
      <c r="C575" s="43" t="s">
        <v>40</v>
      </c>
      <c r="D575" s="43" t="s">
        <v>46</v>
      </c>
      <c r="E575">
        <v>1491</v>
      </c>
      <c r="F575">
        <v>250</v>
      </c>
      <c r="G575">
        <v>7</v>
      </c>
      <c r="H575">
        <v>10437</v>
      </c>
      <c r="I575" s="43" t="s">
        <v>966</v>
      </c>
      <c r="J575">
        <v>9184.56</v>
      </c>
      <c r="K575">
        <v>7455</v>
      </c>
      <c r="L575" s="43" t="s">
        <v>967</v>
      </c>
      <c r="M575" s="44">
        <v>41699</v>
      </c>
      <c r="N575">
        <v>3</v>
      </c>
      <c r="O575" s="43" t="s">
        <v>27</v>
      </c>
      <c r="P575">
        <v>2014</v>
      </c>
    </row>
    <row r="576" spans="1:16" x14ac:dyDescent="0.2">
      <c r="A576" s="43" t="s">
        <v>15</v>
      </c>
      <c r="B576" s="43" t="s">
        <v>20</v>
      </c>
      <c r="C576" s="43" t="s">
        <v>40</v>
      </c>
      <c r="D576" s="43" t="s">
        <v>46</v>
      </c>
      <c r="E576">
        <v>1531</v>
      </c>
      <c r="F576">
        <v>250</v>
      </c>
      <c r="G576">
        <v>20</v>
      </c>
      <c r="H576">
        <v>30620</v>
      </c>
      <c r="I576" s="43" t="s">
        <v>964</v>
      </c>
      <c r="J576">
        <v>26945.599999999999</v>
      </c>
      <c r="K576">
        <v>15310</v>
      </c>
      <c r="L576" s="43" t="s">
        <v>965</v>
      </c>
      <c r="M576" s="44">
        <v>41974</v>
      </c>
      <c r="N576">
        <v>12</v>
      </c>
      <c r="O576" s="43" t="s">
        <v>25</v>
      </c>
      <c r="P576">
        <v>2014</v>
      </c>
    </row>
    <row r="577" spans="1:16" x14ac:dyDescent="0.2">
      <c r="A577" s="43" t="s">
        <v>28</v>
      </c>
      <c r="B577" s="43" t="s">
        <v>16</v>
      </c>
      <c r="C577" s="43" t="s">
        <v>42</v>
      </c>
      <c r="D577" s="43" t="s">
        <v>46</v>
      </c>
      <c r="E577">
        <v>2761</v>
      </c>
      <c r="F577">
        <v>260</v>
      </c>
      <c r="G577">
        <v>12</v>
      </c>
      <c r="H577">
        <v>33132</v>
      </c>
      <c r="I577" s="43" t="s">
        <v>968</v>
      </c>
      <c r="J577">
        <v>29156.16</v>
      </c>
      <c r="K577">
        <v>8283</v>
      </c>
      <c r="L577" s="43" t="s">
        <v>969</v>
      </c>
      <c r="M577" s="44">
        <v>41518</v>
      </c>
      <c r="N577">
        <v>9</v>
      </c>
      <c r="O577" s="43" t="s">
        <v>33</v>
      </c>
      <c r="P577">
        <v>2013</v>
      </c>
    </row>
    <row r="578" spans="1:16" x14ac:dyDescent="0.2">
      <c r="A578" s="43" t="s">
        <v>21</v>
      </c>
      <c r="B578" s="43" t="s">
        <v>35</v>
      </c>
      <c r="C578" s="43" t="s">
        <v>17</v>
      </c>
      <c r="D578" s="43" t="s">
        <v>46</v>
      </c>
      <c r="E578">
        <v>2567</v>
      </c>
      <c r="F578">
        <v>3</v>
      </c>
      <c r="G578">
        <v>15</v>
      </c>
      <c r="H578">
        <v>38505</v>
      </c>
      <c r="I578" s="43" t="s">
        <v>970</v>
      </c>
      <c r="J578">
        <v>33499.35</v>
      </c>
      <c r="K578">
        <v>25670</v>
      </c>
      <c r="L578" s="43" t="s">
        <v>971</v>
      </c>
      <c r="M578" s="44">
        <v>41791</v>
      </c>
      <c r="N578">
        <v>6</v>
      </c>
      <c r="O578" s="43" t="s">
        <v>23</v>
      </c>
      <c r="P578">
        <v>2014</v>
      </c>
    </row>
    <row r="579" spans="1:16" x14ac:dyDescent="0.2">
      <c r="A579" s="43" t="s">
        <v>21</v>
      </c>
      <c r="B579" s="43" t="s">
        <v>35</v>
      </c>
      <c r="C579" s="43" t="s">
        <v>40</v>
      </c>
      <c r="D579" s="43" t="s">
        <v>46</v>
      </c>
      <c r="E579">
        <v>2567</v>
      </c>
      <c r="F579">
        <v>250</v>
      </c>
      <c r="G579">
        <v>15</v>
      </c>
      <c r="H579">
        <v>38505</v>
      </c>
      <c r="I579" s="43" t="s">
        <v>970</v>
      </c>
      <c r="J579">
        <v>33499.35</v>
      </c>
      <c r="K579">
        <v>25670</v>
      </c>
      <c r="L579" s="43" t="s">
        <v>971</v>
      </c>
      <c r="M579" s="44">
        <v>41791</v>
      </c>
      <c r="N579">
        <v>6</v>
      </c>
      <c r="O579" s="43" t="s">
        <v>23</v>
      </c>
      <c r="P579">
        <v>2014</v>
      </c>
    </row>
    <row r="580" spans="1:16" x14ac:dyDescent="0.2">
      <c r="A580" s="43" t="s">
        <v>15</v>
      </c>
      <c r="B580" s="43" t="s">
        <v>16</v>
      </c>
      <c r="C580" s="43" t="s">
        <v>17</v>
      </c>
      <c r="D580" s="43" t="s">
        <v>46</v>
      </c>
      <c r="E580">
        <v>923</v>
      </c>
      <c r="F580">
        <v>3</v>
      </c>
      <c r="G580">
        <v>350</v>
      </c>
      <c r="H580">
        <v>323050</v>
      </c>
      <c r="I580" s="43" t="s">
        <v>972</v>
      </c>
      <c r="J580">
        <v>281053.5</v>
      </c>
      <c r="K580">
        <v>239980</v>
      </c>
      <c r="L580" s="43" t="s">
        <v>973</v>
      </c>
      <c r="M580" s="44">
        <v>41699</v>
      </c>
      <c r="N580">
        <v>3</v>
      </c>
      <c r="O580" s="43" t="s">
        <v>27</v>
      </c>
      <c r="P580">
        <v>2014</v>
      </c>
    </row>
    <row r="581" spans="1:16" x14ac:dyDescent="0.2">
      <c r="A581" s="43" t="s">
        <v>15</v>
      </c>
      <c r="B581" s="43" t="s">
        <v>22</v>
      </c>
      <c r="C581" s="43" t="s">
        <v>17</v>
      </c>
      <c r="D581" s="43" t="s">
        <v>46</v>
      </c>
      <c r="E581">
        <v>1790</v>
      </c>
      <c r="F581">
        <v>3</v>
      </c>
      <c r="G581">
        <v>350</v>
      </c>
      <c r="H581">
        <v>626500</v>
      </c>
      <c r="I581" s="43" t="s">
        <v>974</v>
      </c>
      <c r="J581">
        <v>545055</v>
      </c>
      <c r="K581">
        <v>465400</v>
      </c>
      <c r="L581" s="43" t="s">
        <v>975</v>
      </c>
      <c r="M581" s="44">
        <v>41699</v>
      </c>
      <c r="N581">
        <v>3</v>
      </c>
      <c r="O581" s="43" t="s">
        <v>27</v>
      </c>
      <c r="P581">
        <v>2014</v>
      </c>
    </row>
    <row r="582" spans="1:16" x14ac:dyDescent="0.2">
      <c r="A582" s="43" t="s">
        <v>15</v>
      </c>
      <c r="B582" s="43" t="s">
        <v>20</v>
      </c>
      <c r="C582" s="43" t="s">
        <v>17</v>
      </c>
      <c r="D582" s="43" t="s">
        <v>46</v>
      </c>
      <c r="E582">
        <v>442</v>
      </c>
      <c r="F582">
        <v>3</v>
      </c>
      <c r="G582">
        <v>20</v>
      </c>
      <c r="H582">
        <v>8840</v>
      </c>
      <c r="I582" s="43" t="s">
        <v>976</v>
      </c>
      <c r="J582">
        <v>7690.8</v>
      </c>
      <c r="K582">
        <v>4420</v>
      </c>
      <c r="L582" s="43" t="s">
        <v>977</v>
      </c>
      <c r="M582" s="44">
        <v>41518</v>
      </c>
      <c r="N582">
        <v>9</v>
      </c>
      <c r="O582" s="43" t="s">
        <v>33</v>
      </c>
      <c r="P582">
        <v>2013</v>
      </c>
    </row>
    <row r="583" spans="1:16" x14ac:dyDescent="0.2">
      <c r="A583" s="43" t="s">
        <v>15</v>
      </c>
      <c r="B583" s="43" t="s">
        <v>35</v>
      </c>
      <c r="C583" s="43" t="s">
        <v>26</v>
      </c>
      <c r="D583" s="43" t="s">
        <v>46</v>
      </c>
      <c r="E583">
        <v>982.5</v>
      </c>
      <c r="F583">
        <v>5</v>
      </c>
      <c r="G583">
        <v>350</v>
      </c>
      <c r="H583">
        <v>343875</v>
      </c>
      <c r="I583" s="43" t="s">
        <v>978</v>
      </c>
      <c r="J583">
        <v>299171.25</v>
      </c>
      <c r="K583">
        <v>255450</v>
      </c>
      <c r="L583" s="43" t="s">
        <v>979</v>
      </c>
      <c r="M583" s="44">
        <v>41640</v>
      </c>
      <c r="N583">
        <v>1</v>
      </c>
      <c r="O583" s="43" t="s">
        <v>19</v>
      </c>
      <c r="P583">
        <v>2014</v>
      </c>
    </row>
    <row r="584" spans="1:16" x14ac:dyDescent="0.2">
      <c r="A584" s="43" t="s">
        <v>15</v>
      </c>
      <c r="B584" s="43" t="s">
        <v>35</v>
      </c>
      <c r="C584" s="43" t="s">
        <v>26</v>
      </c>
      <c r="D584" s="43" t="s">
        <v>46</v>
      </c>
      <c r="E584">
        <v>1298</v>
      </c>
      <c r="F584">
        <v>5</v>
      </c>
      <c r="G584">
        <v>7</v>
      </c>
      <c r="H584">
        <v>9086</v>
      </c>
      <c r="I584" s="43" t="s">
        <v>980</v>
      </c>
      <c r="J584">
        <v>7904.82</v>
      </c>
      <c r="K584">
        <v>6490</v>
      </c>
      <c r="L584" s="43" t="s">
        <v>981</v>
      </c>
      <c r="M584" s="44">
        <v>41671</v>
      </c>
      <c r="N584">
        <v>2</v>
      </c>
      <c r="O584" s="43" t="s">
        <v>37</v>
      </c>
      <c r="P584">
        <v>2014</v>
      </c>
    </row>
    <row r="585" spans="1:16" x14ac:dyDescent="0.2">
      <c r="A585" s="43" t="s">
        <v>28</v>
      </c>
      <c r="B585" s="43" t="s">
        <v>24</v>
      </c>
      <c r="C585" s="43" t="s">
        <v>26</v>
      </c>
      <c r="D585" s="43" t="s">
        <v>46</v>
      </c>
      <c r="E585">
        <v>604</v>
      </c>
      <c r="F585">
        <v>5</v>
      </c>
      <c r="G585">
        <v>12</v>
      </c>
      <c r="H585">
        <v>7248</v>
      </c>
      <c r="I585" s="43" t="s">
        <v>982</v>
      </c>
      <c r="J585">
        <v>6305.76</v>
      </c>
      <c r="K585">
        <v>1812</v>
      </c>
      <c r="L585" s="43" t="s">
        <v>983</v>
      </c>
      <c r="M585" s="44">
        <v>41791</v>
      </c>
      <c r="N585">
        <v>6</v>
      </c>
      <c r="O585" s="43" t="s">
        <v>23</v>
      </c>
      <c r="P585">
        <v>2014</v>
      </c>
    </row>
    <row r="586" spans="1:16" x14ac:dyDescent="0.2">
      <c r="A586" s="43" t="s">
        <v>15</v>
      </c>
      <c r="B586" s="43" t="s">
        <v>24</v>
      </c>
      <c r="C586" s="43" t="s">
        <v>26</v>
      </c>
      <c r="D586" s="43" t="s">
        <v>46</v>
      </c>
      <c r="E586">
        <v>2255</v>
      </c>
      <c r="F586">
        <v>5</v>
      </c>
      <c r="G586">
        <v>20</v>
      </c>
      <c r="H586">
        <v>45100</v>
      </c>
      <c r="I586" s="43" t="s">
        <v>984</v>
      </c>
      <c r="J586">
        <v>39237</v>
      </c>
      <c r="K586">
        <v>22550</v>
      </c>
      <c r="L586" s="43" t="s">
        <v>985</v>
      </c>
      <c r="M586" s="44">
        <v>41821</v>
      </c>
      <c r="N586">
        <v>7</v>
      </c>
      <c r="O586" s="43" t="s">
        <v>30</v>
      </c>
      <c r="P586">
        <v>2014</v>
      </c>
    </row>
    <row r="587" spans="1:16" x14ac:dyDescent="0.2">
      <c r="A587" s="43" t="s">
        <v>15</v>
      </c>
      <c r="B587" s="43" t="s">
        <v>16</v>
      </c>
      <c r="C587" s="43" t="s">
        <v>26</v>
      </c>
      <c r="D587" s="43" t="s">
        <v>46</v>
      </c>
      <c r="E587">
        <v>1249</v>
      </c>
      <c r="F587">
        <v>5</v>
      </c>
      <c r="G587">
        <v>20</v>
      </c>
      <c r="H587">
        <v>24980</v>
      </c>
      <c r="I587" s="43" t="s">
        <v>986</v>
      </c>
      <c r="J587">
        <v>21732.6</v>
      </c>
      <c r="K587">
        <v>12490</v>
      </c>
      <c r="L587" s="43" t="s">
        <v>987</v>
      </c>
      <c r="M587" s="44">
        <v>41913</v>
      </c>
      <c r="N587">
        <v>10</v>
      </c>
      <c r="O587" s="43" t="s">
        <v>34</v>
      </c>
      <c r="P587">
        <v>2014</v>
      </c>
    </row>
    <row r="588" spans="1:16" x14ac:dyDescent="0.2">
      <c r="A588" s="43" t="s">
        <v>15</v>
      </c>
      <c r="B588" s="43" t="s">
        <v>35</v>
      </c>
      <c r="C588" s="43" t="s">
        <v>36</v>
      </c>
      <c r="D588" s="43" t="s">
        <v>46</v>
      </c>
      <c r="E588">
        <v>1438.5</v>
      </c>
      <c r="F588">
        <v>10</v>
      </c>
      <c r="G588">
        <v>7</v>
      </c>
      <c r="H588">
        <v>10069.5</v>
      </c>
      <c r="I588" s="43" t="s">
        <v>988</v>
      </c>
      <c r="J588">
        <v>8760.4699999999993</v>
      </c>
      <c r="K588">
        <v>7192.5</v>
      </c>
      <c r="L588" s="43" t="s">
        <v>989</v>
      </c>
      <c r="M588" s="44">
        <v>41640</v>
      </c>
      <c r="N588">
        <v>1</v>
      </c>
      <c r="O588" s="43" t="s">
        <v>19</v>
      </c>
      <c r="P588">
        <v>2014</v>
      </c>
    </row>
    <row r="589" spans="1:16" x14ac:dyDescent="0.2">
      <c r="A589" s="43" t="s">
        <v>31</v>
      </c>
      <c r="B589" s="43" t="s">
        <v>20</v>
      </c>
      <c r="C589" s="43" t="s">
        <v>36</v>
      </c>
      <c r="D589" s="43" t="s">
        <v>46</v>
      </c>
      <c r="E589">
        <v>807</v>
      </c>
      <c r="F589">
        <v>10</v>
      </c>
      <c r="G589">
        <v>300</v>
      </c>
      <c r="H589">
        <v>242100</v>
      </c>
      <c r="I589" s="43" t="s">
        <v>990</v>
      </c>
      <c r="J589">
        <v>210627</v>
      </c>
      <c r="K589">
        <v>201750</v>
      </c>
      <c r="L589" s="43" t="s">
        <v>991</v>
      </c>
      <c r="M589" s="44">
        <v>41640</v>
      </c>
      <c r="N589">
        <v>1</v>
      </c>
      <c r="O589" s="43" t="s">
        <v>19</v>
      </c>
      <c r="P589">
        <v>2014</v>
      </c>
    </row>
    <row r="590" spans="1:16" x14ac:dyDescent="0.2">
      <c r="A590" s="43" t="s">
        <v>15</v>
      </c>
      <c r="B590" s="43" t="s">
        <v>35</v>
      </c>
      <c r="C590" s="43" t="s">
        <v>36</v>
      </c>
      <c r="D590" s="43" t="s">
        <v>46</v>
      </c>
      <c r="E590">
        <v>2641</v>
      </c>
      <c r="F590">
        <v>10</v>
      </c>
      <c r="G590">
        <v>20</v>
      </c>
      <c r="H590">
        <v>52820</v>
      </c>
      <c r="I590" s="43" t="s">
        <v>992</v>
      </c>
      <c r="J590">
        <v>45953.4</v>
      </c>
      <c r="K590">
        <v>26410</v>
      </c>
      <c r="L590" s="43" t="s">
        <v>993</v>
      </c>
      <c r="M590" s="44">
        <v>41671</v>
      </c>
      <c r="N590">
        <v>2</v>
      </c>
      <c r="O590" s="43" t="s">
        <v>37</v>
      </c>
      <c r="P590">
        <v>2014</v>
      </c>
    </row>
    <row r="591" spans="1:16" x14ac:dyDescent="0.2">
      <c r="A591" s="43" t="s">
        <v>15</v>
      </c>
      <c r="B591" s="43" t="s">
        <v>20</v>
      </c>
      <c r="C591" s="43" t="s">
        <v>36</v>
      </c>
      <c r="D591" s="43" t="s">
        <v>46</v>
      </c>
      <c r="E591">
        <v>2708</v>
      </c>
      <c r="F591">
        <v>10</v>
      </c>
      <c r="G591">
        <v>20</v>
      </c>
      <c r="H591">
        <v>54160</v>
      </c>
      <c r="I591" s="43" t="s">
        <v>994</v>
      </c>
      <c r="J591">
        <v>47119.199999999997</v>
      </c>
      <c r="K591">
        <v>27080</v>
      </c>
      <c r="L591" s="43" t="s">
        <v>995</v>
      </c>
      <c r="M591" s="44">
        <v>41671</v>
      </c>
      <c r="N591">
        <v>2</v>
      </c>
      <c r="O591" s="43" t="s">
        <v>37</v>
      </c>
      <c r="P591">
        <v>2014</v>
      </c>
    </row>
    <row r="592" spans="1:16" x14ac:dyDescent="0.2">
      <c r="A592" s="43" t="s">
        <v>15</v>
      </c>
      <c r="B592" s="43" t="s">
        <v>16</v>
      </c>
      <c r="C592" s="43" t="s">
        <v>36</v>
      </c>
      <c r="D592" s="43" t="s">
        <v>46</v>
      </c>
      <c r="E592">
        <v>2632</v>
      </c>
      <c r="F592">
        <v>10</v>
      </c>
      <c r="G592">
        <v>350</v>
      </c>
      <c r="H592">
        <v>921200</v>
      </c>
      <c r="I592" s="43" t="s">
        <v>996</v>
      </c>
      <c r="J592">
        <v>801444</v>
      </c>
      <c r="K592">
        <v>684320</v>
      </c>
      <c r="L592" s="43" t="s">
        <v>997</v>
      </c>
      <c r="M592" s="44">
        <v>41791</v>
      </c>
      <c r="N592">
        <v>6</v>
      </c>
      <c r="O592" s="43" t="s">
        <v>23</v>
      </c>
      <c r="P592">
        <v>2014</v>
      </c>
    </row>
    <row r="593" spans="1:16" x14ac:dyDescent="0.2">
      <c r="A593" s="43" t="s">
        <v>29</v>
      </c>
      <c r="B593" s="43" t="s">
        <v>16</v>
      </c>
      <c r="C593" s="43" t="s">
        <v>36</v>
      </c>
      <c r="D593" s="43" t="s">
        <v>46</v>
      </c>
      <c r="E593">
        <v>1583</v>
      </c>
      <c r="F593">
        <v>10</v>
      </c>
      <c r="G593">
        <v>125</v>
      </c>
      <c r="H593">
        <v>197875</v>
      </c>
      <c r="I593" s="43" t="s">
        <v>998</v>
      </c>
      <c r="J593">
        <v>172151.25</v>
      </c>
      <c r="K593">
        <v>189960</v>
      </c>
      <c r="L593" s="43" t="s">
        <v>999</v>
      </c>
      <c r="M593" s="44">
        <v>41791</v>
      </c>
      <c r="N593">
        <v>6</v>
      </c>
      <c r="O593" s="43" t="s">
        <v>23</v>
      </c>
      <c r="P593">
        <v>2014</v>
      </c>
    </row>
    <row r="594" spans="1:16" x14ac:dyDescent="0.2">
      <c r="A594" s="43" t="s">
        <v>28</v>
      </c>
      <c r="B594" s="43" t="s">
        <v>24</v>
      </c>
      <c r="C594" s="43" t="s">
        <v>36</v>
      </c>
      <c r="D594" s="43" t="s">
        <v>46</v>
      </c>
      <c r="E594">
        <v>571</v>
      </c>
      <c r="F594">
        <v>10</v>
      </c>
      <c r="G594">
        <v>12</v>
      </c>
      <c r="H594">
        <v>6852</v>
      </c>
      <c r="I594" s="43" t="s">
        <v>1000</v>
      </c>
      <c r="J594">
        <v>5961.24</v>
      </c>
      <c r="K594">
        <v>1713</v>
      </c>
      <c r="L594" s="43" t="s">
        <v>1001</v>
      </c>
      <c r="M594" s="44">
        <v>41821</v>
      </c>
      <c r="N594">
        <v>7</v>
      </c>
      <c r="O594" s="43" t="s">
        <v>30</v>
      </c>
      <c r="P594">
        <v>2014</v>
      </c>
    </row>
    <row r="595" spans="1:16" x14ac:dyDescent="0.2">
      <c r="A595" s="43" t="s">
        <v>15</v>
      </c>
      <c r="B595" s="43" t="s">
        <v>22</v>
      </c>
      <c r="C595" s="43" t="s">
        <v>36</v>
      </c>
      <c r="D595" s="43" t="s">
        <v>46</v>
      </c>
      <c r="E595">
        <v>2696</v>
      </c>
      <c r="F595">
        <v>10</v>
      </c>
      <c r="G595">
        <v>7</v>
      </c>
      <c r="H595">
        <v>18872</v>
      </c>
      <c r="I595" s="43" t="s">
        <v>1002</v>
      </c>
      <c r="J595">
        <v>16418.64</v>
      </c>
      <c r="K595">
        <v>13480</v>
      </c>
      <c r="L595" s="43" t="s">
        <v>1003</v>
      </c>
      <c r="M595" s="44">
        <v>41852</v>
      </c>
      <c r="N595">
        <v>8</v>
      </c>
      <c r="O595" s="43" t="s">
        <v>32</v>
      </c>
      <c r="P595">
        <v>2014</v>
      </c>
    </row>
    <row r="596" spans="1:16" x14ac:dyDescent="0.2">
      <c r="A596" s="43" t="s">
        <v>21</v>
      </c>
      <c r="B596" s="43" t="s">
        <v>16</v>
      </c>
      <c r="C596" s="43" t="s">
        <v>36</v>
      </c>
      <c r="D596" s="43" t="s">
        <v>46</v>
      </c>
      <c r="E596">
        <v>1565</v>
      </c>
      <c r="F596">
        <v>10</v>
      </c>
      <c r="G596">
        <v>15</v>
      </c>
      <c r="H596">
        <v>23475</v>
      </c>
      <c r="I596" s="43" t="s">
        <v>1004</v>
      </c>
      <c r="J596">
        <v>20423.25</v>
      </c>
      <c r="K596">
        <v>15650</v>
      </c>
      <c r="L596" s="43" t="s">
        <v>1005</v>
      </c>
      <c r="M596" s="44">
        <v>41913</v>
      </c>
      <c r="N596">
        <v>10</v>
      </c>
      <c r="O596" s="43" t="s">
        <v>34</v>
      </c>
      <c r="P596">
        <v>2014</v>
      </c>
    </row>
    <row r="597" spans="1:16" x14ac:dyDescent="0.2">
      <c r="A597" s="43" t="s">
        <v>15</v>
      </c>
      <c r="B597" s="43" t="s">
        <v>16</v>
      </c>
      <c r="C597" s="43" t="s">
        <v>36</v>
      </c>
      <c r="D597" s="43" t="s">
        <v>46</v>
      </c>
      <c r="E597">
        <v>1249</v>
      </c>
      <c r="F597">
        <v>10</v>
      </c>
      <c r="G597">
        <v>20</v>
      </c>
      <c r="H597">
        <v>24980</v>
      </c>
      <c r="I597" s="43" t="s">
        <v>986</v>
      </c>
      <c r="J597">
        <v>21732.6</v>
      </c>
      <c r="K597">
        <v>12490</v>
      </c>
      <c r="L597" s="43" t="s">
        <v>987</v>
      </c>
      <c r="M597" s="44">
        <v>41913</v>
      </c>
      <c r="N597">
        <v>10</v>
      </c>
      <c r="O597" s="43" t="s">
        <v>34</v>
      </c>
      <c r="P597">
        <v>2014</v>
      </c>
    </row>
    <row r="598" spans="1:16" x14ac:dyDescent="0.2">
      <c r="A598" s="43" t="s">
        <v>15</v>
      </c>
      <c r="B598" s="43" t="s">
        <v>20</v>
      </c>
      <c r="C598" s="43" t="s">
        <v>36</v>
      </c>
      <c r="D598" s="43" t="s">
        <v>46</v>
      </c>
      <c r="E598">
        <v>357</v>
      </c>
      <c r="F598">
        <v>10</v>
      </c>
      <c r="G598">
        <v>350</v>
      </c>
      <c r="H598">
        <v>124950</v>
      </c>
      <c r="I598" s="43" t="s">
        <v>1006</v>
      </c>
      <c r="J598">
        <v>108706.5</v>
      </c>
      <c r="K598">
        <v>92820</v>
      </c>
      <c r="L598" s="43" t="s">
        <v>1007</v>
      </c>
      <c r="M598" s="44">
        <v>41944</v>
      </c>
      <c r="N598">
        <v>11</v>
      </c>
      <c r="O598" s="43" t="s">
        <v>38</v>
      </c>
      <c r="P598">
        <v>2014</v>
      </c>
    </row>
    <row r="599" spans="1:16" x14ac:dyDescent="0.2">
      <c r="A599" s="43" t="s">
        <v>28</v>
      </c>
      <c r="B599" s="43" t="s">
        <v>20</v>
      </c>
      <c r="C599" s="43" t="s">
        <v>36</v>
      </c>
      <c r="D599" s="43" t="s">
        <v>46</v>
      </c>
      <c r="E599">
        <v>1013</v>
      </c>
      <c r="F599">
        <v>10</v>
      </c>
      <c r="G599">
        <v>12</v>
      </c>
      <c r="H599">
        <v>12156</v>
      </c>
      <c r="I599" s="43" t="s">
        <v>1008</v>
      </c>
      <c r="J599">
        <v>10575.72</v>
      </c>
      <c r="K599">
        <v>3039</v>
      </c>
      <c r="L599" s="43" t="s">
        <v>1009</v>
      </c>
      <c r="M599" s="44">
        <v>41974</v>
      </c>
      <c r="N599">
        <v>12</v>
      </c>
      <c r="O599" s="43" t="s">
        <v>25</v>
      </c>
      <c r="P599">
        <v>2014</v>
      </c>
    </row>
    <row r="600" spans="1:16" x14ac:dyDescent="0.2">
      <c r="A600" s="43" t="s">
        <v>21</v>
      </c>
      <c r="B600" s="43" t="s">
        <v>22</v>
      </c>
      <c r="C600" s="43" t="s">
        <v>39</v>
      </c>
      <c r="D600" s="43" t="s">
        <v>46</v>
      </c>
      <c r="E600">
        <v>3997.5</v>
      </c>
      <c r="F600">
        <v>120</v>
      </c>
      <c r="G600">
        <v>15</v>
      </c>
      <c r="H600">
        <v>59962.5</v>
      </c>
      <c r="I600" s="43" t="s">
        <v>1010</v>
      </c>
      <c r="J600">
        <v>52167.38</v>
      </c>
      <c r="K600">
        <v>39975</v>
      </c>
      <c r="L600" s="43" t="s">
        <v>1011</v>
      </c>
      <c r="M600" s="44">
        <v>41640</v>
      </c>
      <c r="N600">
        <v>1</v>
      </c>
      <c r="O600" s="43" t="s">
        <v>19</v>
      </c>
      <c r="P600">
        <v>2014</v>
      </c>
    </row>
    <row r="601" spans="1:16" x14ac:dyDescent="0.2">
      <c r="A601" s="43" t="s">
        <v>15</v>
      </c>
      <c r="B601" s="43" t="s">
        <v>16</v>
      </c>
      <c r="C601" s="43" t="s">
        <v>39</v>
      </c>
      <c r="D601" s="43" t="s">
        <v>46</v>
      </c>
      <c r="E601">
        <v>2632</v>
      </c>
      <c r="F601">
        <v>120</v>
      </c>
      <c r="G601">
        <v>350</v>
      </c>
      <c r="H601">
        <v>921200</v>
      </c>
      <c r="I601" s="43" t="s">
        <v>996</v>
      </c>
      <c r="J601">
        <v>801444</v>
      </c>
      <c r="K601">
        <v>684320</v>
      </c>
      <c r="L601" s="43" t="s">
        <v>997</v>
      </c>
      <c r="M601" s="44">
        <v>41791</v>
      </c>
      <c r="N601">
        <v>6</v>
      </c>
      <c r="O601" s="43" t="s">
        <v>23</v>
      </c>
      <c r="P601">
        <v>2014</v>
      </c>
    </row>
    <row r="602" spans="1:16" x14ac:dyDescent="0.2">
      <c r="A602" s="43" t="s">
        <v>15</v>
      </c>
      <c r="B602" s="43" t="s">
        <v>22</v>
      </c>
      <c r="C602" s="43" t="s">
        <v>39</v>
      </c>
      <c r="D602" s="43" t="s">
        <v>46</v>
      </c>
      <c r="E602">
        <v>1190</v>
      </c>
      <c r="F602">
        <v>120</v>
      </c>
      <c r="G602">
        <v>7</v>
      </c>
      <c r="H602">
        <v>8330</v>
      </c>
      <c r="I602" s="43" t="s">
        <v>1012</v>
      </c>
      <c r="J602">
        <v>7247.1</v>
      </c>
      <c r="K602">
        <v>5950</v>
      </c>
      <c r="L602" s="43" t="s">
        <v>1013</v>
      </c>
      <c r="M602" s="44">
        <v>41791</v>
      </c>
      <c r="N602">
        <v>6</v>
      </c>
      <c r="O602" s="43" t="s">
        <v>23</v>
      </c>
      <c r="P602">
        <v>2014</v>
      </c>
    </row>
    <row r="603" spans="1:16" x14ac:dyDescent="0.2">
      <c r="A603" s="43" t="s">
        <v>28</v>
      </c>
      <c r="B603" s="43" t="s">
        <v>24</v>
      </c>
      <c r="C603" s="43" t="s">
        <v>39</v>
      </c>
      <c r="D603" s="43" t="s">
        <v>46</v>
      </c>
      <c r="E603">
        <v>604</v>
      </c>
      <c r="F603">
        <v>120</v>
      </c>
      <c r="G603">
        <v>12</v>
      </c>
      <c r="H603">
        <v>7248</v>
      </c>
      <c r="I603" s="43" t="s">
        <v>982</v>
      </c>
      <c r="J603">
        <v>6305.76</v>
      </c>
      <c r="K603">
        <v>1812</v>
      </c>
      <c r="L603" s="43" t="s">
        <v>983</v>
      </c>
      <c r="M603" s="44">
        <v>41791</v>
      </c>
      <c r="N603">
        <v>6</v>
      </c>
      <c r="O603" s="43" t="s">
        <v>23</v>
      </c>
      <c r="P603">
        <v>2014</v>
      </c>
    </row>
    <row r="604" spans="1:16" x14ac:dyDescent="0.2">
      <c r="A604" s="43" t="s">
        <v>21</v>
      </c>
      <c r="B604" s="43" t="s">
        <v>20</v>
      </c>
      <c r="C604" s="43" t="s">
        <v>39</v>
      </c>
      <c r="D604" s="43" t="s">
        <v>46</v>
      </c>
      <c r="E604">
        <v>660</v>
      </c>
      <c r="F604">
        <v>120</v>
      </c>
      <c r="G604">
        <v>15</v>
      </c>
      <c r="H604">
        <v>9900</v>
      </c>
      <c r="I604" s="43" t="s">
        <v>1014</v>
      </c>
      <c r="J604">
        <v>8613</v>
      </c>
      <c r="K604">
        <v>6600</v>
      </c>
      <c r="L604" s="43" t="s">
        <v>1015</v>
      </c>
      <c r="M604" s="44">
        <v>41518</v>
      </c>
      <c r="N604">
        <v>9</v>
      </c>
      <c r="O604" s="43" t="s">
        <v>33</v>
      </c>
      <c r="P604">
        <v>2013</v>
      </c>
    </row>
    <row r="605" spans="1:16" x14ac:dyDescent="0.2">
      <c r="A605" s="43" t="s">
        <v>28</v>
      </c>
      <c r="B605" s="43" t="s">
        <v>24</v>
      </c>
      <c r="C605" s="43" t="s">
        <v>39</v>
      </c>
      <c r="D605" s="43" t="s">
        <v>46</v>
      </c>
      <c r="E605">
        <v>410</v>
      </c>
      <c r="F605">
        <v>120</v>
      </c>
      <c r="G605">
        <v>12</v>
      </c>
      <c r="H605">
        <v>4920</v>
      </c>
      <c r="I605" s="43" t="s">
        <v>1016</v>
      </c>
      <c r="J605">
        <v>4280.3999999999996</v>
      </c>
      <c r="K605">
        <v>1230</v>
      </c>
      <c r="L605" s="43" t="s">
        <v>1017</v>
      </c>
      <c r="M605" s="44">
        <v>41913</v>
      </c>
      <c r="N605">
        <v>10</v>
      </c>
      <c r="O605" s="43" t="s">
        <v>34</v>
      </c>
      <c r="P605">
        <v>2014</v>
      </c>
    </row>
    <row r="606" spans="1:16" x14ac:dyDescent="0.2">
      <c r="A606" s="43" t="s">
        <v>31</v>
      </c>
      <c r="B606" s="43" t="s">
        <v>24</v>
      </c>
      <c r="C606" s="43" t="s">
        <v>39</v>
      </c>
      <c r="D606" s="43" t="s">
        <v>46</v>
      </c>
      <c r="E606">
        <v>2605</v>
      </c>
      <c r="F606">
        <v>120</v>
      </c>
      <c r="G606">
        <v>300</v>
      </c>
      <c r="H606">
        <v>781500</v>
      </c>
      <c r="I606" s="43" t="s">
        <v>1018</v>
      </c>
      <c r="J606">
        <v>679905</v>
      </c>
      <c r="K606">
        <v>651250</v>
      </c>
      <c r="L606" s="43" t="s">
        <v>1019</v>
      </c>
      <c r="M606" s="44">
        <v>41579</v>
      </c>
      <c r="N606">
        <v>11</v>
      </c>
      <c r="O606" s="43" t="s">
        <v>38</v>
      </c>
      <c r="P606">
        <v>2013</v>
      </c>
    </row>
    <row r="607" spans="1:16" x14ac:dyDescent="0.2">
      <c r="A607" s="43" t="s">
        <v>28</v>
      </c>
      <c r="B607" s="43" t="s">
        <v>20</v>
      </c>
      <c r="C607" s="43" t="s">
        <v>39</v>
      </c>
      <c r="D607" s="43" t="s">
        <v>46</v>
      </c>
      <c r="E607">
        <v>1013</v>
      </c>
      <c r="F607">
        <v>120</v>
      </c>
      <c r="G607">
        <v>12</v>
      </c>
      <c r="H607">
        <v>12156</v>
      </c>
      <c r="I607" s="43" t="s">
        <v>1008</v>
      </c>
      <c r="J607">
        <v>10575.72</v>
      </c>
      <c r="K607">
        <v>3039</v>
      </c>
      <c r="L607" s="43" t="s">
        <v>1009</v>
      </c>
      <c r="M607" s="44">
        <v>41974</v>
      </c>
      <c r="N607">
        <v>12</v>
      </c>
      <c r="O607" s="43" t="s">
        <v>25</v>
      </c>
      <c r="P607">
        <v>2014</v>
      </c>
    </row>
    <row r="608" spans="1:16" x14ac:dyDescent="0.2">
      <c r="A608" s="43" t="s">
        <v>29</v>
      </c>
      <c r="B608" s="43" t="s">
        <v>16</v>
      </c>
      <c r="C608" s="43" t="s">
        <v>40</v>
      </c>
      <c r="D608" s="43" t="s">
        <v>46</v>
      </c>
      <c r="E608">
        <v>1583</v>
      </c>
      <c r="F608">
        <v>250</v>
      </c>
      <c r="G608">
        <v>125</v>
      </c>
      <c r="H608">
        <v>197875</v>
      </c>
      <c r="I608" s="43" t="s">
        <v>998</v>
      </c>
      <c r="J608">
        <v>172151.25</v>
      </c>
      <c r="K608">
        <v>189960</v>
      </c>
      <c r="L608" s="43" t="s">
        <v>999</v>
      </c>
      <c r="M608" s="44">
        <v>41791</v>
      </c>
      <c r="N608">
        <v>6</v>
      </c>
      <c r="O608" s="43" t="s">
        <v>23</v>
      </c>
      <c r="P608">
        <v>2014</v>
      </c>
    </row>
    <row r="609" spans="1:16" x14ac:dyDescent="0.2">
      <c r="A609" s="43" t="s">
        <v>21</v>
      </c>
      <c r="B609" s="43" t="s">
        <v>16</v>
      </c>
      <c r="C609" s="43" t="s">
        <v>40</v>
      </c>
      <c r="D609" s="43" t="s">
        <v>46</v>
      </c>
      <c r="E609">
        <v>1565</v>
      </c>
      <c r="F609">
        <v>250</v>
      </c>
      <c r="G609">
        <v>15</v>
      </c>
      <c r="H609">
        <v>23475</v>
      </c>
      <c r="I609" s="43" t="s">
        <v>1004</v>
      </c>
      <c r="J609">
        <v>20423.25</v>
      </c>
      <c r="K609">
        <v>15650</v>
      </c>
      <c r="L609" s="43" t="s">
        <v>1005</v>
      </c>
      <c r="M609" s="44">
        <v>41913</v>
      </c>
      <c r="N609">
        <v>10</v>
      </c>
      <c r="O609" s="43" t="s">
        <v>34</v>
      </c>
      <c r="P609">
        <v>2014</v>
      </c>
    </row>
    <row r="610" spans="1:16" x14ac:dyDescent="0.2">
      <c r="A610" s="43" t="s">
        <v>29</v>
      </c>
      <c r="B610" s="43" t="s">
        <v>16</v>
      </c>
      <c r="C610" s="43" t="s">
        <v>42</v>
      </c>
      <c r="D610" s="43" t="s">
        <v>46</v>
      </c>
      <c r="E610">
        <v>1659</v>
      </c>
      <c r="F610">
        <v>260</v>
      </c>
      <c r="G610">
        <v>125</v>
      </c>
      <c r="H610">
        <v>207375</v>
      </c>
      <c r="I610" s="43" t="s">
        <v>1020</v>
      </c>
      <c r="J610">
        <v>180416.25</v>
      </c>
      <c r="K610">
        <v>199080</v>
      </c>
      <c r="L610" s="43" t="s">
        <v>1021</v>
      </c>
      <c r="M610" s="44">
        <v>41640</v>
      </c>
      <c r="N610">
        <v>1</v>
      </c>
      <c r="O610" s="43" t="s">
        <v>19</v>
      </c>
      <c r="P610">
        <v>2014</v>
      </c>
    </row>
    <row r="611" spans="1:16" x14ac:dyDescent="0.2">
      <c r="A611" s="43" t="s">
        <v>15</v>
      </c>
      <c r="B611" s="43" t="s">
        <v>22</v>
      </c>
      <c r="C611" s="43" t="s">
        <v>42</v>
      </c>
      <c r="D611" s="43" t="s">
        <v>46</v>
      </c>
      <c r="E611">
        <v>1190</v>
      </c>
      <c r="F611">
        <v>260</v>
      </c>
      <c r="G611">
        <v>7</v>
      </c>
      <c r="H611">
        <v>8330</v>
      </c>
      <c r="I611" s="43" t="s">
        <v>1012</v>
      </c>
      <c r="J611">
        <v>7247.1</v>
      </c>
      <c r="K611">
        <v>5950</v>
      </c>
      <c r="L611" s="43" t="s">
        <v>1013</v>
      </c>
      <c r="M611" s="44">
        <v>41791</v>
      </c>
      <c r="N611">
        <v>6</v>
      </c>
      <c r="O611" s="43" t="s">
        <v>23</v>
      </c>
      <c r="P611">
        <v>2014</v>
      </c>
    </row>
    <row r="612" spans="1:16" x14ac:dyDescent="0.2">
      <c r="A612" s="43" t="s">
        <v>28</v>
      </c>
      <c r="B612" s="43" t="s">
        <v>24</v>
      </c>
      <c r="C612" s="43" t="s">
        <v>42</v>
      </c>
      <c r="D612" s="43" t="s">
        <v>46</v>
      </c>
      <c r="E612">
        <v>410</v>
      </c>
      <c r="F612">
        <v>260</v>
      </c>
      <c r="G612">
        <v>12</v>
      </c>
      <c r="H612">
        <v>4920</v>
      </c>
      <c r="I612" s="43" t="s">
        <v>1016</v>
      </c>
      <c r="J612">
        <v>4280.3999999999996</v>
      </c>
      <c r="K612">
        <v>1230</v>
      </c>
      <c r="L612" s="43" t="s">
        <v>1017</v>
      </c>
      <c r="M612" s="44">
        <v>41913</v>
      </c>
      <c r="N612">
        <v>10</v>
      </c>
      <c r="O612" s="43" t="s">
        <v>34</v>
      </c>
      <c r="P612">
        <v>2014</v>
      </c>
    </row>
    <row r="613" spans="1:16" x14ac:dyDescent="0.2">
      <c r="A613" s="43" t="s">
        <v>28</v>
      </c>
      <c r="B613" s="43" t="s">
        <v>20</v>
      </c>
      <c r="C613" s="43" t="s">
        <v>42</v>
      </c>
      <c r="D613" s="43" t="s">
        <v>46</v>
      </c>
      <c r="E613">
        <v>1770</v>
      </c>
      <c r="F613">
        <v>260</v>
      </c>
      <c r="G613">
        <v>12</v>
      </c>
      <c r="H613">
        <v>21240</v>
      </c>
      <c r="I613" s="43" t="s">
        <v>1022</v>
      </c>
      <c r="J613">
        <v>18478.8</v>
      </c>
      <c r="K613">
        <v>5310</v>
      </c>
      <c r="L613" s="43" t="s">
        <v>1023</v>
      </c>
      <c r="M613" s="44">
        <v>41609</v>
      </c>
      <c r="N613">
        <v>12</v>
      </c>
      <c r="O613" s="43" t="s">
        <v>25</v>
      </c>
      <c r="P613">
        <v>2013</v>
      </c>
    </row>
    <row r="614" spans="1:16" x14ac:dyDescent="0.2">
      <c r="A614" s="43" t="s">
        <v>15</v>
      </c>
      <c r="B614" s="43" t="s">
        <v>24</v>
      </c>
      <c r="C614" s="43" t="s">
        <v>17</v>
      </c>
      <c r="D614" s="43" t="s">
        <v>46</v>
      </c>
      <c r="E614">
        <v>2579</v>
      </c>
      <c r="F614">
        <v>3</v>
      </c>
      <c r="G614">
        <v>20</v>
      </c>
      <c r="H614">
        <v>51580</v>
      </c>
      <c r="I614" s="43" t="s">
        <v>1024</v>
      </c>
      <c r="J614">
        <v>44358.8</v>
      </c>
      <c r="K614">
        <v>25790</v>
      </c>
      <c r="L614" s="43" t="s">
        <v>1025</v>
      </c>
      <c r="M614" s="44">
        <v>41730</v>
      </c>
      <c r="N614">
        <v>4</v>
      </c>
      <c r="O614" s="43" t="s">
        <v>41</v>
      </c>
      <c r="P614">
        <v>2014</v>
      </c>
    </row>
    <row r="615" spans="1:16" x14ac:dyDescent="0.2">
      <c r="A615" s="43" t="s">
        <v>15</v>
      </c>
      <c r="B615" s="43" t="s">
        <v>35</v>
      </c>
      <c r="C615" s="43" t="s">
        <v>17</v>
      </c>
      <c r="D615" s="43" t="s">
        <v>46</v>
      </c>
      <c r="E615">
        <v>1743</v>
      </c>
      <c r="F615">
        <v>3</v>
      </c>
      <c r="G615">
        <v>20</v>
      </c>
      <c r="H615">
        <v>34860</v>
      </c>
      <c r="I615" s="43" t="s">
        <v>1026</v>
      </c>
      <c r="J615">
        <v>29979.599999999999</v>
      </c>
      <c r="K615">
        <v>17430</v>
      </c>
      <c r="L615" s="43" t="s">
        <v>1027</v>
      </c>
      <c r="M615" s="44">
        <v>41760</v>
      </c>
      <c r="N615">
        <v>5</v>
      </c>
      <c r="O615" s="43" t="s">
        <v>44</v>
      </c>
      <c r="P615">
        <v>2014</v>
      </c>
    </row>
    <row r="616" spans="1:16" x14ac:dyDescent="0.2">
      <c r="A616" s="43" t="s">
        <v>15</v>
      </c>
      <c r="B616" s="43" t="s">
        <v>35</v>
      </c>
      <c r="C616" s="43" t="s">
        <v>17</v>
      </c>
      <c r="D616" s="43" t="s">
        <v>46</v>
      </c>
      <c r="E616">
        <v>2996</v>
      </c>
      <c r="F616">
        <v>3</v>
      </c>
      <c r="G616">
        <v>7</v>
      </c>
      <c r="H616">
        <v>20972</v>
      </c>
      <c r="I616" s="43" t="s">
        <v>1028</v>
      </c>
      <c r="J616">
        <v>18035.919999999998</v>
      </c>
      <c r="K616">
        <v>14980</v>
      </c>
      <c r="L616" s="43" t="s">
        <v>1029</v>
      </c>
      <c r="M616" s="44">
        <v>41548</v>
      </c>
      <c r="N616">
        <v>10</v>
      </c>
      <c r="O616" s="43" t="s">
        <v>34</v>
      </c>
      <c r="P616">
        <v>2013</v>
      </c>
    </row>
    <row r="617" spans="1:16" x14ac:dyDescent="0.2">
      <c r="A617" s="43" t="s">
        <v>15</v>
      </c>
      <c r="B617" s="43" t="s">
        <v>20</v>
      </c>
      <c r="C617" s="43" t="s">
        <v>17</v>
      </c>
      <c r="D617" s="43" t="s">
        <v>46</v>
      </c>
      <c r="E617">
        <v>280</v>
      </c>
      <c r="F617">
        <v>3</v>
      </c>
      <c r="G617">
        <v>7</v>
      </c>
      <c r="H617">
        <v>1960</v>
      </c>
      <c r="I617" s="43" t="s">
        <v>1030</v>
      </c>
      <c r="J617">
        <v>1685.6</v>
      </c>
      <c r="K617">
        <v>1400</v>
      </c>
      <c r="L617" s="43" t="s">
        <v>1031</v>
      </c>
      <c r="M617" s="44">
        <v>41974</v>
      </c>
      <c r="N617">
        <v>12</v>
      </c>
      <c r="O617" s="43" t="s">
        <v>25</v>
      </c>
      <c r="P617">
        <v>2014</v>
      </c>
    </row>
    <row r="618" spans="1:16" x14ac:dyDescent="0.2">
      <c r="A618" s="43" t="s">
        <v>15</v>
      </c>
      <c r="B618" s="43" t="s">
        <v>22</v>
      </c>
      <c r="C618" s="43" t="s">
        <v>26</v>
      </c>
      <c r="D618" s="43" t="s">
        <v>46</v>
      </c>
      <c r="E618">
        <v>293</v>
      </c>
      <c r="F618">
        <v>5</v>
      </c>
      <c r="G618">
        <v>7</v>
      </c>
      <c r="H618">
        <v>2051</v>
      </c>
      <c r="I618" s="43" t="s">
        <v>1032</v>
      </c>
      <c r="J618">
        <v>1763.86</v>
      </c>
      <c r="K618">
        <v>1465</v>
      </c>
      <c r="L618" s="43" t="s">
        <v>1033</v>
      </c>
      <c r="M618" s="44">
        <v>41671</v>
      </c>
      <c r="N618">
        <v>2</v>
      </c>
      <c r="O618" s="43" t="s">
        <v>37</v>
      </c>
      <c r="P618">
        <v>2014</v>
      </c>
    </row>
    <row r="619" spans="1:16" x14ac:dyDescent="0.2">
      <c r="A619" s="43" t="s">
        <v>15</v>
      </c>
      <c r="B619" s="43" t="s">
        <v>35</v>
      </c>
      <c r="C619" s="43" t="s">
        <v>26</v>
      </c>
      <c r="D619" s="43" t="s">
        <v>46</v>
      </c>
      <c r="E619">
        <v>2996</v>
      </c>
      <c r="F619">
        <v>5</v>
      </c>
      <c r="G619">
        <v>7</v>
      </c>
      <c r="H619">
        <v>20972</v>
      </c>
      <c r="I619" s="43" t="s">
        <v>1028</v>
      </c>
      <c r="J619">
        <v>18035.919999999998</v>
      </c>
      <c r="K619">
        <v>14980</v>
      </c>
      <c r="L619" s="43" t="s">
        <v>1029</v>
      </c>
      <c r="M619" s="44">
        <v>41548</v>
      </c>
      <c r="N619">
        <v>10</v>
      </c>
      <c r="O619" s="43" t="s">
        <v>34</v>
      </c>
      <c r="P619">
        <v>2013</v>
      </c>
    </row>
    <row r="620" spans="1:16" x14ac:dyDescent="0.2">
      <c r="A620" s="43" t="s">
        <v>21</v>
      </c>
      <c r="B620" s="43" t="s">
        <v>20</v>
      </c>
      <c r="C620" s="43" t="s">
        <v>36</v>
      </c>
      <c r="D620" s="43" t="s">
        <v>46</v>
      </c>
      <c r="E620">
        <v>278</v>
      </c>
      <c r="F620">
        <v>10</v>
      </c>
      <c r="G620">
        <v>15</v>
      </c>
      <c r="H620">
        <v>4170</v>
      </c>
      <c r="I620" s="43" t="s">
        <v>1034</v>
      </c>
      <c r="J620">
        <v>3586.2</v>
      </c>
      <c r="K620">
        <v>2780</v>
      </c>
      <c r="L620" s="43" t="s">
        <v>1035</v>
      </c>
      <c r="M620" s="44">
        <v>41671</v>
      </c>
      <c r="N620">
        <v>2</v>
      </c>
      <c r="O620" s="43" t="s">
        <v>37</v>
      </c>
      <c r="P620">
        <v>2014</v>
      </c>
    </row>
    <row r="621" spans="1:16" x14ac:dyDescent="0.2">
      <c r="A621" s="43" t="s">
        <v>15</v>
      </c>
      <c r="B621" s="43" t="s">
        <v>16</v>
      </c>
      <c r="C621" s="43" t="s">
        <v>36</v>
      </c>
      <c r="D621" s="43" t="s">
        <v>46</v>
      </c>
      <c r="E621">
        <v>2428</v>
      </c>
      <c r="F621">
        <v>10</v>
      </c>
      <c r="G621">
        <v>20</v>
      </c>
      <c r="H621">
        <v>48560</v>
      </c>
      <c r="I621" s="43" t="s">
        <v>1036</v>
      </c>
      <c r="J621">
        <v>41761.599999999999</v>
      </c>
      <c r="K621">
        <v>24280</v>
      </c>
      <c r="L621" s="43" t="s">
        <v>1037</v>
      </c>
      <c r="M621" s="44">
        <v>41699</v>
      </c>
      <c r="N621">
        <v>3</v>
      </c>
      <c r="O621" s="43" t="s">
        <v>27</v>
      </c>
      <c r="P621">
        <v>2014</v>
      </c>
    </row>
    <row r="622" spans="1:16" x14ac:dyDescent="0.2">
      <c r="A622" s="43" t="s">
        <v>21</v>
      </c>
      <c r="B622" s="43" t="s">
        <v>35</v>
      </c>
      <c r="C622" s="43" t="s">
        <v>36</v>
      </c>
      <c r="D622" s="43" t="s">
        <v>46</v>
      </c>
      <c r="E622">
        <v>1767</v>
      </c>
      <c r="F622">
        <v>10</v>
      </c>
      <c r="G622">
        <v>15</v>
      </c>
      <c r="H622">
        <v>26505</v>
      </c>
      <c r="I622" s="43" t="s">
        <v>1038</v>
      </c>
      <c r="J622">
        <v>22794.3</v>
      </c>
      <c r="K622">
        <v>17670</v>
      </c>
      <c r="L622" s="43" t="s">
        <v>1039</v>
      </c>
      <c r="M622" s="44">
        <v>41883</v>
      </c>
      <c r="N622">
        <v>9</v>
      </c>
      <c r="O622" s="43" t="s">
        <v>33</v>
      </c>
      <c r="P622">
        <v>2014</v>
      </c>
    </row>
    <row r="623" spans="1:16" x14ac:dyDescent="0.2">
      <c r="A623" s="43" t="s">
        <v>28</v>
      </c>
      <c r="B623" s="43" t="s">
        <v>22</v>
      </c>
      <c r="C623" s="43" t="s">
        <v>36</v>
      </c>
      <c r="D623" s="43" t="s">
        <v>46</v>
      </c>
      <c r="E623">
        <v>1393</v>
      </c>
      <c r="F623">
        <v>10</v>
      </c>
      <c r="G623">
        <v>12</v>
      </c>
      <c r="H623">
        <v>16716</v>
      </c>
      <c r="I623" s="43" t="s">
        <v>1040</v>
      </c>
      <c r="J623">
        <v>14375.76</v>
      </c>
      <c r="K623">
        <v>4179</v>
      </c>
      <c r="L623" s="43" t="s">
        <v>1041</v>
      </c>
      <c r="M623" s="44">
        <v>41913</v>
      </c>
      <c r="N623">
        <v>10</v>
      </c>
      <c r="O623" s="43" t="s">
        <v>34</v>
      </c>
      <c r="P623">
        <v>2014</v>
      </c>
    </row>
    <row r="624" spans="1:16" x14ac:dyDescent="0.2">
      <c r="A624" s="43" t="s">
        <v>15</v>
      </c>
      <c r="B624" s="43" t="s">
        <v>20</v>
      </c>
      <c r="C624" s="43" t="s">
        <v>40</v>
      </c>
      <c r="D624" s="43" t="s">
        <v>46</v>
      </c>
      <c r="E624">
        <v>280</v>
      </c>
      <c r="F624">
        <v>250</v>
      </c>
      <c r="G624">
        <v>7</v>
      </c>
      <c r="H624">
        <v>1960</v>
      </c>
      <c r="I624" s="43" t="s">
        <v>1030</v>
      </c>
      <c r="J624">
        <v>1685.6</v>
      </c>
      <c r="K624">
        <v>1400</v>
      </c>
      <c r="L624" s="43" t="s">
        <v>1031</v>
      </c>
      <c r="M624" s="44">
        <v>41974</v>
      </c>
      <c r="N624">
        <v>12</v>
      </c>
      <c r="O624" s="43" t="s">
        <v>25</v>
      </c>
      <c r="P624">
        <v>2014</v>
      </c>
    </row>
    <row r="625" spans="1:16" x14ac:dyDescent="0.2">
      <c r="A625" s="43" t="s">
        <v>28</v>
      </c>
      <c r="B625" s="43" t="s">
        <v>22</v>
      </c>
      <c r="C625" s="43" t="s">
        <v>42</v>
      </c>
      <c r="D625" s="43" t="s">
        <v>46</v>
      </c>
      <c r="E625">
        <v>1393</v>
      </c>
      <c r="F625">
        <v>260</v>
      </c>
      <c r="G625">
        <v>12</v>
      </c>
      <c r="H625">
        <v>16716</v>
      </c>
      <c r="I625" s="43" t="s">
        <v>1040</v>
      </c>
      <c r="J625">
        <v>14375.76</v>
      </c>
      <c r="K625">
        <v>4179</v>
      </c>
      <c r="L625" s="43" t="s">
        <v>1041</v>
      </c>
      <c r="M625" s="44">
        <v>41913</v>
      </c>
      <c r="N625">
        <v>10</v>
      </c>
      <c r="O625" s="43" t="s">
        <v>34</v>
      </c>
      <c r="P625">
        <v>2014</v>
      </c>
    </row>
    <row r="626" spans="1:16" x14ac:dyDescent="0.2">
      <c r="A626" s="43" t="s">
        <v>28</v>
      </c>
      <c r="B626" s="43" t="s">
        <v>35</v>
      </c>
      <c r="C626" s="43" t="s">
        <v>42</v>
      </c>
      <c r="D626" s="43" t="s">
        <v>46</v>
      </c>
      <c r="E626">
        <v>2015</v>
      </c>
      <c r="F626">
        <v>260</v>
      </c>
      <c r="G626">
        <v>12</v>
      </c>
      <c r="H626">
        <v>24180</v>
      </c>
      <c r="I626" s="43" t="s">
        <v>1042</v>
      </c>
      <c r="J626">
        <v>20794.8</v>
      </c>
      <c r="K626">
        <v>6045</v>
      </c>
      <c r="L626" s="43" t="s">
        <v>1043</v>
      </c>
      <c r="M626" s="44">
        <v>41609</v>
      </c>
      <c r="N626">
        <v>12</v>
      </c>
      <c r="O626" s="43" t="s">
        <v>25</v>
      </c>
      <c r="P626">
        <v>2013</v>
      </c>
    </row>
    <row r="627" spans="1:16" x14ac:dyDescent="0.2">
      <c r="A627" s="43" t="s">
        <v>31</v>
      </c>
      <c r="B627" s="43" t="s">
        <v>24</v>
      </c>
      <c r="C627" s="43" t="s">
        <v>17</v>
      </c>
      <c r="D627" s="43" t="s">
        <v>46</v>
      </c>
      <c r="E627">
        <v>801</v>
      </c>
      <c r="F627">
        <v>3</v>
      </c>
      <c r="G627">
        <v>300</v>
      </c>
      <c r="H627">
        <v>240300</v>
      </c>
      <c r="I627" s="43" t="s">
        <v>1044</v>
      </c>
      <c r="J627">
        <v>206658</v>
      </c>
      <c r="K627">
        <v>200250</v>
      </c>
      <c r="L627" s="43" t="s">
        <v>1045</v>
      </c>
      <c r="M627" s="44">
        <v>41821</v>
      </c>
      <c r="N627">
        <v>7</v>
      </c>
      <c r="O627" s="43" t="s">
        <v>30</v>
      </c>
      <c r="P627">
        <v>2014</v>
      </c>
    </row>
    <row r="628" spans="1:16" x14ac:dyDescent="0.2">
      <c r="A628" s="43" t="s">
        <v>29</v>
      </c>
      <c r="B628" s="43" t="s">
        <v>22</v>
      </c>
      <c r="C628" s="43" t="s">
        <v>17</v>
      </c>
      <c r="D628" s="43" t="s">
        <v>46</v>
      </c>
      <c r="E628">
        <v>1023</v>
      </c>
      <c r="F628">
        <v>3</v>
      </c>
      <c r="G628">
        <v>125</v>
      </c>
      <c r="H628">
        <v>127875</v>
      </c>
      <c r="I628" s="43" t="s">
        <v>1046</v>
      </c>
      <c r="J628">
        <v>109972.5</v>
      </c>
      <c r="K628">
        <v>122760</v>
      </c>
      <c r="L628" s="43" t="s">
        <v>1047</v>
      </c>
      <c r="M628" s="44">
        <v>41518</v>
      </c>
      <c r="N628">
        <v>9</v>
      </c>
      <c r="O628" s="43" t="s">
        <v>33</v>
      </c>
      <c r="P628">
        <v>2013</v>
      </c>
    </row>
    <row r="629" spans="1:16" x14ac:dyDescent="0.2">
      <c r="A629" s="43" t="s">
        <v>31</v>
      </c>
      <c r="B629" s="43" t="s">
        <v>16</v>
      </c>
      <c r="C629" s="43" t="s">
        <v>17</v>
      </c>
      <c r="D629" s="43" t="s">
        <v>46</v>
      </c>
      <c r="E629">
        <v>1496</v>
      </c>
      <c r="F629">
        <v>3</v>
      </c>
      <c r="G629">
        <v>300</v>
      </c>
      <c r="H629">
        <v>448800</v>
      </c>
      <c r="I629" s="43" t="s">
        <v>1048</v>
      </c>
      <c r="J629">
        <v>385968</v>
      </c>
      <c r="K629">
        <v>374000</v>
      </c>
      <c r="L629" s="43" t="s">
        <v>1049</v>
      </c>
      <c r="M629" s="44">
        <v>41913</v>
      </c>
      <c r="N629">
        <v>10</v>
      </c>
      <c r="O629" s="43" t="s">
        <v>34</v>
      </c>
      <c r="P629">
        <v>2014</v>
      </c>
    </row>
    <row r="630" spans="1:16" x14ac:dyDescent="0.2">
      <c r="A630" s="43" t="s">
        <v>31</v>
      </c>
      <c r="B630" s="43" t="s">
        <v>35</v>
      </c>
      <c r="C630" s="43" t="s">
        <v>17</v>
      </c>
      <c r="D630" s="43" t="s">
        <v>46</v>
      </c>
      <c r="E630">
        <v>1010</v>
      </c>
      <c r="F630">
        <v>3</v>
      </c>
      <c r="G630">
        <v>300</v>
      </c>
      <c r="H630">
        <v>303000</v>
      </c>
      <c r="I630" s="43" t="s">
        <v>1050</v>
      </c>
      <c r="J630">
        <v>260580</v>
      </c>
      <c r="K630">
        <v>252500</v>
      </c>
      <c r="L630" s="43" t="s">
        <v>1051</v>
      </c>
      <c r="M630" s="44">
        <v>41913</v>
      </c>
      <c r="N630">
        <v>10</v>
      </c>
      <c r="O630" s="43" t="s">
        <v>34</v>
      </c>
      <c r="P630">
        <v>2014</v>
      </c>
    </row>
    <row r="631" spans="1:16" x14ac:dyDescent="0.2">
      <c r="A631" s="43" t="s">
        <v>21</v>
      </c>
      <c r="B631" s="43" t="s">
        <v>20</v>
      </c>
      <c r="C631" s="43" t="s">
        <v>17</v>
      </c>
      <c r="D631" s="43" t="s">
        <v>46</v>
      </c>
      <c r="E631">
        <v>1513</v>
      </c>
      <c r="F631">
        <v>3</v>
      </c>
      <c r="G631">
        <v>15</v>
      </c>
      <c r="H631">
        <v>22695</v>
      </c>
      <c r="I631" s="43" t="s">
        <v>1052</v>
      </c>
      <c r="J631">
        <v>19517.7</v>
      </c>
      <c r="K631">
        <v>15130</v>
      </c>
      <c r="L631" s="43" t="s">
        <v>1053</v>
      </c>
      <c r="M631" s="44">
        <v>41944</v>
      </c>
      <c r="N631">
        <v>11</v>
      </c>
      <c r="O631" s="43" t="s">
        <v>38</v>
      </c>
      <c r="P631">
        <v>2014</v>
      </c>
    </row>
    <row r="632" spans="1:16" x14ac:dyDescent="0.2">
      <c r="A632" s="43" t="s">
        <v>21</v>
      </c>
      <c r="B632" s="43" t="s">
        <v>16</v>
      </c>
      <c r="C632" s="43" t="s">
        <v>17</v>
      </c>
      <c r="D632" s="43" t="s">
        <v>46</v>
      </c>
      <c r="E632">
        <v>2300</v>
      </c>
      <c r="F632">
        <v>3</v>
      </c>
      <c r="G632">
        <v>15</v>
      </c>
      <c r="H632">
        <v>34500</v>
      </c>
      <c r="I632" s="43" t="s">
        <v>1054</v>
      </c>
      <c r="J632">
        <v>29670</v>
      </c>
      <c r="K632">
        <v>23000</v>
      </c>
      <c r="L632" s="43" t="s">
        <v>1055</v>
      </c>
      <c r="M632" s="44">
        <v>41974</v>
      </c>
      <c r="N632">
        <v>12</v>
      </c>
      <c r="O632" s="43" t="s">
        <v>25</v>
      </c>
      <c r="P632">
        <v>2014</v>
      </c>
    </row>
    <row r="633" spans="1:16" x14ac:dyDescent="0.2">
      <c r="A633" s="43" t="s">
        <v>29</v>
      </c>
      <c r="B633" s="43" t="s">
        <v>24</v>
      </c>
      <c r="C633" s="43" t="s">
        <v>17</v>
      </c>
      <c r="D633" s="43" t="s">
        <v>46</v>
      </c>
      <c r="E633">
        <v>2821</v>
      </c>
      <c r="F633">
        <v>3</v>
      </c>
      <c r="G633">
        <v>125</v>
      </c>
      <c r="H633">
        <v>352625</v>
      </c>
      <c r="I633" s="43" t="s">
        <v>1056</v>
      </c>
      <c r="J633">
        <v>303257.5</v>
      </c>
      <c r="K633">
        <v>338520</v>
      </c>
      <c r="L633" s="43" t="s">
        <v>1057</v>
      </c>
      <c r="M633" s="44">
        <v>41609</v>
      </c>
      <c r="N633">
        <v>12</v>
      </c>
      <c r="O633" s="43" t="s">
        <v>25</v>
      </c>
      <c r="P633">
        <v>2013</v>
      </c>
    </row>
    <row r="634" spans="1:16" x14ac:dyDescent="0.2">
      <c r="A634" s="43" t="s">
        <v>15</v>
      </c>
      <c r="B634" s="43" t="s">
        <v>16</v>
      </c>
      <c r="C634" s="43" t="s">
        <v>26</v>
      </c>
      <c r="D634" s="43" t="s">
        <v>46</v>
      </c>
      <c r="E634">
        <v>2227.5</v>
      </c>
      <c r="F634">
        <v>5</v>
      </c>
      <c r="G634">
        <v>350</v>
      </c>
      <c r="H634">
        <v>779625</v>
      </c>
      <c r="I634" s="43" t="s">
        <v>1058</v>
      </c>
      <c r="J634">
        <v>670477.5</v>
      </c>
      <c r="K634">
        <v>579150</v>
      </c>
      <c r="L634" s="43" t="s">
        <v>1059</v>
      </c>
      <c r="M634" s="44">
        <v>41640</v>
      </c>
      <c r="N634">
        <v>1</v>
      </c>
      <c r="O634" s="43" t="s">
        <v>19</v>
      </c>
      <c r="P634">
        <v>2014</v>
      </c>
    </row>
    <row r="635" spans="1:16" x14ac:dyDescent="0.2">
      <c r="A635" s="43" t="s">
        <v>15</v>
      </c>
      <c r="B635" s="43" t="s">
        <v>20</v>
      </c>
      <c r="C635" s="43" t="s">
        <v>26</v>
      </c>
      <c r="D635" s="43" t="s">
        <v>46</v>
      </c>
      <c r="E635">
        <v>1199</v>
      </c>
      <c r="F635">
        <v>5</v>
      </c>
      <c r="G635">
        <v>350</v>
      </c>
      <c r="H635">
        <v>419650</v>
      </c>
      <c r="I635" s="43" t="s">
        <v>1060</v>
      </c>
      <c r="J635">
        <v>360899</v>
      </c>
      <c r="K635">
        <v>311740</v>
      </c>
      <c r="L635" s="43" t="s">
        <v>1061</v>
      </c>
      <c r="M635" s="44">
        <v>41730</v>
      </c>
      <c r="N635">
        <v>4</v>
      </c>
      <c r="O635" s="43" t="s">
        <v>41</v>
      </c>
      <c r="P635">
        <v>2014</v>
      </c>
    </row>
    <row r="636" spans="1:16" x14ac:dyDescent="0.2">
      <c r="A636" s="43" t="s">
        <v>15</v>
      </c>
      <c r="B636" s="43" t="s">
        <v>16</v>
      </c>
      <c r="C636" s="43" t="s">
        <v>26</v>
      </c>
      <c r="D636" s="43" t="s">
        <v>46</v>
      </c>
      <c r="E636">
        <v>200</v>
      </c>
      <c r="F636">
        <v>5</v>
      </c>
      <c r="G636">
        <v>350</v>
      </c>
      <c r="H636">
        <v>70000</v>
      </c>
      <c r="I636" s="43" t="s">
        <v>1062</v>
      </c>
      <c r="J636">
        <v>60200</v>
      </c>
      <c r="K636">
        <v>52000</v>
      </c>
      <c r="L636" s="43" t="s">
        <v>1063</v>
      </c>
      <c r="M636" s="44">
        <v>41760</v>
      </c>
      <c r="N636">
        <v>5</v>
      </c>
      <c r="O636" s="43" t="s">
        <v>44</v>
      </c>
      <c r="P636">
        <v>2014</v>
      </c>
    </row>
    <row r="637" spans="1:16" x14ac:dyDescent="0.2">
      <c r="A637" s="43" t="s">
        <v>15</v>
      </c>
      <c r="B637" s="43" t="s">
        <v>16</v>
      </c>
      <c r="C637" s="43" t="s">
        <v>26</v>
      </c>
      <c r="D637" s="43" t="s">
        <v>46</v>
      </c>
      <c r="E637">
        <v>388</v>
      </c>
      <c r="F637">
        <v>5</v>
      </c>
      <c r="G637">
        <v>7</v>
      </c>
      <c r="H637">
        <v>2716</v>
      </c>
      <c r="I637" s="43" t="s">
        <v>1064</v>
      </c>
      <c r="J637">
        <v>2335.7600000000002</v>
      </c>
      <c r="K637">
        <v>1940</v>
      </c>
      <c r="L637" s="43" t="s">
        <v>1065</v>
      </c>
      <c r="M637" s="44">
        <v>41883</v>
      </c>
      <c r="N637">
        <v>9</v>
      </c>
      <c r="O637" s="43" t="s">
        <v>33</v>
      </c>
      <c r="P637">
        <v>2014</v>
      </c>
    </row>
    <row r="638" spans="1:16" x14ac:dyDescent="0.2">
      <c r="A638" s="43" t="s">
        <v>15</v>
      </c>
      <c r="B638" s="43" t="s">
        <v>24</v>
      </c>
      <c r="C638" s="43" t="s">
        <v>26</v>
      </c>
      <c r="D638" s="43" t="s">
        <v>46</v>
      </c>
      <c r="E638">
        <v>1727</v>
      </c>
      <c r="F638">
        <v>5</v>
      </c>
      <c r="G638">
        <v>7</v>
      </c>
      <c r="H638">
        <v>12089</v>
      </c>
      <c r="I638" s="43" t="s">
        <v>1066</v>
      </c>
      <c r="J638">
        <v>10396.540000000001</v>
      </c>
      <c r="K638">
        <v>8635</v>
      </c>
      <c r="L638" s="43" t="s">
        <v>1067</v>
      </c>
      <c r="M638" s="44">
        <v>41548</v>
      </c>
      <c r="N638">
        <v>10</v>
      </c>
      <c r="O638" s="43" t="s">
        <v>34</v>
      </c>
      <c r="P638">
        <v>2013</v>
      </c>
    </row>
    <row r="639" spans="1:16" x14ac:dyDescent="0.2">
      <c r="A639" s="43" t="s">
        <v>21</v>
      </c>
      <c r="B639" s="43" t="s">
        <v>16</v>
      </c>
      <c r="C639" s="43" t="s">
        <v>26</v>
      </c>
      <c r="D639" s="43" t="s">
        <v>46</v>
      </c>
      <c r="E639">
        <v>2300</v>
      </c>
      <c r="F639">
        <v>5</v>
      </c>
      <c r="G639">
        <v>15</v>
      </c>
      <c r="H639">
        <v>34500</v>
      </c>
      <c r="I639" s="43" t="s">
        <v>1054</v>
      </c>
      <c r="J639">
        <v>29670</v>
      </c>
      <c r="K639">
        <v>23000</v>
      </c>
      <c r="L639" s="43" t="s">
        <v>1055</v>
      </c>
      <c r="M639" s="44">
        <v>41974</v>
      </c>
      <c r="N639">
        <v>12</v>
      </c>
      <c r="O639" s="43" t="s">
        <v>25</v>
      </c>
      <c r="P639">
        <v>2014</v>
      </c>
    </row>
    <row r="640" spans="1:16" x14ac:dyDescent="0.2">
      <c r="A640" s="43" t="s">
        <v>15</v>
      </c>
      <c r="B640" s="43" t="s">
        <v>24</v>
      </c>
      <c r="C640" s="43" t="s">
        <v>36</v>
      </c>
      <c r="D640" s="43" t="s">
        <v>46</v>
      </c>
      <c r="E640">
        <v>260</v>
      </c>
      <c r="F640">
        <v>10</v>
      </c>
      <c r="G640">
        <v>20</v>
      </c>
      <c r="H640">
        <v>5200</v>
      </c>
      <c r="I640" s="43" t="s">
        <v>1068</v>
      </c>
      <c r="J640">
        <v>4472</v>
      </c>
      <c r="K640">
        <v>2600</v>
      </c>
      <c r="L640" s="43" t="s">
        <v>1069</v>
      </c>
      <c r="M640" s="44">
        <v>41671</v>
      </c>
      <c r="N640">
        <v>2</v>
      </c>
      <c r="O640" s="43" t="s">
        <v>37</v>
      </c>
      <c r="P640">
        <v>2014</v>
      </c>
    </row>
    <row r="641" spans="1:16" x14ac:dyDescent="0.2">
      <c r="A641" s="43" t="s">
        <v>21</v>
      </c>
      <c r="B641" s="43" t="s">
        <v>16</v>
      </c>
      <c r="C641" s="43" t="s">
        <v>36</v>
      </c>
      <c r="D641" s="43" t="s">
        <v>46</v>
      </c>
      <c r="E641">
        <v>2470</v>
      </c>
      <c r="F641">
        <v>10</v>
      </c>
      <c r="G641">
        <v>15</v>
      </c>
      <c r="H641">
        <v>37050</v>
      </c>
      <c r="I641" s="43" t="s">
        <v>1070</v>
      </c>
      <c r="J641">
        <v>31863</v>
      </c>
      <c r="K641">
        <v>24700</v>
      </c>
      <c r="L641" s="43" t="s">
        <v>1071</v>
      </c>
      <c r="M641" s="44">
        <v>41518</v>
      </c>
      <c r="N641">
        <v>9</v>
      </c>
      <c r="O641" s="43" t="s">
        <v>33</v>
      </c>
      <c r="P641">
        <v>2013</v>
      </c>
    </row>
    <row r="642" spans="1:16" x14ac:dyDescent="0.2">
      <c r="A642" s="43" t="s">
        <v>21</v>
      </c>
      <c r="B642" s="43" t="s">
        <v>16</v>
      </c>
      <c r="C642" s="43" t="s">
        <v>36</v>
      </c>
      <c r="D642" s="43" t="s">
        <v>46</v>
      </c>
      <c r="E642">
        <v>1743</v>
      </c>
      <c r="F642">
        <v>10</v>
      </c>
      <c r="G642">
        <v>15</v>
      </c>
      <c r="H642">
        <v>26145</v>
      </c>
      <c r="I642" s="43" t="s">
        <v>1072</v>
      </c>
      <c r="J642">
        <v>22484.7</v>
      </c>
      <c r="K642">
        <v>17430</v>
      </c>
      <c r="L642" s="43" t="s">
        <v>1073</v>
      </c>
      <c r="M642" s="44">
        <v>41548</v>
      </c>
      <c r="N642">
        <v>10</v>
      </c>
      <c r="O642" s="43" t="s">
        <v>34</v>
      </c>
      <c r="P642">
        <v>2013</v>
      </c>
    </row>
    <row r="643" spans="1:16" x14ac:dyDescent="0.2">
      <c r="A643" s="43" t="s">
        <v>28</v>
      </c>
      <c r="B643" s="43" t="s">
        <v>35</v>
      </c>
      <c r="C643" s="43" t="s">
        <v>36</v>
      </c>
      <c r="D643" s="43" t="s">
        <v>46</v>
      </c>
      <c r="E643">
        <v>2914</v>
      </c>
      <c r="F643">
        <v>10</v>
      </c>
      <c r="G643">
        <v>12</v>
      </c>
      <c r="H643">
        <v>34968</v>
      </c>
      <c r="I643" s="43" t="s">
        <v>1074</v>
      </c>
      <c r="J643">
        <v>30072.48</v>
      </c>
      <c r="K643">
        <v>8742</v>
      </c>
      <c r="L643" s="43" t="s">
        <v>1075</v>
      </c>
      <c r="M643" s="44">
        <v>41913</v>
      </c>
      <c r="N643">
        <v>10</v>
      </c>
      <c r="O643" s="43" t="s">
        <v>34</v>
      </c>
      <c r="P643">
        <v>2014</v>
      </c>
    </row>
    <row r="644" spans="1:16" x14ac:dyDescent="0.2">
      <c r="A644" s="43" t="s">
        <v>15</v>
      </c>
      <c r="B644" s="43" t="s">
        <v>22</v>
      </c>
      <c r="C644" s="43" t="s">
        <v>36</v>
      </c>
      <c r="D644" s="43" t="s">
        <v>46</v>
      </c>
      <c r="E644">
        <v>1731</v>
      </c>
      <c r="F644">
        <v>10</v>
      </c>
      <c r="G644">
        <v>7</v>
      </c>
      <c r="H644">
        <v>12117</v>
      </c>
      <c r="I644" s="43" t="s">
        <v>1076</v>
      </c>
      <c r="J644">
        <v>10420.620000000001</v>
      </c>
      <c r="K644">
        <v>8655</v>
      </c>
      <c r="L644" s="43" t="s">
        <v>1077</v>
      </c>
      <c r="M644" s="44">
        <v>41913</v>
      </c>
      <c r="N644">
        <v>10</v>
      </c>
      <c r="O644" s="43" t="s">
        <v>34</v>
      </c>
      <c r="P644">
        <v>2014</v>
      </c>
    </row>
    <row r="645" spans="1:16" x14ac:dyDescent="0.2">
      <c r="A645" s="43" t="s">
        <v>15</v>
      </c>
      <c r="B645" s="43" t="s">
        <v>16</v>
      </c>
      <c r="C645" s="43" t="s">
        <v>36</v>
      </c>
      <c r="D645" s="43" t="s">
        <v>46</v>
      </c>
      <c r="E645">
        <v>700</v>
      </c>
      <c r="F645">
        <v>10</v>
      </c>
      <c r="G645">
        <v>350</v>
      </c>
      <c r="H645">
        <v>245000</v>
      </c>
      <c r="I645" s="43" t="s">
        <v>1078</v>
      </c>
      <c r="J645">
        <v>210700</v>
      </c>
      <c r="K645">
        <v>182000</v>
      </c>
      <c r="L645" s="43" t="s">
        <v>1079</v>
      </c>
      <c r="M645" s="44">
        <v>41944</v>
      </c>
      <c r="N645">
        <v>11</v>
      </c>
      <c r="O645" s="43" t="s">
        <v>38</v>
      </c>
      <c r="P645">
        <v>2014</v>
      </c>
    </row>
    <row r="646" spans="1:16" x14ac:dyDescent="0.2">
      <c r="A646" s="43" t="s">
        <v>28</v>
      </c>
      <c r="B646" s="43" t="s">
        <v>16</v>
      </c>
      <c r="C646" s="43" t="s">
        <v>36</v>
      </c>
      <c r="D646" s="43" t="s">
        <v>46</v>
      </c>
      <c r="E646">
        <v>2222</v>
      </c>
      <c r="F646">
        <v>10</v>
      </c>
      <c r="G646">
        <v>12</v>
      </c>
      <c r="H646">
        <v>26664</v>
      </c>
      <c r="I646" s="43" t="s">
        <v>1080</v>
      </c>
      <c r="J646">
        <v>22931.040000000001</v>
      </c>
      <c r="K646">
        <v>6666</v>
      </c>
      <c r="L646" s="43" t="s">
        <v>1081</v>
      </c>
      <c r="M646" s="44">
        <v>41579</v>
      </c>
      <c r="N646">
        <v>11</v>
      </c>
      <c r="O646" s="43" t="s">
        <v>38</v>
      </c>
      <c r="P646">
        <v>2013</v>
      </c>
    </row>
    <row r="647" spans="1:16" x14ac:dyDescent="0.2">
      <c r="A647" s="43" t="s">
        <v>15</v>
      </c>
      <c r="B647" s="43" t="s">
        <v>35</v>
      </c>
      <c r="C647" s="43" t="s">
        <v>36</v>
      </c>
      <c r="D647" s="43" t="s">
        <v>46</v>
      </c>
      <c r="E647">
        <v>1177</v>
      </c>
      <c r="F647">
        <v>10</v>
      </c>
      <c r="G647">
        <v>350</v>
      </c>
      <c r="H647">
        <v>411950</v>
      </c>
      <c r="I647" s="43" t="s">
        <v>1082</v>
      </c>
      <c r="J647">
        <v>354277</v>
      </c>
      <c r="K647">
        <v>306020</v>
      </c>
      <c r="L647" s="43" t="s">
        <v>1083</v>
      </c>
      <c r="M647" s="44">
        <v>41944</v>
      </c>
      <c r="N647">
        <v>11</v>
      </c>
      <c r="O647" s="43" t="s">
        <v>38</v>
      </c>
      <c r="P647">
        <v>2014</v>
      </c>
    </row>
    <row r="648" spans="1:16" x14ac:dyDescent="0.2">
      <c r="A648" s="43" t="s">
        <v>15</v>
      </c>
      <c r="B648" s="43" t="s">
        <v>22</v>
      </c>
      <c r="C648" s="43" t="s">
        <v>36</v>
      </c>
      <c r="D648" s="43" t="s">
        <v>46</v>
      </c>
      <c r="E648">
        <v>1922</v>
      </c>
      <c r="F648">
        <v>10</v>
      </c>
      <c r="G648">
        <v>350</v>
      </c>
      <c r="H648">
        <v>672700</v>
      </c>
      <c r="I648" s="43" t="s">
        <v>1084</v>
      </c>
      <c r="J648">
        <v>578522</v>
      </c>
      <c r="K648">
        <v>499720</v>
      </c>
      <c r="L648" s="43" t="s">
        <v>1085</v>
      </c>
      <c r="M648" s="44">
        <v>41579</v>
      </c>
      <c r="N648">
        <v>11</v>
      </c>
      <c r="O648" s="43" t="s">
        <v>38</v>
      </c>
      <c r="P648">
        <v>2013</v>
      </c>
    </row>
    <row r="649" spans="1:16" x14ac:dyDescent="0.2">
      <c r="A649" s="43" t="s">
        <v>29</v>
      </c>
      <c r="B649" s="43" t="s">
        <v>24</v>
      </c>
      <c r="C649" s="43" t="s">
        <v>39</v>
      </c>
      <c r="D649" s="43" t="s">
        <v>46</v>
      </c>
      <c r="E649">
        <v>1575</v>
      </c>
      <c r="F649">
        <v>120</v>
      </c>
      <c r="G649">
        <v>125</v>
      </c>
      <c r="H649">
        <v>196875</v>
      </c>
      <c r="I649" s="43" t="s">
        <v>1086</v>
      </c>
      <c r="J649">
        <v>169312.5</v>
      </c>
      <c r="K649">
        <v>189000</v>
      </c>
      <c r="L649" s="43" t="s">
        <v>1087</v>
      </c>
      <c r="M649" s="44">
        <v>41671</v>
      </c>
      <c r="N649">
        <v>2</v>
      </c>
      <c r="O649" s="43" t="s">
        <v>37</v>
      </c>
      <c r="P649">
        <v>2014</v>
      </c>
    </row>
    <row r="650" spans="1:16" x14ac:dyDescent="0.2">
      <c r="A650" s="43" t="s">
        <v>15</v>
      </c>
      <c r="B650" s="43" t="s">
        <v>35</v>
      </c>
      <c r="C650" s="43" t="s">
        <v>39</v>
      </c>
      <c r="D650" s="43" t="s">
        <v>46</v>
      </c>
      <c r="E650">
        <v>606</v>
      </c>
      <c r="F650">
        <v>120</v>
      </c>
      <c r="G650">
        <v>20</v>
      </c>
      <c r="H650">
        <v>12120</v>
      </c>
      <c r="I650" s="43" t="s">
        <v>1088</v>
      </c>
      <c r="J650">
        <v>10423.200000000001</v>
      </c>
      <c r="K650">
        <v>6060</v>
      </c>
      <c r="L650" s="43" t="s">
        <v>1089</v>
      </c>
      <c r="M650" s="44">
        <v>41730</v>
      </c>
      <c r="N650">
        <v>4</v>
      </c>
      <c r="O650" s="43" t="s">
        <v>41</v>
      </c>
      <c r="P650">
        <v>2014</v>
      </c>
    </row>
    <row r="651" spans="1:16" x14ac:dyDescent="0.2">
      <c r="A651" s="43" t="s">
        <v>31</v>
      </c>
      <c r="B651" s="43" t="s">
        <v>35</v>
      </c>
      <c r="C651" s="43" t="s">
        <v>39</v>
      </c>
      <c r="D651" s="43" t="s">
        <v>46</v>
      </c>
      <c r="E651">
        <v>2460</v>
      </c>
      <c r="F651">
        <v>120</v>
      </c>
      <c r="G651">
        <v>300</v>
      </c>
      <c r="H651">
        <v>738000</v>
      </c>
      <c r="I651" s="43" t="s">
        <v>1090</v>
      </c>
      <c r="J651">
        <v>634680</v>
      </c>
      <c r="K651">
        <v>615000</v>
      </c>
      <c r="L651" s="43" t="s">
        <v>1091</v>
      </c>
      <c r="M651" s="44">
        <v>41821</v>
      </c>
      <c r="N651">
        <v>7</v>
      </c>
      <c r="O651" s="43" t="s">
        <v>30</v>
      </c>
      <c r="P651">
        <v>2014</v>
      </c>
    </row>
    <row r="652" spans="1:16" x14ac:dyDescent="0.2">
      <c r="A652" s="43" t="s">
        <v>31</v>
      </c>
      <c r="B652" s="43" t="s">
        <v>16</v>
      </c>
      <c r="C652" s="43" t="s">
        <v>39</v>
      </c>
      <c r="D652" s="43" t="s">
        <v>46</v>
      </c>
      <c r="E652">
        <v>269</v>
      </c>
      <c r="F652">
        <v>120</v>
      </c>
      <c r="G652">
        <v>300</v>
      </c>
      <c r="H652">
        <v>80700</v>
      </c>
      <c r="I652" s="43" t="s">
        <v>1092</v>
      </c>
      <c r="J652">
        <v>69402</v>
      </c>
      <c r="K652">
        <v>67250</v>
      </c>
      <c r="L652" s="43" t="s">
        <v>1093</v>
      </c>
      <c r="M652" s="44">
        <v>41548</v>
      </c>
      <c r="N652">
        <v>10</v>
      </c>
      <c r="O652" s="43" t="s">
        <v>34</v>
      </c>
      <c r="P652">
        <v>2013</v>
      </c>
    </row>
    <row r="653" spans="1:16" x14ac:dyDescent="0.2">
      <c r="A653" s="43" t="s">
        <v>31</v>
      </c>
      <c r="B653" s="43" t="s">
        <v>20</v>
      </c>
      <c r="C653" s="43" t="s">
        <v>39</v>
      </c>
      <c r="D653" s="43" t="s">
        <v>46</v>
      </c>
      <c r="E653">
        <v>2536</v>
      </c>
      <c r="F653">
        <v>120</v>
      </c>
      <c r="G653">
        <v>300</v>
      </c>
      <c r="H653">
        <v>760800</v>
      </c>
      <c r="I653" s="43" t="s">
        <v>1094</v>
      </c>
      <c r="J653">
        <v>654288</v>
      </c>
      <c r="K653">
        <v>634000</v>
      </c>
      <c r="L653" s="43" t="s">
        <v>1095</v>
      </c>
      <c r="M653" s="44">
        <v>41579</v>
      </c>
      <c r="N653">
        <v>11</v>
      </c>
      <c r="O653" s="43" t="s">
        <v>38</v>
      </c>
      <c r="P653">
        <v>2013</v>
      </c>
    </row>
    <row r="654" spans="1:16" x14ac:dyDescent="0.2">
      <c r="A654" s="43" t="s">
        <v>15</v>
      </c>
      <c r="B654" s="43" t="s">
        <v>24</v>
      </c>
      <c r="C654" s="43" t="s">
        <v>40</v>
      </c>
      <c r="D654" s="43" t="s">
        <v>46</v>
      </c>
      <c r="E654">
        <v>2903</v>
      </c>
      <c r="F654">
        <v>250</v>
      </c>
      <c r="G654">
        <v>7</v>
      </c>
      <c r="H654">
        <v>20321</v>
      </c>
      <c r="I654" s="43" t="s">
        <v>1096</v>
      </c>
      <c r="J654">
        <v>17476.060000000001</v>
      </c>
      <c r="K654">
        <v>14515</v>
      </c>
      <c r="L654" s="43" t="s">
        <v>1097</v>
      </c>
      <c r="M654" s="44">
        <v>41699</v>
      </c>
      <c r="N654">
        <v>3</v>
      </c>
      <c r="O654" s="43" t="s">
        <v>27</v>
      </c>
      <c r="P654">
        <v>2014</v>
      </c>
    </row>
    <row r="655" spans="1:16" x14ac:dyDescent="0.2">
      <c r="A655" s="43" t="s">
        <v>31</v>
      </c>
      <c r="B655" s="43" t="s">
        <v>35</v>
      </c>
      <c r="C655" s="43" t="s">
        <v>40</v>
      </c>
      <c r="D655" s="43" t="s">
        <v>46</v>
      </c>
      <c r="E655">
        <v>2541</v>
      </c>
      <c r="F655">
        <v>250</v>
      </c>
      <c r="G655">
        <v>300</v>
      </c>
      <c r="H655">
        <v>762300</v>
      </c>
      <c r="I655" s="43" t="s">
        <v>1098</v>
      </c>
      <c r="J655">
        <v>655578</v>
      </c>
      <c r="K655">
        <v>635250</v>
      </c>
      <c r="L655" s="43" t="s">
        <v>1099</v>
      </c>
      <c r="M655" s="44">
        <v>41852</v>
      </c>
      <c r="N655">
        <v>8</v>
      </c>
      <c r="O655" s="43" t="s">
        <v>32</v>
      </c>
      <c r="P655">
        <v>2014</v>
      </c>
    </row>
    <row r="656" spans="1:16" x14ac:dyDescent="0.2">
      <c r="A656" s="43" t="s">
        <v>31</v>
      </c>
      <c r="B656" s="43" t="s">
        <v>16</v>
      </c>
      <c r="C656" s="43" t="s">
        <v>40</v>
      </c>
      <c r="D656" s="43" t="s">
        <v>46</v>
      </c>
      <c r="E656">
        <v>269</v>
      </c>
      <c r="F656">
        <v>250</v>
      </c>
      <c r="G656">
        <v>300</v>
      </c>
      <c r="H656">
        <v>80700</v>
      </c>
      <c r="I656" s="43" t="s">
        <v>1092</v>
      </c>
      <c r="J656">
        <v>69402</v>
      </c>
      <c r="K656">
        <v>67250</v>
      </c>
      <c r="L656" s="43" t="s">
        <v>1093</v>
      </c>
      <c r="M656" s="44">
        <v>41548</v>
      </c>
      <c r="N656">
        <v>10</v>
      </c>
      <c r="O656" s="43" t="s">
        <v>34</v>
      </c>
      <c r="P656">
        <v>2013</v>
      </c>
    </row>
    <row r="657" spans="1:16" x14ac:dyDescent="0.2">
      <c r="A657" s="43" t="s">
        <v>31</v>
      </c>
      <c r="B657" s="43" t="s">
        <v>16</v>
      </c>
      <c r="C657" s="43" t="s">
        <v>40</v>
      </c>
      <c r="D657" s="43" t="s">
        <v>46</v>
      </c>
      <c r="E657">
        <v>1496</v>
      </c>
      <c r="F657">
        <v>250</v>
      </c>
      <c r="G657">
        <v>300</v>
      </c>
      <c r="H657">
        <v>448800</v>
      </c>
      <c r="I657" s="43" t="s">
        <v>1048</v>
      </c>
      <c r="J657">
        <v>385968</v>
      </c>
      <c r="K657">
        <v>374000</v>
      </c>
      <c r="L657" s="43" t="s">
        <v>1049</v>
      </c>
      <c r="M657" s="44">
        <v>41913</v>
      </c>
      <c r="N657">
        <v>10</v>
      </c>
      <c r="O657" s="43" t="s">
        <v>34</v>
      </c>
      <c r="P657">
        <v>2014</v>
      </c>
    </row>
    <row r="658" spans="1:16" x14ac:dyDescent="0.2">
      <c r="A658" s="43" t="s">
        <v>31</v>
      </c>
      <c r="B658" s="43" t="s">
        <v>35</v>
      </c>
      <c r="C658" s="43" t="s">
        <v>40</v>
      </c>
      <c r="D658" s="43" t="s">
        <v>46</v>
      </c>
      <c r="E658">
        <v>1010</v>
      </c>
      <c r="F658">
        <v>250</v>
      </c>
      <c r="G658">
        <v>300</v>
      </c>
      <c r="H658">
        <v>303000</v>
      </c>
      <c r="I658" s="43" t="s">
        <v>1050</v>
      </c>
      <c r="J658">
        <v>260580</v>
      </c>
      <c r="K658">
        <v>252500</v>
      </c>
      <c r="L658" s="43" t="s">
        <v>1051</v>
      </c>
      <c r="M658" s="44">
        <v>41913</v>
      </c>
      <c r="N658">
        <v>10</v>
      </c>
      <c r="O658" s="43" t="s">
        <v>34</v>
      </c>
      <c r="P658">
        <v>2014</v>
      </c>
    </row>
    <row r="659" spans="1:16" x14ac:dyDescent="0.2">
      <c r="A659" s="43" t="s">
        <v>15</v>
      </c>
      <c r="B659" s="43" t="s">
        <v>22</v>
      </c>
      <c r="C659" s="43" t="s">
        <v>40</v>
      </c>
      <c r="D659" s="43" t="s">
        <v>46</v>
      </c>
      <c r="E659">
        <v>1281</v>
      </c>
      <c r="F659">
        <v>250</v>
      </c>
      <c r="G659">
        <v>350</v>
      </c>
      <c r="H659">
        <v>448350</v>
      </c>
      <c r="I659" s="43" t="s">
        <v>1100</v>
      </c>
      <c r="J659">
        <v>385581</v>
      </c>
      <c r="K659">
        <v>333060</v>
      </c>
      <c r="L659" s="43" t="s">
        <v>1101</v>
      </c>
      <c r="M659" s="44">
        <v>41609</v>
      </c>
      <c r="N659">
        <v>12</v>
      </c>
      <c r="O659" s="43" t="s">
        <v>25</v>
      </c>
      <c r="P659">
        <v>2013</v>
      </c>
    </row>
    <row r="660" spans="1:16" x14ac:dyDescent="0.2">
      <c r="A660" s="43" t="s">
        <v>31</v>
      </c>
      <c r="B660" s="43" t="s">
        <v>16</v>
      </c>
      <c r="C660" s="43" t="s">
        <v>42</v>
      </c>
      <c r="D660" s="43" t="s">
        <v>46</v>
      </c>
      <c r="E660">
        <v>888</v>
      </c>
      <c r="F660">
        <v>260</v>
      </c>
      <c r="G660">
        <v>300</v>
      </c>
      <c r="H660">
        <v>266400</v>
      </c>
      <c r="I660" s="43" t="s">
        <v>1102</v>
      </c>
      <c r="J660">
        <v>229104</v>
      </c>
      <c r="K660">
        <v>222000</v>
      </c>
      <c r="L660" s="43" t="s">
        <v>1103</v>
      </c>
      <c r="M660" s="44">
        <v>41699</v>
      </c>
      <c r="N660">
        <v>3</v>
      </c>
      <c r="O660" s="43" t="s">
        <v>27</v>
      </c>
      <c r="P660">
        <v>2014</v>
      </c>
    </row>
    <row r="661" spans="1:16" x14ac:dyDescent="0.2">
      <c r="A661" s="43" t="s">
        <v>29</v>
      </c>
      <c r="B661" s="43" t="s">
        <v>35</v>
      </c>
      <c r="C661" s="43" t="s">
        <v>42</v>
      </c>
      <c r="D661" s="43" t="s">
        <v>46</v>
      </c>
      <c r="E661">
        <v>2844</v>
      </c>
      <c r="F661">
        <v>260</v>
      </c>
      <c r="G661">
        <v>125</v>
      </c>
      <c r="H661">
        <v>355500</v>
      </c>
      <c r="I661" s="43" t="s">
        <v>1104</v>
      </c>
      <c r="J661">
        <v>305730</v>
      </c>
      <c r="K661">
        <v>341280</v>
      </c>
      <c r="L661" s="43" t="s">
        <v>1105</v>
      </c>
      <c r="M661" s="44">
        <v>41760</v>
      </c>
      <c r="N661">
        <v>5</v>
      </c>
      <c r="O661" s="43" t="s">
        <v>44</v>
      </c>
      <c r="P661">
        <v>2014</v>
      </c>
    </row>
    <row r="662" spans="1:16" x14ac:dyDescent="0.2">
      <c r="A662" s="43" t="s">
        <v>28</v>
      </c>
      <c r="B662" s="43" t="s">
        <v>22</v>
      </c>
      <c r="C662" s="43" t="s">
        <v>42</v>
      </c>
      <c r="D662" s="43" t="s">
        <v>46</v>
      </c>
      <c r="E662">
        <v>2475</v>
      </c>
      <c r="F662">
        <v>260</v>
      </c>
      <c r="G662">
        <v>12</v>
      </c>
      <c r="H662">
        <v>29700</v>
      </c>
      <c r="I662" s="43" t="s">
        <v>1106</v>
      </c>
      <c r="J662">
        <v>25542</v>
      </c>
      <c r="K662">
        <v>7425</v>
      </c>
      <c r="L662" s="43" t="s">
        <v>1107</v>
      </c>
      <c r="M662" s="44">
        <v>41852</v>
      </c>
      <c r="N662">
        <v>8</v>
      </c>
      <c r="O662" s="43" t="s">
        <v>32</v>
      </c>
      <c r="P662">
        <v>2014</v>
      </c>
    </row>
    <row r="663" spans="1:16" x14ac:dyDescent="0.2">
      <c r="A663" s="43" t="s">
        <v>21</v>
      </c>
      <c r="B663" s="43" t="s">
        <v>16</v>
      </c>
      <c r="C663" s="43" t="s">
        <v>42</v>
      </c>
      <c r="D663" s="43" t="s">
        <v>46</v>
      </c>
      <c r="E663">
        <v>1743</v>
      </c>
      <c r="F663">
        <v>260</v>
      </c>
      <c r="G663">
        <v>15</v>
      </c>
      <c r="H663">
        <v>26145</v>
      </c>
      <c r="I663" s="43" t="s">
        <v>1072</v>
      </c>
      <c r="J663">
        <v>22484.7</v>
      </c>
      <c r="K663">
        <v>17430</v>
      </c>
      <c r="L663" s="43" t="s">
        <v>1073</v>
      </c>
      <c r="M663" s="44">
        <v>41548</v>
      </c>
      <c r="N663">
        <v>10</v>
      </c>
      <c r="O663" s="43" t="s">
        <v>34</v>
      </c>
      <c r="P663">
        <v>2013</v>
      </c>
    </row>
    <row r="664" spans="1:16" x14ac:dyDescent="0.2">
      <c r="A664" s="43" t="s">
        <v>28</v>
      </c>
      <c r="B664" s="43" t="s">
        <v>35</v>
      </c>
      <c r="C664" s="43" t="s">
        <v>42</v>
      </c>
      <c r="D664" s="43" t="s">
        <v>46</v>
      </c>
      <c r="E664">
        <v>2914</v>
      </c>
      <c r="F664">
        <v>260</v>
      </c>
      <c r="G664">
        <v>12</v>
      </c>
      <c r="H664">
        <v>34968</v>
      </c>
      <c r="I664" s="43" t="s">
        <v>1074</v>
      </c>
      <c r="J664">
        <v>30072.48</v>
      </c>
      <c r="K664">
        <v>8742</v>
      </c>
      <c r="L664" s="43" t="s">
        <v>1075</v>
      </c>
      <c r="M664" s="44">
        <v>41913</v>
      </c>
      <c r="N664">
        <v>10</v>
      </c>
      <c r="O664" s="43" t="s">
        <v>34</v>
      </c>
      <c r="P664">
        <v>2014</v>
      </c>
    </row>
    <row r="665" spans="1:16" x14ac:dyDescent="0.2">
      <c r="A665" s="43" t="s">
        <v>15</v>
      </c>
      <c r="B665" s="43" t="s">
        <v>22</v>
      </c>
      <c r="C665" s="43" t="s">
        <v>42</v>
      </c>
      <c r="D665" s="43" t="s">
        <v>46</v>
      </c>
      <c r="E665">
        <v>1731</v>
      </c>
      <c r="F665">
        <v>260</v>
      </c>
      <c r="G665">
        <v>7</v>
      </c>
      <c r="H665">
        <v>12117</v>
      </c>
      <c r="I665" s="43" t="s">
        <v>1076</v>
      </c>
      <c r="J665">
        <v>10420.620000000001</v>
      </c>
      <c r="K665">
        <v>8655</v>
      </c>
      <c r="L665" s="43" t="s">
        <v>1077</v>
      </c>
      <c r="M665" s="44">
        <v>41913</v>
      </c>
      <c r="N665">
        <v>10</v>
      </c>
      <c r="O665" s="43" t="s">
        <v>34</v>
      </c>
      <c r="P665">
        <v>2014</v>
      </c>
    </row>
    <row r="666" spans="1:16" x14ac:dyDescent="0.2">
      <c r="A666" s="43" t="s">
        <v>15</v>
      </c>
      <c r="B666" s="43" t="s">
        <v>24</v>
      </c>
      <c r="C666" s="43" t="s">
        <v>42</v>
      </c>
      <c r="D666" s="43" t="s">
        <v>46</v>
      </c>
      <c r="E666">
        <v>1727</v>
      </c>
      <c r="F666">
        <v>260</v>
      </c>
      <c r="G666">
        <v>7</v>
      </c>
      <c r="H666">
        <v>12089</v>
      </c>
      <c r="I666" s="43" t="s">
        <v>1066</v>
      </c>
      <c r="J666">
        <v>10396.540000000001</v>
      </c>
      <c r="K666">
        <v>8635</v>
      </c>
      <c r="L666" s="43" t="s">
        <v>1067</v>
      </c>
      <c r="M666" s="44">
        <v>41548</v>
      </c>
      <c r="N666">
        <v>10</v>
      </c>
      <c r="O666" s="43" t="s">
        <v>34</v>
      </c>
      <c r="P666">
        <v>2013</v>
      </c>
    </row>
    <row r="667" spans="1:16" x14ac:dyDescent="0.2">
      <c r="A667" s="43" t="s">
        <v>21</v>
      </c>
      <c r="B667" s="43" t="s">
        <v>24</v>
      </c>
      <c r="C667" s="43" t="s">
        <v>42</v>
      </c>
      <c r="D667" s="43" t="s">
        <v>46</v>
      </c>
      <c r="E667">
        <v>1870</v>
      </c>
      <c r="F667">
        <v>260</v>
      </c>
      <c r="G667">
        <v>15</v>
      </c>
      <c r="H667">
        <v>28050</v>
      </c>
      <c r="I667" s="43" t="s">
        <v>1108</v>
      </c>
      <c r="J667">
        <v>24123</v>
      </c>
      <c r="K667">
        <v>18700</v>
      </c>
      <c r="L667" s="43" t="s">
        <v>1109</v>
      </c>
      <c r="M667" s="44">
        <v>41579</v>
      </c>
      <c r="N667">
        <v>11</v>
      </c>
      <c r="O667" s="43" t="s">
        <v>38</v>
      </c>
      <c r="P667">
        <v>2013</v>
      </c>
    </row>
    <row r="668" spans="1:16" x14ac:dyDescent="0.2">
      <c r="A668" s="43" t="s">
        <v>29</v>
      </c>
      <c r="B668" s="43" t="s">
        <v>22</v>
      </c>
      <c r="C668" s="43" t="s">
        <v>17</v>
      </c>
      <c r="D668" s="43" t="s">
        <v>46</v>
      </c>
      <c r="E668">
        <v>1174</v>
      </c>
      <c r="F668">
        <v>3</v>
      </c>
      <c r="G668">
        <v>125</v>
      </c>
      <c r="H668">
        <v>146750</v>
      </c>
      <c r="I668" s="43" t="s">
        <v>1110</v>
      </c>
      <c r="J668">
        <v>124737.5</v>
      </c>
      <c r="K668">
        <v>140880</v>
      </c>
      <c r="L668" s="43" t="s">
        <v>1111</v>
      </c>
      <c r="M668" s="44">
        <v>41852</v>
      </c>
      <c r="N668">
        <v>8</v>
      </c>
      <c r="O668" s="43" t="s">
        <v>32</v>
      </c>
      <c r="P668">
        <v>2014</v>
      </c>
    </row>
    <row r="669" spans="1:16" x14ac:dyDescent="0.2">
      <c r="A669" s="43" t="s">
        <v>29</v>
      </c>
      <c r="B669" s="43" t="s">
        <v>20</v>
      </c>
      <c r="C669" s="43" t="s">
        <v>17</v>
      </c>
      <c r="D669" s="43" t="s">
        <v>46</v>
      </c>
      <c r="E669">
        <v>2767</v>
      </c>
      <c r="F669">
        <v>3</v>
      </c>
      <c r="G669">
        <v>125</v>
      </c>
      <c r="H669">
        <v>345875</v>
      </c>
      <c r="I669" s="43" t="s">
        <v>1112</v>
      </c>
      <c r="J669">
        <v>293993.75</v>
      </c>
      <c r="K669">
        <v>332040</v>
      </c>
      <c r="L669" s="43" t="s">
        <v>1113</v>
      </c>
      <c r="M669" s="44">
        <v>41852</v>
      </c>
      <c r="N669">
        <v>8</v>
      </c>
      <c r="O669" s="43" t="s">
        <v>32</v>
      </c>
      <c r="P669">
        <v>2014</v>
      </c>
    </row>
    <row r="670" spans="1:16" x14ac:dyDescent="0.2">
      <c r="A670" s="43" t="s">
        <v>29</v>
      </c>
      <c r="B670" s="43" t="s">
        <v>20</v>
      </c>
      <c r="C670" s="43" t="s">
        <v>17</v>
      </c>
      <c r="D670" s="43" t="s">
        <v>46</v>
      </c>
      <c r="E670">
        <v>1085</v>
      </c>
      <c r="F670">
        <v>3</v>
      </c>
      <c r="G670">
        <v>125</v>
      </c>
      <c r="H670">
        <v>135625</v>
      </c>
      <c r="I670" s="43" t="s">
        <v>1114</v>
      </c>
      <c r="J670">
        <v>115281.25</v>
      </c>
      <c r="K670">
        <v>130200</v>
      </c>
      <c r="L670" s="43" t="s">
        <v>1115</v>
      </c>
      <c r="M670" s="44">
        <v>41913</v>
      </c>
      <c r="N670">
        <v>10</v>
      </c>
      <c r="O670" s="43" t="s">
        <v>34</v>
      </c>
      <c r="P670">
        <v>2014</v>
      </c>
    </row>
    <row r="671" spans="1:16" x14ac:dyDescent="0.2">
      <c r="A671" s="43" t="s">
        <v>31</v>
      </c>
      <c r="B671" s="43" t="s">
        <v>24</v>
      </c>
      <c r="C671" s="43" t="s">
        <v>26</v>
      </c>
      <c r="D671" s="43" t="s">
        <v>46</v>
      </c>
      <c r="E671">
        <v>546</v>
      </c>
      <c r="F671">
        <v>5</v>
      </c>
      <c r="G671">
        <v>300</v>
      </c>
      <c r="H671">
        <v>163800</v>
      </c>
      <c r="I671" s="43" t="s">
        <v>1116</v>
      </c>
      <c r="J671">
        <v>139230</v>
      </c>
      <c r="K671">
        <v>136500</v>
      </c>
      <c r="L671" s="43" t="s">
        <v>1117</v>
      </c>
      <c r="M671" s="44">
        <v>41913</v>
      </c>
      <c r="N671">
        <v>10</v>
      </c>
      <c r="O671" s="43" t="s">
        <v>34</v>
      </c>
      <c r="P671">
        <v>2014</v>
      </c>
    </row>
    <row r="672" spans="1:16" x14ac:dyDescent="0.2">
      <c r="A672" s="43" t="s">
        <v>15</v>
      </c>
      <c r="B672" s="43" t="s">
        <v>20</v>
      </c>
      <c r="C672" s="43" t="s">
        <v>36</v>
      </c>
      <c r="D672" s="43" t="s">
        <v>46</v>
      </c>
      <c r="E672">
        <v>1158</v>
      </c>
      <c r="F672">
        <v>10</v>
      </c>
      <c r="G672">
        <v>20</v>
      </c>
      <c r="H672">
        <v>23160</v>
      </c>
      <c r="I672" s="43" t="s">
        <v>1118</v>
      </c>
      <c r="J672">
        <v>19686</v>
      </c>
      <c r="K672">
        <v>11580</v>
      </c>
      <c r="L672" s="43" t="s">
        <v>1119</v>
      </c>
      <c r="M672" s="44">
        <v>41699</v>
      </c>
      <c r="N672">
        <v>3</v>
      </c>
      <c r="O672" s="43" t="s">
        <v>27</v>
      </c>
      <c r="P672">
        <v>2014</v>
      </c>
    </row>
    <row r="673" spans="1:16" x14ac:dyDescent="0.2">
      <c r="A673" s="43" t="s">
        <v>21</v>
      </c>
      <c r="B673" s="43" t="s">
        <v>16</v>
      </c>
      <c r="C673" s="43" t="s">
        <v>36</v>
      </c>
      <c r="D673" s="43" t="s">
        <v>46</v>
      </c>
      <c r="E673">
        <v>1614</v>
      </c>
      <c r="F673">
        <v>10</v>
      </c>
      <c r="G673">
        <v>15</v>
      </c>
      <c r="H673">
        <v>24210</v>
      </c>
      <c r="I673" s="43" t="s">
        <v>1120</v>
      </c>
      <c r="J673">
        <v>20578.5</v>
      </c>
      <c r="K673">
        <v>16140</v>
      </c>
      <c r="L673" s="43" t="s">
        <v>1121</v>
      </c>
      <c r="M673" s="44">
        <v>41730</v>
      </c>
      <c r="N673">
        <v>4</v>
      </c>
      <c r="O673" s="43" t="s">
        <v>41</v>
      </c>
      <c r="P673">
        <v>2014</v>
      </c>
    </row>
    <row r="674" spans="1:16" x14ac:dyDescent="0.2">
      <c r="A674" s="43" t="s">
        <v>15</v>
      </c>
      <c r="B674" s="43" t="s">
        <v>24</v>
      </c>
      <c r="C674" s="43" t="s">
        <v>36</v>
      </c>
      <c r="D674" s="43" t="s">
        <v>46</v>
      </c>
      <c r="E674">
        <v>2535</v>
      </c>
      <c r="F674">
        <v>10</v>
      </c>
      <c r="G674">
        <v>7</v>
      </c>
      <c r="H674">
        <v>17745</v>
      </c>
      <c r="I674" s="43" t="s">
        <v>1122</v>
      </c>
      <c r="J674">
        <v>15083.25</v>
      </c>
      <c r="K674">
        <v>12675</v>
      </c>
      <c r="L674" s="43" t="s">
        <v>1123</v>
      </c>
      <c r="M674" s="44">
        <v>41730</v>
      </c>
      <c r="N674">
        <v>4</v>
      </c>
      <c r="O674" s="43" t="s">
        <v>41</v>
      </c>
      <c r="P674">
        <v>2014</v>
      </c>
    </row>
    <row r="675" spans="1:16" x14ac:dyDescent="0.2">
      <c r="A675" s="43" t="s">
        <v>15</v>
      </c>
      <c r="B675" s="43" t="s">
        <v>24</v>
      </c>
      <c r="C675" s="43" t="s">
        <v>36</v>
      </c>
      <c r="D675" s="43" t="s">
        <v>46</v>
      </c>
      <c r="E675">
        <v>2851</v>
      </c>
      <c r="F675">
        <v>10</v>
      </c>
      <c r="G675">
        <v>350</v>
      </c>
      <c r="H675">
        <v>997850</v>
      </c>
      <c r="I675" s="43" t="s">
        <v>1124</v>
      </c>
      <c r="J675">
        <v>848172.5</v>
      </c>
      <c r="K675">
        <v>741260</v>
      </c>
      <c r="L675" s="43" t="s">
        <v>1125</v>
      </c>
      <c r="M675" s="44">
        <v>41760</v>
      </c>
      <c r="N675">
        <v>5</v>
      </c>
      <c r="O675" s="43" t="s">
        <v>44</v>
      </c>
      <c r="P675">
        <v>2014</v>
      </c>
    </row>
    <row r="676" spans="1:16" x14ac:dyDescent="0.2">
      <c r="A676" s="43" t="s">
        <v>21</v>
      </c>
      <c r="B676" s="43" t="s">
        <v>16</v>
      </c>
      <c r="C676" s="43" t="s">
        <v>36</v>
      </c>
      <c r="D676" s="43" t="s">
        <v>46</v>
      </c>
      <c r="E676">
        <v>2559</v>
      </c>
      <c r="F676">
        <v>10</v>
      </c>
      <c r="G676">
        <v>15</v>
      </c>
      <c r="H676">
        <v>38385</v>
      </c>
      <c r="I676" s="43" t="s">
        <v>1126</v>
      </c>
      <c r="J676">
        <v>32627.25</v>
      </c>
      <c r="K676">
        <v>25590</v>
      </c>
      <c r="L676" s="43" t="s">
        <v>1127</v>
      </c>
      <c r="M676" s="44">
        <v>41852</v>
      </c>
      <c r="N676">
        <v>8</v>
      </c>
      <c r="O676" s="43" t="s">
        <v>32</v>
      </c>
      <c r="P676">
        <v>2014</v>
      </c>
    </row>
    <row r="677" spans="1:16" x14ac:dyDescent="0.2">
      <c r="A677" s="43" t="s">
        <v>15</v>
      </c>
      <c r="B677" s="43" t="s">
        <v>35</v>
      </c>
      <c r="C677" s="43" t="s">
        <v>36</v>
      </c>
      <c r="D677" s="43" t="s">
        <v>46</v>
      </c>
      <c r="E677">
        <v>267</v>
      </c>
      <c r="F677">
        <v>10</v>
      </c>
      <c r="G677">
        <v>20</v>
      </c>
      <c r="H677">
        <v>5340</v>
      </c>
      <c r="I677" s="43" t="s">
        <v>1128</v>
      </c>
      <c r="J677">
        <v>4539</v>
      </c>
      <c r="K677">
        <v>2670</v>
      </c>
      <c r="L677" s="43" t="s">
        <v>1129</v>
      </c>
      <c r="M677" s="44">
        <v>41548</v>
      </c>
      <c r="N677">
        <v>10</v>
      </c>
      <c r="O677" s="43" t="s">
        <v>34</v>
      </c>
      <c r="P677">
        <v>2013</v>
      </c>
    </row>
    <row r="678" spans="1:16" x14ac:dyDescent="0.2">
      <c r="A678" s="43" t="s">
        <v>29</v>
      </c>
      <c r="B678" s="43" t="s">
        <v>20</v>
      </c>
      <c r="C678" s="43" t="s">
        <v>36</v>
      </c>
      <c r="D678" s="43" t="s">
        <v>46</v>
      </c>
      <c r="E678">
        <v>1085</v>
      </c>
      <c r="F678">
        <v>10</v>
      </c>
      <c r="G678">
        <v>125</v>
      </c>
      <c r="H678">
        <v>135625</v>
      </c>
      <c r="I678" s="43" t="s">
        <v>1114</v>
      </c>
      <c r="J678">
        <v>115281.25</v>
      </c>
      <c r="K678">
        <v>130200</v>
      </c>
      <c r="L678" s="43" t="s">
        <v>1115</v>
      </c>
      <c r="M678" s="44">
        <v>41913</v>
      </c>
      <c r="N678">
        <v>10</v>
      </c>
      <c r="O678" s="43" t="s">
        <v>34</v>
      </c>
      <c r="P678">
        <v>2014</v>
      </c>
    </row>
    <row r="679" spans="1:16" x14ac:dyDescent="0.2">
      <c r="A679" s="43" t="s">
        <v>21</v>
      </c>
      <c r="B679" s="43" t="s">
        <v>20</v>
      </c>
      <c r="C679" s="43" t="s">
        <v>36</v>
      </c>
      <c r="D679" s="43" t="s">
        <v>46</v>
      </c>
      <c r="E679">
        <v>1175</v>
      </c>
      <c r="F679">
        <v>10</v>
      </c>
      <c r="G679">
        <v>15</v>
      </c>
      <c r="H679">
        <v>17625</v>
      </c>
      <c r="I679" s="43" t="s">
        <v>1130</v>
      </c>
      <c r="J679">
        <v>14981.25</v>
      </c>
      <c r="K679">
        <v>11750</v>
      </c>
      <c r="L679" s="43" t="s">
        <v>1131</v>
      </c>
      <c r="M679" s="44">
        <v>41913</v>
      </c>
      <c r="N679">
        <v>10</v>
      </c>
      <c r="O679" s="43" t="s">
        <v>34</v>
      </c>
      <c r="P679">
        <v>2014</v>
      </c>
    </row>
    <row r="680" spans="1:16" x14ac:dyDescent="0.2">
      <c r="A680" s="43" t="s">
        <v>15</v>
      </c>
      <c r="B680" s="43" t="s">
        <v>35</v>
      </c>
      <c r="C680" s="43" t="s">
        <v>36</v>
      </c>
      <c r="D680" s="43" t="s">
        <v>46</v>
      </c>
      <c r="E680">
        <v>2007</v>
      </c>
      <c r="F680">
        <v>10</v>
      </c>
      <c r="G680">
        <v>350</v>
      </c>
      <c r="H680">
        <v>702450</v>
      </c>
      <c r="I680" s="43" t="s">
        <v>1132</v>
      </c>
      <c r="J680">
        <v>597082.5</v>
      </c>
      <c r="K680">
        <v>521820</v>
      </c>
      <c r="L680" s="43" t="s">
        <v>1133</v>
      </c>
      <c r="M680" s="44">
        <v>41579</v>
      </c>
      <c r="N680">
        <v>11</v>
      </c>
      <c r="O680" s="43" t="s">
        <v>38</v>
      </c>
      <c r="P680">
        <v>2013</v>
      </c>
    </row>
    <row r="681" spans="1:16" x14ac:dyDescent="0.2">
      <c r="A681" s="43" t="s">
        <v>15</v>
      </c>
      <c r="B681" s="43" t="s">
        <v>24</v>
      </c>
      <c r="C681" s="43" t="s">
        <v>36</v>
      </c>
      <c r="D681" s="43" t="s">
        <v>46</v>
      </c>
      <c r="E681">
        <v>2151</v>
      </c>
      <c r="F681">
        <v>10</v>
      </c>
      <c r="G681">
        <v>350</v>
      </c>
      <c r="H681">
        <v>752850</v>
      </c>
      <c r="I681" s="43" t="s">
        <v>1134</v>
      </c>
      <c r="J681">
        <v>639922.5</v>
      </c>
      <c r="K681">
        <v>559260</v>
      </c>
      <c r="L681" s="43" t="s">
        <v>1135</v>
      </c>
      <c r="M681" s="44">
        <v>41579</v>
      </c>
      <c r="N681">
        <v>11</v>
      </c>
      <c r="O681" s="43" t="s">
        <v>38</v>
      </c>
      <c r="P681">
        <v>2013</v>
      </c>
    </row>
    <row r="682" spans="1:16" x14ac:dyDescent="0.2">
      <c r="A682" s="43" t="s">
        <v>28</v>
      </c>
      <c r="B682" s="43" t="s">
        <v>35</v>
      </c>
      <c r="C682" s="43" t="s">
        <v>36</v>
      </c>
      <c r="D682" s="43" t="s">
        <v>46</v>
      </c>
      <c r="E682">
        <v>914</v>
      </c>
      <c r="F682">
        <v>10</v>
      </c>
      <c r="G682">
        <v>12</v>
      </c>
      <c r="H682">
        <v>10968</v>
      </c>
      <c r="I682" s="43" t="s">
        <v>1136</v>
      </c>
      <c r="J682">
        <v>9322.7999999999993</v>
      </c>
      <c r="K682">
        <v>2742</v>
      </c>
      <c r="L682" s="43" t="s">
        <v>1137</v>
      </c>
      <c r="M682" s="44">
        <v>41974</v>
      </c>
      <c r="N682">
        <v>12</v>
      </c>
      <c r="O682" s="43" t="s">
        <v>25</v>
      </c>
      <c r="P682">
        <v>2014</v>
      </c>
    </row>
    <row r="683" spans="1:16" x14ac:dyDescent="0.2">
      <c r="A683" s="43" t="s">
        <v>15</v>
      </c>
      <c r="B683" s="43" t="s">
        <v>22</v>
      </c>
      <c r="C683" s="43" t="s">
        <v>36</v>
      </c>
      <c r="D683" s="43" t="s">
        <v>46</v>
      </c>
      <c r="E683">
        <v>293</v>
      </c>
      <c r="F683">
        <v>10</v>
      </c>
      <c r="G683">
        <v>20</v>
      </c>
      <c r="H683">
        <v>5860</v>
      </c>
      <c r="I683" s="43" t="s">
        <v>1138</v>
      </c>
      <c r="J683">
        <v>4981</v>
      </c>
      <c r="K683">
        <v>2930</v>
      </c>
      <c r="L683" s="43" t="s">
        <v>1139</v>
      </c>
      <c r="M683" s="44">
        <v>41974</v>
      </c>
      <c r="N683">
        <v>12</v>
      </c>
      <c r="O683" s="43" t="s">
        <v>25</v>
      </c>
      <c r="P683">
        <v>2014</v>
      </c>
    </row>
    <row r="684" spans="1:16" x14ac:dyDescent="0.2">
      <c r="A684" s="43" t="s">
        <v>28</v>
      </c>
      <c r="B684" s="43" t="s">
        <v>24</v>
      </c>
      <c r="C684" s="43" t="s">
        <v>39</v>
      </c>
      <c r="D684" s="43" t="s">
        <v>46</v>
      </c>
      <c r="E684">
        <v>500</v>
      </c>
      <c r="F684">
        <v>120</v>
      </c>
      <c r="G684">
        <v>12</v>
      </c>
      <c r="H684">
        <v>6000</v>
      </c>
      <c r="I684" s="43" t="s">
        <v>1140</v>
      </c>
      <c r="J684">
        <v>5100</v>
      </c>
      <c r="K684">
        <v>1500</v>
      </c>
      <c r="L684" s="43" t="s">
        <v>1141</v>
      </c>
      <c r="M684" s="44">
        <v>41699</v>
      </c>
      <c r="N684">
        <v>3</v>
      </c>
      <c r="O684" s="43" t="s">
        <v>27</v>
      </c>
      <c r="P684">
        <v>2014</v>
      </c>
    </row>
    <row r="685" spans="1:16" x14ac:dyDescent="0.2">
      <c r="A685" s="43" t="s">
        <v>21</v>
      </c>
      <c r="B685" s="43" t="s">
        <v>22</v>
      </c>
      <c r="C685" s="43" t="s">
        <v>39</v>
      </c>
      <c r="D685" s="43" t="s">
        <v>46</v>
      </c>
      <c r="E685">
        <v>2826</v>
      </c>
      <c r="F685">
        <v>120</v>
      </c>
      <c r="G685">
        <v>15</v>
      </c>
      <c r="H685">
        <v>42390</v>
      </c>
      <c r="I685" s="43" t="s">
        <v>1142</v>
      </c>
      <c r="J685">
        <v>36031.5</v>
      </c>
      <c r="K685">
        <v>28260</v>
      </c>
      <c r="L685" s="43" t="s">
        <v>1143</v>
      </c>
      <c r="M685" s="44">
        <v>41760</v>
      </c>
      <c r="N685">
        <v>5</v>
      </c>
      <c r="O685" s="43" t="s">
        <v>44</v>
      </c>
      <c r="P685">
        <v>2014</v>
      </c>
    </row>
    <row r="686" spans="1:16" x14ac:dyDescent="0.2">
      <c r="A686" s="43" t="s">
        <v>29</v>
      </c>
      <c r="B686" s="43" t="s">
        <v>22</v>
      </c>
      <c r="C686" s="43" t="s">
        <v>39</v>
      </c>
      <c r="D686" s="43" t="s">
        <v>46</v>
      </c>
      <c r="E686">
        <v>663</v>
      </c>
      <c r="F686">
        <v>120</v>
      </c>
      <c r="G686">
        <v>125</v>
      </c>
      <c r="H686">
        <v>82875</v>
      </c>
      <c r="I686" s="43" t="s">
        <v>1144</v>
      </c>
      <c r="J686">
        <v>70443.75</v>
      </c>
      <c r="K686">
        <v>79560</v>
      </c>
      <c r="L686" s="43" t="s">
        <v>1145</v>
      </c>
      <c r="M686" s="44">
        <v>41883</v>
      </c>
      <c r="N686">
        <v>9</v>
      </c>
      <c r="O686" s="43" t="s">
        <v>33</v>
      </c>
      <c r="P686">
        <v>2014</v>
      </c>
    </row>
    <row r="687" spans="1:16" x14ac:dyDescent="0.2">
      <c r="A687" s="43" t="s">
        <v>31</v>
      </c>
      <c r="B687" s="43" t="s">
        <v>35</v>
      </c>
      <c r="C687" s="43" t="s">
        <v>39</v>
      </c>
      <c r="D687" s="43" t="s">
        <v>46</v>
      </c>
      <c r="E687">
        <v>2574</v>
      </c>
      <c r="F687">
        <v>120</v>
      </c>
      <c r="G687">
        <v>300</v>
      </c>
      <c r="H687">
        <v>772200</v>
      </c>
      <c r="I687" s="43" t="s">
        <v>1146</v>
      </c>
      <c r="J687">
        <v>656370</v>
      </c>
      <c r="K687">
        <v>643500</v>
      </c>
      <c r="L687" s="43" t="s">
        <v>1147</v>
      </c>
      <c r="M687" s="44">
        <v>41579</v>
      </c>
      <c r="N687">
        <v>11</v>
      </c>
      <c r="O687" s="43" t="s">
        <v>38</v>
      </c>
      <c r="P687">
        <v>2013</v>
      </c>
    </row>
    <row r="688" spans="1:16" x14ac:dyDescent="0.2">
      <c r="A688" s="43" t="s">
        <v>29</v>
      </c>
      <c r="B688" s="43" t="s">
        <v>35</v>
      </c>
      <c r="C688" s="43" t="s">
        <v>39</v>
      </c>
      <c r="D688" s="43" t="s">
        <v>46</v>
      </c>
      <c r="E688">
        <v>2438</v>
      </c>
      <c r="F688">
        <v>120</v>
      </c>
      <c r="G688">
        <v>125</v>
      </c>
      <c r="H688">
        <v>304750</v>
      </c>
      <c r="I688" s="43" t="s">
        <v>1148</v>
      </c>
      <c r="J688">
        <v>259037.5</v>
      </c>
      <c r="K688">
        <v>292560</v>
      </c>
      <c r="L688" s="43" t="s">
        <v>1149</v>
      </c>
      <c r="M688" s="44">
        <v>41609</v>
      </c>
      <c r="N688">
        <v>12</v>
      </c>
      <c r="O688" s="43" t="s">
        <v>25</v>
      </c>
      <c r="P688">
        <v>2013</v>
      </c>
    </row>
    <row r="689" spans="1:16" x14ac:dyDescent="0.2">
      <c r="A689" s="43" t="s">
        <v>28</v>
      </c>
      <c r="B689" s="43" t="s">
        <v>35</v>
      </c>
      <c r="C689" s="43" t="s">
        <v>39</v>
      </c>
      <c r="D689" s="43" t="s">
        <v>46</v>
      </c>
      <c r="E689">
        <v>914</v>
      </c>
      <c r="F689">
        <v>120</v>
      </c>
      <c r="G689">
        <v>12</v>
      </c>
      <c r="H689">
        <v>10968</v>
      </c>
      <c r="I689" s="43" t="s">
        <v>1136</v>
      </c>
      <c r="J689">
        <v>9322.7999999999993</v>
      </c>
      <c r="K689">
        <v>2742</v>
      </c>
      <c r="L689" s="43" t="s">
        <v>1137</v>
      </c>
      <c r="M689" s="44">
        <v>41974</v>
      </c>
      <c r="N689">
        <v>12</v>
      </c>
      <c r="O689" s="43" t="s">
        <v>25</v>
      </c>
      <c r="P689">
        <v>2014</v>
      </c>
    </row>
    <row r="690" spans="1:16" x14ac:dyDescent="0.2">
      <c r="A690" s="43" t="s">
        <v>15</v>
      </c>
      <c r="B690" s="43" t="s">
        <v>16</v>
      </c>
      <c r="C690" s="43" t="s">
        <v>40</v>
      </c>
      <c r="D690" s="43" t="s">
        <v>46</v>
      </c>
      <c r="E690">
        <v>865.5</v>
      </c>
      <c r="F690">
        <v>250</v>
      </c>
      <c r="G690">
        <v>20</v>
      </c>
      <c r="H690">
        <v>17310</v>
      </c>
      <c r="I690" s="43" t="s">
        <v>1150</v>
      </c>
      <c r="J690">
        <v>14713.5</v>
      </c>
      <c r="K690">
        <v>8655</v>
      </c>
      <c r="L690" s="43" t="s">
        <v>1151</v>
      </c>
      <c r="M690" s="44">
        <v>41821</v>
      </c>
      <c r="N690">
        <v>7</v>
      </c>
      <c r="O690" s="43" t="s">
        <v>30</v>
      </c>
      <c r="P690">
        <v>2014</v>
      </c>
    </row>
    <row r="691" spans="1:16" x14ac:dyDescent="0.2">
      <c r="A691" s="43" t="s">
        <v>21</v>
      </c>
      <c r="B691" s="43" t="s">
        <v>20</v>
      </c>
      <c r="C691" s="43" t="s">
        <v>40</v>
      </c>
      <c r="D691" s="43" t="s">
        <v>46</v>
      </c>
      <c r="E691">
        <v>492</v>
      </c>
      <c r="F691">
        <v>250</v>
      </c>
      <c r="G691">
        <v>15</v>
      </c>
      <c r="H691">
        <v>7380</v>
      </c>
      <c r="I691" s="43" t="s">
        <v>1152</v>
      </c>
      <c r="J691">
        <v>6273</v>
      </c>
      <c r="K691">
        <v>4920</v>
      </c>
      <c r="L691" s="43" t="s">
        <v>1153</v>
      </c>
      <c r="M691" s="44">
        <v>41821</v>
      </c>
      <c r="N691">
        <v>7</v>
      </c>
      <c r="O691" s="43" t="s">
        <v>30</v>
      </c>
      <c r="P691">
        <v>2014</v>
      </c>
    </row>
    <row r="692" spans="1:16" x14ac:dyDescent="0.2">
      <c r="A692" s="43" t="s">
        <v>15</v>
      </c>
      <c r="B692" s="43" t="s">
        <v>35</v>
      </c>
      <c r="C692" s="43" t="s">
        <v>40</v>
      </c>
      <c r="D692" s="43" t="s">
        <v>46</v>
      </c>
      <c r="E692">
        <v>267</v>
      </c>
      <c r="F692">
        <v>250</v>
      </c>
      <c r="G692">
        <v>20</v>
      </c>
      <c r="H692">
        <v>5340</v>
      </c>
      <c r="I692" s="43" t="s">
        <v>1128</v>
      </c>
      <c r="J692">
        <v>4539</v>
      </c>
      <c r="K692">
        <v>2670</v>
      </c>
      <c r="L692" s="43" t="s">
        <v>1129</v>
      </c>
      <c r="M692" s="44">
        <v>41548</v>
      </c>
      <c r="N692">
        <v>10</v>
      </c>
      <c r="O692" s="43" t="s">
        <v>34</v>
      </c>
      <c r="P692">
        <v>2013</v>
      </c>
    </row>
    <row r="693" spans="1:16" x14ac:dyDescent="0.2">
      <c r="A693" s="43" t="s">
        <v>21</v>
      </c>
      <c r="B693" s="43" t="s">
        <v>20</v>
      </c>
      <c r="C693" s="43" t="s">
        <v>40</v>
      </c>
      <c r="D693" s="43" t="s">
        <v>46</v>
      </c>
      <c r="E693">
        <v>1175</v>
      </c>
      <c r="F693">
        <v>250</v>
      </c>
      <c r="G693">
        <v>15</v>
      </c>
      <c r="H693">
        <v>17625</v>
      </c>
      <c r="I693" s="43" t="s">
        <v>1130</v>
      </c>
      <c r="J693">
        <v>14981.25</v>
      </c>
      <c r="K693">
        <v>11750</v>
      </c>
      <c r="L693" s="43" t="s">
        <v>1131</v>
      </c>
      <c r="M693" s="44">
        <v>41913</v>
      </c>
      <c r="N693">
        <v>10</v>
      </c>
      <c r="O693" s="43" t="s">
        <v>34</v>
      </c>
      <c r="P693">
        <v>2014</v>
      </c>
    </row>
    <row r="694" spans="1:16" x14ac:dyDescent="0.2">
      <c r="A694" s="43" t="s">
        <v>29</v>
      </c>
      <c r="B694" s="43" t="s">
        <v>16</v>
      </c>
      <c r="C694" s="43" t="s">
        <v>40</v>
      </c>
      <c r="D694" s="43" t="s">
        <v>46</v>
      </c>
      <c r="E694">
        <v>2954</v>
      </c>
      <c r="F694">
        <v>250</v>
      </c>
      <c r="G694">
        <v>125</v>
      </c>
      <c r="H694">
        <v>369250</v>
      </c>
      <c r="I694" s="43" t="s">
        <v>1154</v>
      </c>
      <c r="J694">
        <v>313862.5</v>
      </c>
      <c r="K694">
        <v>354480</v>
      </c>
      <c r="L694" s="43" t="s">
        <v>1155</v>
      </c>
      <c r="M694" s="44">
        <v>41579</v>
      </c>
      <c r="N694">
        <v>11</v>
      </c>
      <c r="O694" s="43" t="s">
        <v>38</v>
      </c>
      <c r="P694">
        <v>2013</v>
      </c>
    </row>
    <row r="695" spans="1:16" x14ac:dyDescent="0.2">
      <c r="A695" s="43" t="s">
        <v>29</v>
      </c>
      <c r="B695" s="43" t="s">
        <v>20</v>
      </c>
      <c r="C695" s="43" t="s">
        <v>40</v>
      </c>
      <c r="D695" s="43" t="s">
        <v>46</v>
      </c>
      <c r="E695">
        <v>552</v>
      </c>
      <c r="F695">
        <v>250</v>
      </c>
      <c r="G695">
        <v>125</v>
      </c>
      <c r="H695">
        <v>69000</v>
      </c>
      <c r="I695" s="43" t="s">
        <v>1156</v>
      </c>
      <c r="J695">
        <v>58650</v>
      </c>
      <c r="K695">
        <v>66240</v>
      </c>
      <c r="L695" s="43" t="s">
        <v>1157</v>
      </c>
      <c r="M695" s="44">
        <v>41944</v>
      </c>
      <c r="N695">
        <v>11</v>
      </c>
      <c r="O695" s="43" t="s">
        <v>38</v>
      </c>
      <c r="P695">
        <v>2014</v>
      </c>
    </row>
    <row r="696" spans="1:16" x14ac:dyDescent="0.2">
      <c r="A696" s="43" t="s">
        <v>15</v>
      </c>
      <c r="B696" s="43" t="s">
        <v>22</v>
      </c>
      <c r="C696" s="43" t="s">
        <v>40</v>
      </c>
      <c r="D696" s="43" t="s">
        <v>46</v>
      </c>
      <c r="E696">
        <v>293</v>
      </c>
      <c r="F696">
        <v>250</v>
      </c>
      <c r="G696">
        <v>20</v>
      </c>
      <c r="H696">
        <v>5860</v>
      </c>
      <c r="I696" s="43" t="s">
        <v>1138</v>
      </c>
      <c r="J696">
        <v>4981</v>
      </c>
      <c r="K696">
        <v>2930</v>
      </c>
      <c r="L696" s="43" t="s">
        <v>1139</v>
      </c>
      <c r="M696" s="44">
        <v>41974</v>
      </c>
      <c r="N696">
        <v>12</v>
      </c>
      <c r="O696" s="43" t="s">
        <v>25</v>
      </c>
      <c r="P696">
        <v>2014</v>
      </c>
    </row>
    <row r="697" spans="1:16" x14ac:dyDescent="0.2">
      <c r="A697" s="43" t="s">
        <v>31</v>
      </c>
      <c r="B697" s="43" t="s">
        <v>22</v>
      </c>
      <c r="C697" s="43" t="s">
        <v>42</v>
      </c>
      <c r="D697" s="43" t="s">
        <v>46</v>
      </c>
      <c r="E697">
        <v>2475</v>
      </c>
      <c r="F697">
        <v>260</v>
      </c>
      <c r="G697">
        <v>300</v>
      </c>
      <c r="H697">
        <v>742500</v>
      </c>
      <c r="I697" s="43" t="s">
        <v>1158</v>
      </c>
      <c r="J697">
        <v>631125</v>
      </c>
      <c r="K697">
        <v>618750</v>
      </c>
      <c r="L697" s="43" t="s">
        <v>1159</v>
      </c>
      <c r="M697" s="44">
        <v>41699</v>
      </c>
      <c r="N697">
        <v>3</v>
      </c>
      <c r="O697" s="43" t="s">
        <v>27</v>
      </c>
      <c r="P697">
        <v>2014</v>
      </c>
    </row>
    <row r="698" spans="1:16" x14ac:dyDescent="0.2">
      <c r="A698" s="43" t="s">
        <v>31</v>
      </c>
      <c r="B698" s="43" t="s">
        <v>24</v>
      </c>
      <c r="C698" s="43" t="s">
        <v>42</v>
      </c>
      <c r="D698" s="43" t="s">
        <v>46</v>
      </c>
      <c r="E698">
        <v>546</v>
      </c>
      <c r="F698">
        <v>260</v>
      </c>
      <c r="G698">
        <v>300</v>
      </c>
      <c r="H698">
        <v>163800</v>
      </c>
      <c r="I698" s="43" t="s">
        <v>1116</v>
      </c>
      <c r="J698">
        <v>139230</v>
      </c>
      <c r="K698">
        <v>136500</v>
      </c>
      <c r="L698" s="43" t="s">
        <v>1117</v>
      </c>
      <c r="M698" s="44">
        <v>41913</v>
      </c>
      <c r="N698">
        <v>10</v>
      </c>
      <c r="O698" s="43" t="s">
        <v>34</v>
      </c>
      <c r="P698">
        <v>2014</v>
      </c>
    </row>
    <row r="699" spans="1:16" x14ac:dyDescent="0.2">
      <c r="A699" s="43" t="s">
        <v>15</v>
      </c>
      <c r="B699" s="43" t="s">
        <v>24</v>
      </c>
      <c r="C699" s="43" t="s">
        <v>26</v>
      </c>
      <c r="D699" s="43" t="s">
        <v>46</v>
      </c>
      <c r="E699">
        <v>1368</v>
      </c>
      <c r="F699">
        <v>5</v>
      </c>
      <c r="G699">
        <v>7</v>
      </c>
      <c r="H699">
        <v>9576</v>
      </c>
      <c r="I699" s="43" t="s">
        <v>1160</v>
      </c>
      <c r="J699">
        <v>8139.6</v>
      </c>
      <c r="K699">
        <v>6840</v>
      </c>
      <c r="L699" s="43" t="s">
        <v>1161</v>
      </c>
      <c r="M699" s="44">
        <v>41671</v>
      </c>
      <c r="N699">
        <v>2</v>
      </c>
      <c r="O699" s="43" t="s">
        <v>37</v>
      </c>
      <c r="P699">
        <v>2014</v>
      </c>
    </row>
    <row r="700" spans="1:16" x14ac:dyDescent="0.2">
      <c r="A700" s="43" t="s">
        <v>15</v>
      </c>
      <c r="B700" s="43" t="s">
        <v>16</v>
      </c>
      <c r="C700" s="43" t="s">
        <v>36</v>
      </c>
      <c r="D700" s="43" t="s">
        <v>46</v>
      </c>
      <c r="E700">
        <v>723</v>
      </c>
      <c r="F700">
        <v>10</v>
      </c>
      <c r="G700">
        <v>7</v>
      </c>
      <c r="H700">
        <v>5061</v>
      </c>
      <c r="I700" s="43" t="s">
        <v>1162</v>
      </c>
      <c r="J700">
        <v>4301.8500000000004</v>
      </c>
      <c r="K700">
        <v>3615</v>
      </c>
      <c r="L700" s="43" t="s">
        <v>1163</v>
      </c>
      <c r="M700" s="44">
        <v>41730</v>
      </c>
      <c r="N700">
        <v>4</v>
      </c>
      <c r="O700" s="43" t="s">
        <v>41</v>
      </c>
      <c r="P700">
        <v>2014</v>
      </c>
    </row>
    <row r="701" spans="1:16" x14ac:dyDescent="0.2">
      <c r="A701" s="43" t="s">
        <v>28</v>
      </c>
      <c r="B701" s="43" t="s">
        <v>35</v>
      </c>
      <c r="C701" s="43" t="s">
        <v>40</v>
      </c>
      <c r="D701" s="43" t="s">
        <v>46</v>
      </c>
      <c r="E701">
        <v>1806</v>
      </c>
      <c r="F701">
        <v>250</v>
      </c>
      <c r="G701">
        <v>12</v>
      </c>
      <c r="H701">
        <v>21672</v>
      </c>
      <c r="I701" s="43" t="s">
        <v>1164</v>
      </c>
      <c r="J701">
        <v>18421.2</v>
      </c>
      <c r="K701">
        <v>5418</v>
      </c>
      <c r="L701" s="43" t="s">
        <v>1165</v>
      </c>
      <c r="M701" s="44">
        <v>41760</v>
      </c>
      <c r="N701">
        <v>5</v>
      </c>
      <c r="O701" s="43" t="s">
        <v>44</v>
      </c>
      <c r="P701">
        <v>2014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E4EC-B615-E34E-9D36-17F0195E8B19}">
  <dimension ref="A1:W701"/>
  <sheetViews>
    <sheetView topLeftCell="I1" workbookViewId="0">
      <selection activeCell="P2" sqref="P2"/>
    </sheetView>
  </sheetViews>
  <sheetFormatPr baseColWidth="10" defaultRowHeight="16" x14ac:dyDescent="0.2"/>
  <cols>
    <col min="1" max="1" width="15" bestFit="1" customWidth="1"/>
    <col min="2" max="2" width="22.1640625" bestFit="1" customWidth="1"/>
    <col min="4" max="4" width="16.5" bestFit="1" customWidth="1"/>
    <col min="5" max="5" width="13" style="27" bestFit="1" customWidth="1"/>
    <col min="6" max="6" width="21.33203125" style="27" bestFit="1" customWidth="1"/>
    <col min="7" max="7" width="12.6640625" style="27" bestFit="1" customWidth="1"/>
    <col min="8" max="8" width="14.1640625" style="27" bestFit="1" customWidth="1"/>
    <col min="9" max="9" width="12.6640625" style="5" bestFit="1" customWidth="1"/>
    <col min="10" max="10" width="10.6640625" style="27" bestFit="1" customWidth="1"/>
    <col min="11" max="11" width="9.6640625" style="27" bestFit="1" customWidth="1"/>
    <col min="12" max="12" width="12.1640625" style="5" bestFit="1" customWidth="1"/>
    <col min="13" max="13" width="10.83203125" style="28" bestFit="1" customWidth="1"/>
    <col min="14" max="14" width="16.1640625" style="3" bestFit="1" customWidth="1"/>
    <col min="15" max="15" width="15.5" style="29" bestFit="1" customWidth="1"/>
    <col min="16" max="16" width="7.6640625" style="3" bestFit="1" customWidth="1"/>
    <col min="17" max="17" width="18.5" style="6" customWidth="1"/>
    <col min="18" max="18" width="20.1640625" customWidth="1"/>
  </cols>
  <sheetData>
    <row r="1" spans="1:23" x14ac:dyDescent="0.2">
      <c r="A1" t="s">
        <v>0</v>
      </c>
      <c r="B1" t="s">
        <v>1</v>
      </c>
      <c r="C1" t="s">
        <v>2</v>
      </c>
      <c r="D1" t="s">
        <v>3</v>
      </c>
      <c r="E1" s="27" t="s">
        <v>4</v>
      </c>
      <c r="F1" s="27" t="s">
        <v>5</v>
      </c>
      <c r="G1" s="27" t="s">
        <v>6</v>
      </c>
      <c r="H1" s="27" t="s">
        <v>7</v>
      </c>
      <c r="I1" s="5" t="s">
        <v>8</v>
      </c>
      <c r="J1" s="27" t="s">
        <v>9</v>
      </c>
      <c r="K1" s="27" t="s">
        <v>10</v>
      </c>
      <c r="L1" s="5" t="s">
        <v>88</v>
      </c>
      <c r="M1" s="28" t="s">
        <v>11</v>
      </c>
      <c r="N1" s="3" t="s">
        <v>12</v>
      </c>
      <c r="O1" s="29" t="s">
        <v>13</v>
      </c>
      <c r="P1" s="3" t="s">
        <v>14</v>
      </c>
      <c r="Q1" s="26" t="s">
        <v>50</v>
      </c>
      <c r="R1" s="4" t="s">
        <v>51</v>
      </c>
      <c r="S1" s="4" t="s">
        <v>52</v>
      </c>
      <c r="T1" s="8" t="s">
        <v>59</v>
      </c>
      <c r="U1" s="4" t="s">
        <v>53</v>
      </c>
      <c r="V1" s="4" t="s">
        <v>54</v>
      </c>
      <c r="W1" t="s">
        <v>90</v>
      </c>
    </row>
    <row r="2" spans="1:23" x14ac:dyDescent="0.2">
      <c r="A2" t="s">
        <v>15</v>
      </c>
      <c r="B2" t="s">
        <v>16</v>
      </c>
      <c r="C2" t="s">
        <v>17</v>
      </c>
      <c r="D2" t="s">
        <v>18</v>
      </c>
      <c r="E2" s="27">
        <v>1618.5</v>
      </c>
      <c r="F2" s="27">
        <v>3</v>
      </c>
      <c r="G2" s="27">
        <v>20</v>
      </c>
      <c r="H2" s="27">
        <v>32370</v>
      </c>
      <c r="I2" s="5">
        <v>0</v>
      </c>
      <c r="J2" s="27">
        <v>32370</v>
      </c>
      <c r="K2" s="27">
        <v>16185</v>
      </c>
      <c r="L2" s="5">
        <v>16185</v>
      </c>
      <c r="M2" s="28">
        <v>41640</v>
      </c>
      <c r="N2" s="3">
        <v>1</v>
      </c>
      <c r="O2" s="29" t="s">
        <v>19</v>
      </c>
      <c r="P2" s="3">
        <v>2014</v>
      </c>
      <c r="Q2" s="6">
        <f>New_Finance_Data[[#This Row],[ Profit ]]/New_Finance_Data[[#This Row],[  Sales ]]</f>
        <v>0.5</v>
      </c>
      <c r="R2" t="str">
        <f>IF(New_Finance_Data[[#This Row],[  Sales ]]&gt;=100000,"High",IF(New_Finance_Data[[#This Row],[  Sales ]]&gt;=50000,"Medium","Low"))</f>
        <v>Low</v>
      </c>
      <c r="S2" t="str">
        <f>IF(OR(ISBLANK(New_Finance_Data[[#This Row],[  Sales ]]),ISBLANK(New_Finance_Data[[#This Row],[ Profit ]])),"Missing","OK")</f>
        <v>OK</v>
      </c>
      <c r="T2" t="str">
        <f>TEXT(New_Finance_Data[[#This Row],[Date]],"MMM-YYYY")</f>
        <v>Jan-2014</v>
      </c>
      <c r="U2" t="str">
        <f>IF(New_Finance_Data[[#This Row],[ Profit ]]&gt;0,"Profit","Loss")</f>
        <v>Profit</v>
      </c>
      <c r="V2" t="str">
        <f>IF(New_Finance_Data[[#This Row],[  Sales ]]&gt;=50000,"High Sales","Low Sales")</f>
        <v>Low Sales</v>
      </c>
      <c r="W2" t="b">
        <f>ISNUMBER(New_Finance_Data[[#This Row],[Date]])</f>
        <v>1</v>
      </c>
    </row>
    <row r="3" spans="1:23" x14ac:dyDescent="0.2">
      <c r="A3" t="s">
        <v>15</v>
      </c>
      <c r="B3" t="s">
        <v>20</v>
      </c>
      <c r="C3" t="s">
        <v>17</v>
      </c>
      <c r="D3" t="s">
        <v>18</v>
      </c>
      <c r="E3" s="27">
        <v>1321</v>
      </c>
      <c r="F3" s="27">
        <v>3</v>
      </c>
      <c r="G3" s="27">
        <v>20</v>
      </c>
      <c r="H3" s="27">
        <v>26420</v>
      </c>
      <c r="I3" s="5">
        <v>0</v>
      </c>
      <c r="J3" s="27">
        <v>26420</v>
      </c>
      <c r="K3" s="27">
        <v>13210</v>
      </c>
      <c r="L3" s="5">
        <v>13210</v>
      </c>
      <c r="M3" s="28">
        <v>41640</v>
      </c>
      <c r="N3" s="3">
        <v>1</v>
      </c>
      <c r="O3" s="29" t="s">
        <v>19</v>
      </c>
      <c r="P3" s="3">
        <v>2014</v>
      </c>
      <c r="Q3" s="6">
        <f>New_Finance_Data[[#This Row],[ Profit ]]/New_Finance_Data[[#This Row],[  Sales ]]</f>
        <v>0.5</v>
      </c>
      <c r="R3" t="str">
        <f>IF(New_Finance_Data[[#This Row],[  Sales ]]&gt;=100000,"High",IF(New_Finance_Data[[#This Row],[  Sales ]]&gt;=50000,"Medium","Low"))</f>
        <v>Low</v>
      </c>
      <c r="S3" t="str">
        <f>IF(OR(ISBLANK(New_Finance_Data[[#This Row],[  Sales ]]),ISBLANK(New_Finance_Data[[#This Row],[ Profit ]])),"Missing","OK")</f>
        <v>OK</v>
      </c>
      <c r="T3" t="str">
        <f>TEXT(New_Finance_Data[[#This Row],[Date]],"MMM-YYYY")</f>
        <v>Jan-2014</v>
      </c>
      <c r="U3" t="str">
        <f>IF(New_Finance_Data[[#This Row],[ Profit ]]&gt;0,"Profit","Loss")</f>
        <v>Profit</v>
      </c>
      <c r="V3" t="str">
        <f>IF(New_Finance_Data[[#This Row],[  Sales ]]&gt;=50000,"High Sales","Low Sales")</f>
        <v>Low Sales</v>
      </c>
      <c r="W3" t="b">
        <f>ISNUMBER(New_Finance_Data[[#This Row],[Date]])</f>
        <v>1</v>
      </c>
    </row>
    <row r="4" spans="1:23" x14ac:dyDescent="0.2">
      <c r="A4" t="s">
        <v>21</v>
      </c>
      <c r="B4" t="s">
        <v>22</v>
      </c>
      <c r="C4" t="s">
        <v>17</v>
      </c>
      <c r="D4" t="s">
        <v>18</v>
      </c>
      <c r="E4" s="27">
        <v>2178</v>
      </c>
      <c r="F4" s="27">
        <v>3</v>
      </c>
      <c r="G4" s="27">
        <v>15</v>
      </c>
      <c r="H4" s="27">
        <v>32670</v>
      </c>
      <c r="I4" s="5">
        <v>0</v>
      </c>
      <c r="J4" s="27">
        <v>32670</v>
      </c>
      <c r="K4" s="27">
        <v>21780</v>
      </c>
      <c r="L4" s="5">
        <v>10890</v>
      </c>
      <c r="M4" s="28">
        <v>41791</v>
      </c>
      <c r="N4" s="3">
        <v>6</v>
      </c>
      <c r="O4" s="29" t="s">
        <v>23</v>
      </c>
      <c r="P4" s="3">
        <v>2014</v>
      </c>
      <c r="Q4" s="6">
        <f>New_Finance_Data[[#This Row],[ Profit ]]/New_Finance_Data[[#This Row],[  Sales ]]</f>
        <v>0.33333333333333331</v>
      </c>
      <c r="R4" t="str">
        <f>IF(New_Finance_Data[[#This Row],[  Sales ]]&gt;=100000,"High",IF(New_Finance_Data[[#This Row],[  Sales ]]&gt;=50000,"Medium","Low"))</f>
        <v>Low</v>
      </c>
      <c r="S4" t="str">
        <f>IF(OR(ISBLANK(New_Finance_Data[[#This Row],[  Sales ]]),ISBLANK(New_Finance_Data[[#This Row],[ Profit ]])),"Missing","OK")</f>
        <v>OK</v>
      </c>
      <c r="T4" t="str">
        <f>TEXT(New_Finance_Data[[#This Row],[Date]],"MMM-YYYY")</f>
        <v>Jun-2014</v>
      </c>
      <c r="U4" t="str">
        <f>IF(New_Finance_Data[[#This Row],[ Profit ]]&gt;0,"Profit","Loss")</f>
        <v>Profit</v>
      </c>
      <c r="V4" t="str">
        <f>IF(New_Finance_Data[[#This Row],[  Sales ]]&gt;=50000,"High Sales","Low Sales")</f>
        <v>Low Sales</v>
      </c>
      <c r="W4" t="b">
        <f>ISNUMBER(New_Finance_Data[[#This Row],[Date]])</f>
        <v>1</v>
      </c>
    </row>
    <row r="5" spans="1:23" x14ac:dyDescent="0.2">
      <c r="A5" t="s">
        <v>21</v>
      </c>
      <c r="B5" t="s">
        <v>20</v>
      </c>
      <c r="C5" t="s">
        <v>17</v>
      </c>
      <c r="D5" t="s">
        <v>18</v>
      </c>
      <c r="E5" s="27">
        <v>888</v>
      </c>
      <c r="F5" s="27">
        <v>3</v>
      </c>
      <c r="G5" s="27">
        <v>15</v>
      </c>
      <c r="H5" s="27">
        <v>13320</v>
      </c>
      <c r="I5" s="5">
        <v>0</v>
      </c>
      <c r="J5" s="27">
        <v>13320</v>
      </c>
      <c r="K5" s="27">
        <v>8880</v>
      </c>
      <c r="L5" s="5">
        <v>4440</v>
      </c>
      <c r="M5" s="28">
        <v>41791</v>
      </c>
      <c r="N5" s="3">
        <v>6</v>
      </c>
      <c r="O5" s="29" t="s">
        <v>23</v>
      </c>
      <c r="P5" s="3">
        <v>2014</v>
      </c>
      <c r="Q5" s="6">
        <f>New_Finance_Data[[#This Row],[ Profit ]]/New_Finance_Data[[#This Row],[  Sales ]]</f>
        <v>0.33333333333333331</v>
      </c>
      <c r="R5" t="str">
        <f>IF(New_Finance_Data[[#This Row],[  Sales ]]&gt;=100000,"High",IF(New_Finance_Data[[#This Row],[  Sales ]]&gt;=50000,"Medium","Low"))</f>
        <v>Low</v>
      </c>
      <c r="S5" t="str">
        <f>IF(OR(ISBLANK(New_Finance_Data[[#This Row],[  Sales ]]),ISBLANK(New_Finance_Data[[#This Row],[ Profit ]])),"Missing","OK")</f>
        <v>OK</v>
      </c>
      <c r="T5" t="str">
        <f>TEXT(New_Finance_Data[[#This Row],[Date]],"MMM-YYYY")</f>
        <v>Jun-2014</v>
      </c>
      <c r="U5" t="str">
        <f>IF(New_Finance_Data[[#This Row],[ Profit ]]&gt;0,"Profit","Loss")</f>
        <v>Profit</v>
      </c>
      <c r="V5" t="str">
        <f>IF(New_Finance_Data[[#This Row],[  Sales ]]&gt;=50000,"High Sales","Low Sales")</f>
        <v>Low Sales</v>
      </c>
      <c r="W5" t="b">
        <f>ISNUMBER(New_Finance_Data[[#This Row],[Date]])</f>
        <v>1</v>
      </c>
    </row>
    <row r="6" spans="1:23" x14ac:dyDescent="0.2">
      <c r="A6" t="s">
        <v>21</v>
      </c>
      <c r="B6" t="s">
        <v>24</v>
      </c>
      <c r="C6" t="s">
        <v>17</v>
      </c>
      <c r="D6" t="s">
        <v>18</v>
      </c>
      <c r="E6" s="27">
        <v>2470</v>
      </c>
      <c r="F6" s="27">
        <v>3</v>
      </c>
      <c r="G6" s="27">
        <v>15</v>
      </c>
      <c r="H6" s="27">
        <v>37050</v>
      </c>
      <c r="I6" s="5">
        <v>0</v>
      </c>
      <c r="J6" s="27">
        <v>37050</v>
      </c>
      <c r="K6" s="27">
        <v>24700</v>
      </c>
      <c r="L6" s="5">
        <v>12350</v>
      </c>
      <c r="M6" s="28">
        <v>41791</v>
      </c>
      <c r="N6" s="3">
        <v>6</v>
      </c>
      <c r="O6" s="29" t="s">
        <v>23</v>
      </c>
      <c r="P6" s="3">
        <v>2014</v>
      </c>
      <c r="Q6" s="6">
        <f>New_Finance_Data[[#This Row],[ Profit ]]/New_Finance_Data[[#This Row],[  Sales ]]</f>
        <v>0.33333333333333331</v>
      </c>
      <c r="R6" t="str">
        <f>IF(New_Finance_Data[[#This Row],[  Sales ]]&gt;=100000,"High",IF(New_Finance_Data[[#This Row],[  Sales ]]&gt;=50000,"Medium","Low"))</f>
        <v>Low</v>
      </c>
      <c r="S6" t="str">
        <f>IF(OR(ISBLANK(New_Finance_Data[[#This Row],[  Sales ]]),ISBLANK(New_Finance_Data[[#This Row],[ Profit ]])),"Missing","OK")</f>
        <v>OK</v>
      </c>
      <c r="T6" t="str">
        <f>TEXT(New_Finance_Data[[#This Row],[Date]],"MMM-YYYY")</f>
        <v>Jun-2014</v>
      </c>
      <c r="U6" t="str">
        <f>IF(New_Finance_Data[[#This Row],[ Profit ]]&gt;0,"Profit","Loss")</f>
        <v>Profit</v>
      </c>
      <c r="V6" t="str">
        <f>IF(New_Finance_Data[[#This Row],[  Sales ]]&gt;=50000,"High Sales","Low Sales")</f>
        <v>Low Sales</v>
      </c>
      <c r="W6" t="b">
        <f>ISNUMBER(New_Finance_Data[[#This Row],[Date]])</f>
        <v>1</v>
      </c>
    </row>
    <row r="7" spans="1:23" x14ac:dyDescent="0.2">
      <c r="A7" t="s">
        <v>15</v>
      </c>
      <c r="B7" t="s">
        <v>20</v>
      </c>
      <c r="C7" t="s">
        <v>17</v>
      </c>
      <c r="D7" t="s">
        <v>18</v>
      </c>
      <c r="E7" s="27">
        <v>1513</v>
      </c>
      <c r="F7" s="27">
        <v>3</v>
      </c>
      <c r="G7" s="27">
        <v>350</v>
      </c>
      <c r="H7" s="27">
        <v>529550</v>
      </c>
      <c r="I7" s="5">
        <v>0</v>
      </c>
      <c r="J7" s="27">
        <v>529550</v>
      </c>
      <c r="K7" s="27">
        <v>393380</v>
      </c>
      <c r="L7" s="5">
        <v>136170</v>
      </c>
      <c r="M7" s="28">
        <v>41974</v>
      </c>
      <c r="N7" s="3">
        <v>12</v>
      </c>
      <c r="O7" s="29" t="s">
        <v>25</v>
      </c>
      <c r="P7" s="3">
        <v>2014</v>
      </c>
      <c r="Q7" s="6">
        <f>New_Finance_Data[[#This Row],[ Profit ]]/New_Finance_Data[[#This Row],[  Sales ]]</f>
        <v>0.25714285714285712</v>
      </c>
      <c r="R7" t="str">
        <f>IF(New_Finance_Data[[#This Row],[  Sales ]]&gt;=100000,"High",IF(New_Finance_Data[[#This Row],[  Sales ]]&gt;=50000,"Medium","Low"))</f>
        <v>High</v>
      </c>
      <c r="S7" t="str">
        <f>IF(OR(ISBLANK(New_Finance_Data[[#This Row],[  Sales ]]),ISBLANK(New_Finance_Data[[#This Row],[ Profit ]])),"Missing","OK")</f>
        <v>OK</v>
      </c>
      <c r="T7" t="str">
        <f>TEXT(New_Finance_Data[[#This Row],[Date]],"MMM-YYYY")</f>
        <v>Dec-2014</v>
      </c>
      <c r="U7" t="str">
        <f>IF(New_Finance_Data[[#This Row],[ Profit ]]&gt;0,"Profit","Loss")</f>
        <v>Profit</v>
      </c>
      <c r="V7" t="str">
        <f>IF(New_Finance_Data[[#This Row],[  Sales ]]&gt;=50000,"High Sales","Low Sales")</f>
        <v>High Sales</v>
      </c>
      <c r="W7" t="b">
        <f>ISNUMBER(New_Finance_Data[[#This Row],[Date]])</f>
        <v>1</v>
      </c>
    </row>
    <row r="8" spans="1:23" x14ac:dyDescent="0.2">
      <c r="A8" t="s">
        <v>21</v>
      </c>
      <c r="B8" t="s">
        <v>20</v>
      </c>
      <c r="C8" t="s">
        <v>26</v>
      </c>
      <c r="D8" t="s">
        <v>18</v>
      </c>
      <c r="E8" s="27">
        <v>921</v>
      </c>
      <c r="F8" s="27">
        <v>5</v>
      </c>
      <c r="G8" s="27">
        <v>15</v>
      </c>
      <c r="H8" s="27">
        <v>13815</v>
      </c>
      <c r="I8" s="5">
        <v>0</v>
      </c>
      <c r="J8" s="27">
        <v>13815</v>
      </c>
      <c r="K8" s="27">
        <v>9210</v>
      </c>
      <c r="L8" s="5">
        <v>4605</v>
      </c>
      <c r="M8" s="28">
        <v>41699</v>
      </c>
      <c r="N8" s="3">
        <v>3</v>
      </c>
      <c r="O8" s="29" t="s">
        <v>27</v>
      </c>
      <c r="P8" s="3">
        <v>2014</v>
      </c>
      <c r="Q8" s="6">
        <f>New_Finance_Data[[#This Row],[ Profit ]]/New_Finance_Data[[#This Row],[  Sales ]]</f>
        <v>0.33333333333333331</v>
      </c>
      <c r="R8" t="str">
        <f>IF(New_Finance_Data[[#This Row],[  Sales ]]&gt;=100000,"High",IF(New_Finance_Data[[#This Row],[  Sales ]]&gt;=50000,"Medium","Low"))</f>
        <v>Low</v>
      </c>
      <c r="S8" t="str">
        <f>IF(OR(ISBLANK(New_Finance_Data[[#This Row],[  Sales ]]),ISBLANK(New_Finance_Data[[#This Row],[ Profit ]])),"Missing","OK")</f>
        <v>OK</v>
      </c>
      <c r="T8" t="str">
        <f>TEXT(New_Finance_Data[[#This Row],[Date]],"MMM-YYYY")</f>
        <v>Mar-2014</v>
      </c>
      <c r="U8" t="str">
        <f>IF(New_Finance_Data[[#This Row],[ Profit ]]&gt;0,"Profit","Loss")</f>
        <v>Profit</v>
      </c>
      <c r="V8" t="str">
        <f>IF(New_Finance_Data[[#This Row],[  Sales ]]&gt;=50000,"High Sales","Low Sales")</f>
        <v>Low Sales</v>
      </c>
      <c r="W8" t="b">
        <f>ISNUMBER(New_Finance_Data[[#This Row],[Date]])</f>
        <v>1</v>
      </c>
    </row>
    <row r="9" spans="1:23" x14ac:dyDescent="0.2">
      <c r="A9" t="s">
        <v>28</v>
      </c>
      <c r="B9" t="s">
        <v>16</v>
      </c>
      <c r="C9" t="s">
        <v>26</v>
      </c>
      <c r="D9" t="s">
        <v>18</v>
      </c>
      <c r="E9" s="27">
        <v>2518</v>
      </c>
      <c r="F9" s="27">
        <v>5</v>
      </c>
      <c r="G9" s="27">
        <v>12</v>
      </c>
      <c r="H9" s="27">
        <v>30216</v>
      </c>
      <c r="I9" s="5">
        <v>0</v>
      </c>
      <c r="J9" s="27">
        <v>30216</v>
      </c>
      <c r="K9" s="27">
        <v>7554</v>
      </c>
      <c r="L9" s="5">
        <v>22662</v>
      </c>
      <c r="M9" s="28">
        <v>41791</v>
      </c>
      <c r="N9" s="3">
        <v>6</v>
      </c>
      <c r="O9" s="29" t="s">
        <v>23</v>
      </c>
      <c r="P9" s="3">
        <v>2014</v>
      </c>
      <c r="Q9" s="6">
        <f>New_Finance_Data[[#This Row],[ Profit ]]/New_Finance_Data[[#This Row],[  Sales ]]</f>
        <v>0.75</v>
      </c>
      <c r="R9" t="str">
        <f>IF(New_Finance_Data[[#This Row],[  Sales ]]&gt;=100000,"High",IF(New_Finance_Data[[#This Row],[  Sales ]]&gt;=50000,"Medium","Low"))</f>
        <v>Low</v>
      </c>
      <c r="S9" t="str">
        <f>IF(OR(ISBLANK(New_Finance_Data[[#This Row],[  Sales ]]),ISBLANK(New_Finance_Data[[#This Row],[ Profit ]])),"Missing","OK")</f>
        <v>OK</v>
      </c>
      <c r="T9" t="str">
        <f>TEXT(New_Finance_Data[[#This Row],[Date]],"MMM-YYYY")</f>
        <v>Jun-2014</v>
      </c>
      <c r="U9" t="str">
        <f>IF(New_Finance_Data[[#This Row],[ Profit ]]&gt;0,"Profit","Loss")</f>
        <v>Profit</v>
      </c>
      <c r="V9" t="str">
        <f>IF(New_Finance_Data[[#This Row],[  Sales ]]&gt;=50000,"High Sales","Low Sales")</f>
        <v>Low Sales</v>
      </c>
      <c r="W9" t="b">
        <f>ISNUMBER(New_Finance_Data[[#This Row],[Date]])</f>
        <v>1</v>
      </c>
    </row>
    <row r="10" spans="1:23" x14ac:dyDescent="0.2">
      <c r="A10" t="s">
        <v>15</v>
      </c>
      <c r="B10" t="s">
        <v>22</v>
      </c>
      <c r="C10" t="s">
        <v>26</v>
      </c>
      <c r="D10" t="s">
        <v>18</v>
      </c>
      <c r="E10" s="27">
        <v>1899</v>
      </c>
      <c r="F10" s="27">
        <v>5</v>
      </c>
      <c r="G10" s="27">
        <v>20</v>
      </c>
      <c r="H10" s="27">
        <v>37980</v>
      </c>
      <c r="I10" s="5">
        <v>0</v>
      </c>
      <c r="J10" s="27">
        <v>37980</v>
      </c>
      <c r="K10" s="27">
        <v>18990</v>
      </c>
      <c r="L10" s="5">
        <v>18990</v>
      </c>
      <c r="M10" s="28">
        <v>41791</v>
      </c>
      <c r="N10" s="3">
        <v>6</v>
      </c>
      <c r="O10" s="29" t="s">
        <v>23</v>
      </c>
      <c r="P10" s="3">
        <v>2014</v>
      </c>
      <c r="Q10" s="6">
        <f>New_Finance_Data[[#This Row],[ Profit ]]/New_Finance_Data[[#This Row],[  Sales ]]</f>
        <v>0.5</v>
      </c>
      <c r="R10" t="str">
        <f>IF(New_Finance_Data[[#This Row],[  Sales ]]&gt;=100000,"High",IF(New_Finance_Data[[#This Row],[  Sales ]]&gt;=50000,"Medium","Low"))</f>
        <v>Low</v>
      </c>
      <c r="S10" t="str">
        <f>IF(OR(ISBLANK(New_Finance_Data[[#This Row],[  Sales ]]),ISBLANK(New_Finance_Data[[#This Row],[ Profit ]])),"Missing","OK")</f>
        <v>OK</v>
      </c>
      <c r="T10" t="str">
        <f>TEXT(New_Finance_Data[[#This Row],[Date]],"MMM-YYYY")</f>
        <v>Jun-2014</v>
      </c>
      <c r="U10" t="str">
        <f>IF(New_Finance_Data[[#This Row],[ Profit ]]&gt;0,"Profit","Loss")</f>
        <v>Profit</v>
      </c>
      <c r="V10" t="str">
        <f>IF(New_Finance_Data[[#This Row],[  Sales ]]&gt;=50000,"High Sales","Low Sales")</f>
        <v>Low Sales</v>
      </c>
      <c r="W10" t="b">
        <f>ISNUMBER(New_Finance_Data[[#This Row],[Date]])</f>
        <v>1</v>
      </c>
    </row>
    <row r="11" spans="1:23" x14ac:dyDescent="0.2">
      <c r="A11" t="s">
        <v>28</v>
      </c>
      <c r="B11" t="s">
        <v>20</v>
      </c>
      <c r="C11" t="s">
        <v>26</v>
      </c>
      <c r="D11" t="s">
        <v>18</v>
      </c>
      <c r="E11" s="27">
        <v>1545</v>
      </c>
      <c r="F11" s="27">
        <v>5</v>
      </c>
      <c r="G11" s="27">
        <v>12</v>
      </c>
      <c r="H11" s="27">
        <v>18540</v>
      </c>
      <c r="I11" s="5">
        <v>0</v>
      </c>
      <c r="J11" s="27">
        <v>18540</v>
      </c>
      <c r="K11" s="27">
        <v>4635</v>
      </c>
      <c r="L11" s="5">
        <v>13905</v>
      </c>
      <c r="M11" s="28">
        <v>41791</v>
      </c>
      <c r="N11" s="3">
        <v>6</v>
      </c>
      <c r="O11" s="29" t="s">
        <v>23</v>
      </c>
      <c r="P11" s="3">
        <v>2014</v>
      </c>
      <c r="Q11" s="6">
        <f>New_Finance_Data[[#This Row],[ Profit ]]/New_Finance_Data[[#This Row],[  Sales ]]</f>
        <v>0.75</v>
      </c>
      <c r="R11" t="str">
        <f>IF(New_Finance_Data[[#This Row],[  Sales ]]&gt;=100000,"High",IF(New_Finance_Data[[#This Row],[  Sales ]]&gt;=50000,"Medium","Low"))</f>
        <v>Low</v>
      </c>
      <c r="S11" t="str">
        <f>IF(OR(ISBLANK(New_Finance_Data[[#This Row],[  Sales ]]),ISBLANK(New_Finance_Data[[#This Row],[ Profit ]])),"Missing","OK")</f>
        <v>OK</v>
      </c>
      <c r="T11" t="str">
        <f>TEXT(New_Finance_Data[[#This Row],[Date]],"MMM-YYYY")</f>
        <v>Jun-2014</v>
      </c>
      <c r="U11" t="str">
        <f>IF(New_Finance_Data[[#This Row],[ Profit ]]&gt;0,"Profit","Loss")</f>
        <v>Profit</v>
      </c>
      <c r="V11" t="str">
        <f>IF(New_Finance_Data[[#This Row],[  Sales ]]&gt;=50000,"High Sales","Low Sales")</f>
        <v>Low Sales</v>
      </c>
      <c r="W11" t="b">
        <f>ISNUMBER(New_Finance_Data[[#This Row],[Date]])</f>
        <v>1</v>
      </c>
    </row>
    <row r="12" spans="1:23" x14ac:dyDescent="0.2">
      <c r="A12" t="s">
        <v>21</v>
      </c>
      <c r="B12" t="s">
        <v>24</v>
      </c>
      <c r="C12" t="s">
        <v>26</v>
      </c>
      <c r="D12" t="s">
        <v>18</v>
      </c>
      <c r="E12" s="27">
        <v>2470</v>
      </c>
      <c r="F12" s="27">
        <v>5</v>
      </c>
      <c r="G12" s="27">
        <v>15</v>
      </c>
      <c r="H12" s="27">
        <v>37050</v>
      </c>
      <c r="I12" s="5">
        <v>0</v>
      </c>
      <c r="J12" s="27">
        <v>37050</v>
      </c>
      <c r="K12" s="27">
        <v>24700</v>
      </c>
      <c r="L12" s="5">
        <v>12350</v>
      </c>
      <c r="M12" s="28">
        <v>41791</v>
      </c>
      <c r="N12" s="3">
        <v>6</v>
      </c>
      <c r="O12" s="29" t="s">
        <v>23</v>
      </c>
      <c r="P12" s="3">
        <v>2014</v>
      </c>
      <c r="Q12" s="6">
        <f>New_Finance_Data[[#This Row],[ Profit ]]/New_Finance_Data[[#This Row],[  Sales ]]</f>
        <v>0.33333333333333331</v>
      </c>
      <c r="R12" t="str">
        <f>IF(New_Finance_Data[[#This Row],[  Sales ]]&gt;=100000,"High",IF(New_Finance_Data[[#This Row],[  Sales ]]&gt;=50000,"Medium","Low"))</f>
        <v>Low</v>
      </c>
      <c r="S12" t="str">
        <f>IF(OR(ISBLANK(New_Finance_Data[[#This Row],[  Sales ]]),ISBLANK(New_Finance_Data[[#This Row],[ Profit ]])),"Missing","OK")</f>
        <v>OK</v>
      </c>
      <c r="T12" t="str">
        <f>TEXT(New_Finance_Data[[#This Row],[Date]],"MMM-YYYY")</f>
        <v>Jun-2014</v>
      </c>
      <c r="U12" t="str">
        <f>IF(New_Finance_Data[[#This Row],[ Profit ]]&gt;0,"Profit","Loss")</f>
        <v>Profit</v>
      </c>
      <c r="V12" t="str">
        <f>IF(New_Finance_Data[[#This Row],[  Sales ]]&gt;=50000,"High Sales","Low Sales")</f>
        <v>Low Sales</v>
      </c>
      <c r="W12" t="b">
        <f>ISNUMBER(New_Finance_Data[[#This Row],[Date]])</f>
        <v>1</v>
      </c>
    </row>
    <row r="13" spans="1:23" x14ac:dyDescent="0.2">
      <c r="A13" t="s">
        <v>29</v>
      </c>
      <c r="B13" t="s">
        <v>16</v>
      </c>
      <c r="C13" t="s">
        <v>26</v>
      </c>
      <c r="D13" t="s">
        <v>18</v>
      </c>
      <c r="E13" s="27">
        <v>2665.5</v>
      </c>
      <c r="F13" s="27">
        <v>5</v>
      </c>
      <c r="G13" s="27">
        <v>125</v>
      </c>
      <c r="H13" s="27">
        <v>333187.5</v>
      </c>
      <c r="I13" s="5">
        <v>0</v>
      </c>
      <c r="J13" s="27">
        <v>333187.5</v>
      </c>
      <c r="K13" s="27">
        <v>319860</v>
      </c>
      <c r="L13" s="5">
        <v>13327.5</v>
      </c>
      <c r="M13" s="28">
        <v>41821</v>
      </c>
      <c r="N13" s="3">
        <v>7</v>
      </c>
      <c r="O13" s="29" t="s">
        <v>30</v>
      </c>
      <c r="P13" s="3">
        <v>2014</v>
      </c>
      <c r="Q13" s="6">
        <f>New_Finance_Data[[#This Row],[ Profit ]]/New_Finance_Data[[#This Row],[  Sales ]]</f>
        <v>0.04</v>
      </c>
      <c r="R13" t="str">
        <f>IF(New_Finance_Data[[#This Row],[  Sales ]]&gt;=100000,"High",IF(New_Finance_Data[[#This Row],[  Sales ]]&gt;=50000,"Medium","Low"))</f>
        <v>High</v>
      </c>
      <c r="S13" t="str">
        <f>IF(OR(ISBLANK(New_Finance_Data[[#This Row],[  Sales ]]),ISBLANK(New_Finance_Data[[#This Row],[ Profit ]])),"Missing","OK")</f>
        <v>OK</v>
      </c>
      <c r="T13" t="str">
        <f>TEXT(New_Finance_Data[[#This Row],[Date]],"MMM-YYYY")</f>
        <v>Jul-2014</v>
      </c>
      <c r="U13" t="str">
        <f>IF(New_Finance_Data[[#This Row],[ Profit ]]&gt;0,"Profit","Loss")</f>
        <v>Profit</v>
      </c>
      <c r="V13" t="str">
        <f>IF(New_Finance_Data[[#This Row],[  Sales ]]&gt;=50000,"High Sales","Low Sales")</f>
        <v>High Sales</v>
      </c>
      <c r="W13" t="b">
        <f>ISNUMBER(New_Finance_Data[[#This Row],[Date]])</f>
        <v>1</v>
      </c>
    </row>
    <row r="14" spans="1:23" x14ac:dyDescent="0.2">
      <c r="A14" t="s">
        <v>31</v>
      </c>
      <c r="B14" t="s">
        <v>24</v>
      </c>
      <c r="C14" t="s">
        <v>26</v>
      </c>
      <c r="D14" t="s">
        <v>18</v>
      </c>
      <c r="E14" s="27">
        <v>958</v>
      </c>
      <c r="F14" s="27">
        <v>5</v>
      </c>
      <c r="G14" s="27">
        <v>300</v>
      </c>
      <c r="H14" s="27">
        <v>287400</v>
      </c>
      <c r="I14" s="5">
        <v>0</v>
      </c>
      <c r="J14" s="27">
        <v>287400</v>
      </c>
      <c r="K14" s="27">
        <v>239500</v>
      </c>
      <c r="L14" s="5">
        <v>47900</v>
      </c>
      <c r="M14" s="28">
        <v>41852</v>
      </c>
      <c r="N14" s="3">
        <v>8</v>
      </c>
      <c r="O14" s="29" t="s">
        <v>32</v>
      </c>
      <c r="P14" s="3">
        <v>2014</v>
      </c>
      <c r="Q14" s="6">
        <f>New_Finance_Data[[#This Row],[ Profit ]]/New_Finance_Data[[#This Row],[  Sales ]]</f>
        <v>0.16666666666666666</v>
      </c>
      <c r="R14" t="str">
        <f>IF(New_Finance_Data[[#This Row],[  Sales ]]&gt;=100000,"High",IF(New_Finance_Data[[#This Row],[  Sales ]]&gt;=50000,"Medium","Low"))</f>
        <v>High</v>
      </c>
      <c r="S14" t="str">
        <f>IF(OR(ISBLANK(New_Finance_Data[[#This Row],[  Sales ]]),ISBLANK(New_Finance_Data[[#This Row],[ Profit ]])),"Missing","OK")</f>
        <v>OK</v>
      </c>
      <c r="T14" t="str">
        <f>TEXT(New_Finance_Data[[#This Row],[Date]],"MMM-YYYY")</f>
        <v>Aug-2014</v>
      </c>
      <c r="U14" t="str">
        <f>IF(New_Finance_Data[[#This Row],[ Profit ]]&gt;0,"Profit","Loss")</f>
        <v>Profit</v>
      </c>
      <c r="V14" t="str">
        <f>IF(New_Finance_Data[[#This Row],[  Sales ]]&gt;=50000,"High Sales","Low Sales")</f>
        <v>High Sales</v>
      </c>
      <c r="W14" t="b">
        <f>ISNUMBER(New_Finance_Data[[#This Row],[Date]])</f>
        <v>1</v>
      </c>
    </row>
    <row r="15" spans="1:23" x14ac:dyDescent="0.2">
      <c r="A15" t="s">
        <v>15</v>
      </c>
      <c r="B15" t="s">
        <v>20</v>
      </c>
      <c r="C15" t="s">
        <v>26</v>
      </c>
      <c r="D15" t="s">
        <v>18</v>
      </c>
      <c r="E15" s="27">
        <v>2146</v>
      </c>
      <c r="F15" s="27">
        <v>5</v>
      </c>
      <c r="G15" s="27">
        <v>7</v>
      </c>
      <c r="H15" s="27">
        <v>15022</v>
      </c>
      <c r="I15" s="5">
        <v>0</v>
      </c>
      <c r="J15" s="27">
        <v>15022</v>
      </c>
      <c r="K15" s="27">
        <v>10730</v>
      </c>
      <c r="L15" s="5">
        <v>4292</v>
      </c>
      <c r="M15" s="28">
        <v>41883</v>
      </c>
      <c r="N15" s="3">
        <v>9</v>
      </c>
      <c r="O15" s="29" t="s">
        <v>33</v>
      </c>
      <c r="P15" s="3">
        <v>2014</v>
      </c>
      <c r="Q15" s="6">
        <f>New_Finance_Data[[#This Row],[ Profit ]]/New_Finance_Data[[#This Row],[  Sales ]]</f>
        <v>0.2857142857142857</v>
      </c>
      <c r="R15" t="str">
        <f>IF(New_Finance_Data[[#This Row],[  Sales ]]&gt;=100000,"High",IF(New_Finance_Data[[#This Row],[  Sales ]]&gt;=50000,"Medium","Low"))</f>
        <v>Low</v>
      </c>
      <c r="S15" t="str">
        <f>IF(OR(ISBLANK(New_Finance_Data[[#This Row],[  Sales ]]),ISBLANK(New_Finance_Data[[#This Row],[ Profit ]])),"Missing","OK")</f>
        <v>OK</v>
      </c>
      <c r="T15" t="str">
        <f>TEXT(New_Finance_Data[[#This Row],[Date]],"MMM-YYYY")</f>
        <v>Sep-2014</v>
      </c>
      <c r="U15" t="str">
        <f>IF(New_Finance_Data[[#This Row],[ Profit ]]&gt;0,"Profit","Loss")</f>
        <v>Profit</v>
      </c>
      <c r="V15" t="str">
        <f>IF(New_Finance_Data[[#This Row],[  Sales ]]&gt;=50000,"High Sales","Low Sales")</f>
        <v>Low Sales</v>
      </c>
      <c r="W15" t="b">
        <f>ISNUMBER(New_Finance_Data[[#This Row],[Date]])</f>
        <v>1</v>
      </c>
    </row>
    <row r="16" spans="1:23" x14ac:dyDescent="0.2">
      <c r="A16" t="s">
        <v>29</v>
      </c>
      <c r="B16" t="s">
        <v>16</v>
      </c>
      <c r="C16" t="s">
        <v>26</v>
      </c>
      <c r="D16" t="s">
        <v>18</v>
      </c>
      <c r="E16" s="27">
        <v>345</v>
      </c>
      <c r="F16" s="27">
        <v>5</v>
      </c>
      <c r="G16" s="27">
        <v>125</v>
      </c>
      <c r="H16" s="27">
        <v>43125</v>
      </c>
      <c r="I16" s="5">
        <v>0</v>
      </c>
      <c r="J16" s="27">
        <v>43125</v>
      </c>
      <c r="K16" s="27">
        <v>41400</v>
      </c>
      <c r="L16" s="5">
        <v>1725</v>
      </c>
      <c r="M16" s="28">
        <v>41548</v>
      </c>
      <c r="N16" s="3">
        <v>10</v>
      </c>
      <c r="O16" s="29" t="s">
        <v>34</v>
      </c>
      <c r="P16" s="3">
        <v>2013</v>
      </c>
      <c r="Q16" s="6">
        <f>New_Finance_Data[[#This Row],[ Profit ]]/New_Finance_Data[[#This Row],[  Sales ]]</f>
        <v>0.04</v>
      </c>
      <c r="R16" t="str">
        <f>IF(New_Finance_Data[[#This Row],[  Sales ]]&gt;=100000,"High",IF(New_Finance_Data[[#This Row],[  Sales ]]&gt;=50000,"Medium","Low"))</f>
        <v>Low</v>
      </c>
      <c r="S16" t="str">
        <f>IF(OR(ISBLANK(New_Finance_Data[[#This Row],[  Sales ]]),ISBLANK(New_Finance_Data[[#This Row],[ Profit ]])),"Missing","OK")</f>
        <v>OK</v>
      </c>
      <c r="T16" t="str">
        <f>TEXT(New_Finance_Data[[#This Row],[Date]],"MMM-YYYY")</f>
        <v>Oct-2013</v>
      </c>
      <c r="U16" t="str">
        <f>IF(New_Finance_Data[[#This Row],[ Profit ]]&gt;0,"Profit","Loss")</f>
        <v>Profit</v>
      </c>
      <c r="V16" t="str">
        <f>IF(New_Finance_Data[[#This Row],[  Sales ]]&gt;=50000,"High Sales","Low Sales")</f>
        <v>Low Sales</v>
      </c>
      <c r="W16" t="b">
        <f>ISNUMBER(New_Finance_Data[[#This Row],[Date]])</f>
        <v>1</v>
      </c>
    </row>
    <row r="17" spans="1:23" x14ac:dyDescent="0.2">
      <c r="A17" t="s">
        <v>21</v>
      </c>
      <c r="B17" t="s">
        <v>35</v>
      </c>
      <c r="C17" t="s">
        <v>26</v>
      </c>
      <c r="D17" t="s">
        <v>18</v>
      </c>
      <c r="E17" s="27">
        <v>615</v>
      </c>
      <c r="F17" s="27">
        <v>5</v>
      </c>
      <c r="G17" s="27">
        <v>15</v>
      </c>
      <c r="H17" s="27">
        <v>9225</v>
      </c>
      <c r="I17" s="5">
        <v>0</v>
      </c>
      <c r="J17" s="27">
        <v>9225</v>
      </c>
      <c r="K17" s="27">
        <v>6150</v>
      </c>
      <c r="L17" s="5">
        <v>3075</v>
      </c>
      <c r="M17" s="28">
        <v>41974</v>
      </c>
      <c r="N17" s="3">
        <v>12</v>
      </c>
      <c r="O17" s="29" t="s">
        <v>25</v>
      </c>
      <c r="P17" s="3">
        <v>2014</v>
      </c>
      <c r="Q17" s="6">
        <f>New_Finance_Data[[#This Row],[ Profit ]]/New_Finance_Data[[#This Row],[  Sales ]]</f>
        <v>0.33333333333333331</v>
      </c>
      <c r="R17" t="str">
        <f>IF(New_Finance_Data[[#This Row],[  Sales ]]&gt;=100000,"High",IF(New_Finance_Data[[#This Row],[  Sales ]]&gt;=50000,"Medium","Low"))</f>
        <v>Low</v>
      </c>
      <c r="S17" t="str">
        <f>IF(OR(ISBLANK(New_Finance_Data[[#This Row],[  Sales ]]),ISBLANK(New_Finance_Data[[#This Row],[ Profit ]])),"Missing","OK")</f>
        <v>OK</v>
      </c>
      <c r="T17" t="str">
        <f>TEXT(New_Finance_Data[[#This Row],[Date]],"MMM-YYYY")</f>
        <v>Dec-2014</v>
      </c>
      <c r="U17" t="str">
        <f>IF(New_Finance_Data[[#This Row],[ Profit ]]&gt;0,"Profit","Loss")</f>
        <v>Profit</v>
      </c>
      <c r="V17" t="str">
        <f>IF(New_Finance_Data[[#This Row],[  Sales ]]&gt;=50000,"High Sales","Low Sales")</f>
        <v>Low Sales</v>
      </c>
      <c r="W17" t="b">
        <f>ISNUMBER(New_Finance_Data[[#This Row],[Date]])</f>
        <v>1</v>
      </c>
    </row>
    <row r="18" spans="1:23" x14ac:dyDescent="0.2">
      <c r="A18" t="s">
        <v>15</v>
      </c>
      <c r="B18" t="s">
        <v>16</v>
      </c>
      <c r="C18" t="s">
        <v>36</v>
      </c>
      <c r="D18" t="s">
        <v>18</v>
      </c>
      <c r="E18" s="27">
        <v>292</v>
      </c>
      <c r="F18" s="27">
        <v>10</v>
      </c>
      <c r="G18" s="27">
        <v>20</v>
      </c>
      <c r="H18" s="27">
        <v>5840</v>
      </c>
      <c r="I18" s="5">
        <v>0</v>
      </c>
      <c r="J18" s="27">
        <v>5840</v>
      </c>
      <c r="K18" s="27">
        <v>2920</v>
      </c>
      <c r="L18" s="5">
        <v>2920</v>
      </c>
      <c r="M18" s="28">
        <v>41671</v>
      </c>
      <c r="N18" s="3">
        <v>2</v>
      </c>
      <c r="O18" s="29" t="s">
        <v>37</v>
      </c>
      <c r="P18" s="3">
        <v>2014</v>
      </c>
      <c r="Q18" s="6">
        <f>New_Finance_Data[[#This Row],[ Profit ]]/New_Finance_Data[[#This Row],[  Sales ]]</f>
        <v>0.5</v>
      </c>
      <c r="R18" t="str">
        <f>IF(New_Finance_Data[[#This Row],[  Sales ]]&gt;=100000,"High",IF(New_Finance_Data[[#This Row],[  Sales ]]&gt;=50000,"Medium","Low"))</f>
        <v>Low</v>
      </c>
      <c r="S18" t="str">
        <f>IF(OR(ISBLANK(New_Finance_Data[[#This Row],[  Sales ]]),ISBLANK(New_Finance_Data[[#This Row],[ Profit ]])),"Missing","OK")</f>
        <v>OK</v>
      </c>
      <c r="T18" t="str">
        <f>TEXT(New_Finance_Data[[#This Row],[Date]],"MMM-YYYY")</f>
        <v>Feb-2014</v>
      </c>
      <c r="U18" t="str">
        <f>IF(New_Finance_Data[[#This Row],[ Profit ]]&gt;0,"Profit","Loss")</f>
        <v>Profit</v>
      </c>
      <c r="V18" t="str">
        <f>IF(New_Finance_Data[[#This Row],[  Sales ]]&gt;=50000,"High Sales","Low Sales")</f>
        <v>Low Sales</v>
      </c>
      <c r="W18" t="b">
        <f>ISNUMBER(New_Finance_Data[[#This Row],[Date]])</f>
        <v>1</v>
      </c>
    </row>
    <row r="19" spans="1:23" x14ac:dyDescent="0.2">
      <c r="A19" t="s">
        <v>21</v>
      </c>
      <c r="B19" t="s">
        <v>24</v>
      </c>
      <c r="C19" t="s">
        <v>36</v>
      </c>
      <c r="D19" t="s">
        <v>18</v>
      </c>
      <c r="E19" s="27">
        <v>974</v>
      </c>
      <c r="F19" s="27">
        <v>10</v>
      </c>
      <c r="G19" s="27">
        <v>15</v>
      </c>
      <c r="H19" s="27">
        <v>14610</v>
      </c>
      <c r="I19" s="5">
        <v>0</v>
      </c>
      <c r="J19" s="27">
        <v>14610</v>
      </c>
      <c r="K19" s="27">
        <v>9740</v>
      </c>
      <c r="L19" s="5">
        <v>4870</v>
      </c>
      <c r="M19" s="28">
        <v>41671</v>
      </c>
      <c r="N19" s="3">
        <v>2</v>
      </c>
      <c r="O19" s="29" t="s">
        <v>37</v>
      </c>
      <c r="P19" s="3">
        <v>2014</v>
      </c>
      <c r="Q19" s="6">
        <f>New_Finance_Data[[#This Row],[ Profit ]]/New_Finance_Data[[#This Row],[  Sales ]]</f>
        <v>0.33333333333333331</v>
      </c>
      <c r="R19" t="str">
        <f>IF(New_Finance_Data[[#This Row],[  Sales ]]&gt;=100000,"High",IF(New_Finance_Data[[#This Row],[  Sales ]]&gt;=50000,"Medium","Low"))</f>
        <v>Low</v>
      </c>
      <c r="S19" t="str">
        <f>IF(OR(ISBLANK(New_Finance_Data[[#This Row],[  Sales ]]),ISBLANK(New_Finance_Data[[#This Row],[ Profit ]])),"Missing","OK")</f>
        <v>OK</v>
      </c>
      <c r="T19" t="str">
        <f>TEXT(New_Finance_Data[[#This Row],[Date]],"MMM-YYYY")</f>
        <v>Feb-2014</v>
      </c>
      <c r="U19" t="str">
        <f>IF(New_Finance_Data[[#This Row],[ Profit ]]&gt;0,"Profit","Loss")</f>
        <v>Profit</v>
      </c>
      <c r="V19" t="str">
        <f>IF(New_Finance_Data[[#This Row],[  Sales ]]&gt;=50000,"High Sales","Low Sales")</f>
        <v>Low Sales</v>
      </c>
      <c r="W19" t="b">
        <f>ISNUMBER(New_Finance_Data[[#This Row],[Date]])</f>
        <v>1</v>
      </c>
    </row>
    <row r="20" spans="1:23" x14ac:dyDescent="0.2">
      <c r="A20" t="s">
        <v>28</v>
      </c>
      <c r="B20" t="s">
        <v>16</v>
      </c>
      <c r="C20" t="s">
        <v>36</v>
      </c>
      <c r="D20" t="s">
        <v>18</v>
      </c>
      <c r="E20" s="27">
        <v>2518</v>
      </c>
      <c r="F20" s="27">
        <v>10</v>
      </c>
      <c r="G20" s="27">
        <v>12</v>
      </c>
      <c r="H20" s="27">
        <v>30216</v>
      </c>
      <c r="I20" s="5">
        <v>0</v>
      </c>
      <c r="J20" s="27">
        <v>30216</v>
      </c>
      <c r="K20" s="27">
        <v>7554</v>
      </c>
      <c r="L20" s="5">
        <v>22662</v>
      </c>
      <c r="M20" s="28">
        <v>41791</v>
      </c>
      <c r="N20" s="3">
        <v>6</v>
      </c>
      <c r="O20" s="29" t="s">
        <v>23</v>
      </c>
      <c r="P20" s="3">
        <v>2014</v>
      </c>
      <c r="Q20" s="6">
        <f>New_Finance_Data[[#This Row],[ Profit ]]/New_Finance_Data[[#This Row],[  Sales ]]</f>
        <v>0.75</v>
      </c>
      <c r="R20" t="str">
        <f>IF(New_Finance_Data[[#This Row],[  Sales ]]&gt;=100000,"High",IF(New_Finance_Data[[#This Row],[  Sales ]]&gt;=50000,"Medium","Low"))</f>
        <v>Low</v>
      </c>
      <c r="S20" t="str">
        <f>IF(OR(ISBLANK(New_Finance_Data[[#This Row],[  Sales ]]),ISBLANK(New_Finance_Data[[#This Row],[ Profit ]])),"Missing","OK")</f>
        <v>OK</v>
      </c>
      <c r="T20" t="str">
        <f>TEXT(New_Finance_Data[[#This Row],[Date]],"MMM-YYYY")</f>
        <v>Jun-2014</v>
      </c>
      <c r="U20" t="str">
        <f>IF(New_Finance_Data[[#This Row],[ Profit ]]&gt;0,"Profit","Loss")</f>
        <v>Profit</v>
      </c>
      <c r="V20" t="str">
        <f>IF(New_Finance_Data[[#This Row],[  Sales ]]&gt;=50000,"High Sales","Low Sales")</f>
        <v>Low Sales</v>
      </c>
      <c r="W20" t="b">
        <f>ISNUMBER(New_Finance_Data[[#This Row],[Date]])</f>
        <v>1</v>
      </c>
    </row>
    <row r="21" spans="1:23" x14ac:dyDescent="0.2">
      <c r="A21" t="s">
        <v>15</v>
      </c>
      <c r="B21" t="s">
        <v>20</v>
      </c>
      <c r="C21" t="s">
        <v>36</v>
      </c>
      <c r="D21" t="s">
        <v>18</v>
      </c>
      <c r="E21" s="27">
        <v>1006</v>
      </c>
      <c r="F21" s="27">
        <v>10</v>
      </c>
      <c r="G21" s="27">
        <v>350</v>
      </c>
      <c r="H21" s="27">
        <v>352100</v>
      </c>
      <c r="I21" s="5">
        <v>0</v>
      </c>
      <c r="J21" s="27">
        <v>352100</v>
      </c>
      <c r="K21" s="27">
        <v>261560</v>
      </c>
      <c r="L21" s="5">
        <v>90540</v>
      </c>
      <c r="M21" s="28">
        <v>41791</v>
      </c>
      <c r="N21" s="3">
        <v>6</v>
      </c>
      <c r="O21" s="29" t="s">
        <v>23</v>
      </c>
      <c r="P21" s="3">
        <v>2014</v>
      </c>
      <c r="Q21" s="6">
        <f>New_Finance_Data[[#This Row],[ Profit ]]/New_Finance_Data[[#This Row],[  Sales ]]</f>
        <v>0.25714285714285712</v>
      </c>
      <c r="R21" t="str">
        <f>IF(New_Finance_Data[[#This Row],[  Sales ]]&gt;=100000,"High",IF(New_Finance_Data[[#This Row],[  Sales ]]&gt;=50000,"Medium","Low"))</f>
        <v>High</v>
      </c>
      <c r="S21" t="str">
        <f>IF(OR(ISBLANK(New_Finance_Data[[#This Row],[  Sales ]]),ISBLANK(New_Finance_Data[[#This Row],[ Profit ]])),"Missing","OK")</f>
        <v>OK</v>
      </c>
      <c r="T21" t="str">
        <f>TEXT(New_Finance_Data[[#This Row],[Date]],"MMM-YYYY")</f>
        <v>Jun-2014</v>
      </c>
      <c r="U21" t="str">
        <f>IF(New_Finance_Data[[#This Row],[ Profit ]]&gt;0,"Profit","Loss")</f>
        <v>Profit</v>
      </c>
      <c r="V21" t="str">
        <f>IF(New_Finance_Data[[#This Row],[  Sales ]]&gt;=50000,"High Sales","Low Sales")</f>
        <v>High Sales</v>
      </c>
      <c r="W21" t="b">
        <f>ISNUMBER(New_Finance_Data[[#This Row],[Date]])</f>
        <v>1</v>
      </c>
    </row>
    <row r="22" spans="1:23" x14ac:dyDescent="0.2">
      <c r="A22" t="s">
        <v>28</v>
      </c>
      <c r="B22" t="s">
        <v>20</v>
      </c>
      <c r="C22" t="s">
        <v>36</v>
      </c>
      <c r="D22" t="s">
        <v>18</v>
      </c>
      <c r="E22" s="27">
        <v>367</v>
      </c>
      <c r="F22" s="27">
        <v>10</v>
      </c>
      <c r="G22" s="27">
        <v>12</v>
      </c>
      <c r="H22" s="27">
        <v>4404</v>
      </c>
      <c r="I22" s="5">
        <v>0</v>
      </c>
      <c r="J22" s="27">
        <v>4404</v>
      </c>
      <c r="K22" s="27">
        <v>1101</v>
      </c>
      <c r="L22" s="5">
        <v>3303</v>
      </c>
      <c r="M22" s="28">
        <v>41821</v>
      </c>
      <c r="N22" s="3">
        <v>7</v>
      </c>
      <c r="O22" s="29" t="s">
        <v>30</v>
      </c>
      <c r="P22" s="3">
        <v>2014</v>
      </c>
      <c r="Q22" s="6">
        <f>New_Finance_Data[[#This Row],[ Profit ]]/New_Finance_Data[[#This Row],[  Sales ]]</f>
        <v>0.75</v>
      </c>
      <c r="R22" t="str">
        <f>IF(New_Finance_Data[[#This Row],[  Sales ]]&gt;=100000,"High",IF(New_Finance_Data[[#This Row],[  Sales ]]&gt;=50000,"Medium","Low"))</f>
        <v>Low</v>
      </c>
      <c r="S22" t="str">
        <f>IF(OR(ISBLANK(New_Finance_Data[[#This Row],[  Sales ]]),ISBLANK(New_Finance_Data[[#This Row],[ Profit ]])),"Missing","OK")</f>
        <v>OK</v>
      </c>
      <c r="T22" t="str">
        <f>TEXT(New_Finance_Data[[#This Row],[Date]],"MMM-YYYY")</f>
        <v>Jul-2014</v>
      </c>
      <c r="U22" t="str">
        <f>IF(New_Finance_Data[[#This Row],[ Profit ]]&gt;0,"Profit","Loss")</f>
        <v>Profit</v>
      </c>
      <c r="V22" t="str">
        <f>IF(New_Finance_Data[[#This Row],[  Sales ]]&gt;=50000,"High Sales","Low Sales")</f>
        <v>Low Sales</v>
      </c>
      <c r="W22" t="b">
        <f>ISNUMBER(New_Finance_Data[[#This Row],[Date]])</f>
        <v>1</v>
      </c>
    </row>
    <row r="23" spans="1:23" x14ac:dyDescent="0.2">
      <c r="A23" t="s">
        <v>15</v>
      </c>
      <c r="B23" t="s">
        <v>24</v>
      </c>
      <c r="C23" t="s">
        <v>36</v>
      </c>
      <c r="D23" t="s">
        <v>18</v>
      </c>
      <c r="E23" s="27">
        <v>883</v>
      </c>
      <c r="F23" s="27">
        <v>10</v>
      </c>
      <c r="G23" s="27">
        <v>7</v>
      </c>
      <c r="H23" s="27">
        <v>6181</v>
      </c>
      <c r="I23" s="5">
        <v>0</v>
      </c>
      <c r="J23" s="27">
        <v>6181</v>
      </c>
      <c r="K23" s="27">
        <v>4415</v>
      </c>
      <c r="L23" s="5">
        <v>1766</v>
      </c>
      <c r="M23" s="28">
        <v>41852</v>
      </c>
      <c r="N23" s="3">
        <v>8</v>
      </c>
      <c r="O23" s="29" t="s">
        <v>32</v>
      </c>
      <c r="P23" s="3">
        <v>2014</v>
      </c>
      <c r="Q23" s="6">
        <f>New_Finance_Data[[#This Row],[ Profit ]]/New_Finance_Data[[#This Row],[  Sales ]]</f>
        <v>0.2857142857142857</v>
      </c>
      <c r="R23" t="str">
        <f>IF(New_Finance_Data[[#This Row],[  Sales ]]&gt;=100000,"High",IF(New_Finance_Data[[#This Row],[  Sales ]]&gt;=50000,"Medium","Low"))</f>
        <v>Low</v>
      </c>
      <c r="S23" t="str">
        <f>IF(OR(ISBLANK(New_Finance_Data[[#This Row],[  Sales ]]),ISBLANK(New_Finance_Data[[#This Row],[ Profit ]])),"Missing","OK")</f>
        <v>OK</v>
      </c>
      <c r="T23" t="str">
        <f>TEXT(New_Finance_Data[[#This Row],[Date]],"MMM-YYYY")</f>
        <v>Aug-2014</v>
      </c>
      <c r="U23" t="str">
        <f>IF(New_Finance_Data[[#This Row],[ Profit ]]&gt;0,"Profit","Loss")</f>
        <v>Profit</v>
      </c>
      <c r="V23" t="str">
        <f>IF(New_Finance_Data[[#This Row],[  Sales ]]&gt;=50000,"High Sales","Low Sales")</f>
        <v>Low Sales</v>
      </c>
      <c r="W23" t="b">
        <f>ISNUMBER(New_Finance_Data[[#This Row],[Date]])</f>
        <v>1</v>
      </c>
    </row>
    <row r="24" spans="1:23" x14ac:dyDescent="0.2">
      <c r="A24" t="s">
        <v>21</v>
      </c>
      <c r="B24" t="s">
        <v>22</v>
      </c>
      <c r="C24" t="s">
        <v>36</v>
      </c>
      <c r="D24" t="s">
        <v>18</v>
      </c>
      <c r="E24" s="27">
        <v>549</v>
      </c>
      <c r="F24" s="27">
        <v>10</v>
      </c>
      <c r="G24" s="27">
        <v>15</v>
      </c>
      <c r="H24" s="27">
        <v>8235</v>
      </c>
      <c r="I24" s="5">
        <v>0</v>
      </c>
      <c r="J24" s="27">
        <v>8235</v>
      </c>
      <c r="K24" s="27">
        <v>5490</v>
      </c>
      <c r="L24" s="5">
        <v>2745</v>
      </c>
      <c r="M24" s="28">
        <v>41518</v>
      </c>
      <c r="N24" s="3">
        <v>9</v>
      </c>
      <c r="O24" s="29" t="s">
        <v>33</v>
      </c>
      <c r="P24" s="3">
        <v>2013</v>
      </c>
      <c r="Q24" s="6">
        <f>New_Finance_Data[[#This Row],[ Profit ]]/New_Finance_Data[[#This Row],[  Sales ]]</f>
        <v>0.33333333333333331</v>
      </c>
      <c r="R24" t="str">
        <f>IF(New_Finance_Data[[#This Row],[  Sales ]]&gt;=100000,"High",IF(New_Finance_Data[[#This Row],[  Sales ]]&gt;=50000,"Medium","Low"))</f>
        <v>Low</v>
      </c>
      <c r="S24" t="str">
        <f>IF(OR(ISBLANK(New_Finance_Data[[#This Row],[  Sales ]]),ISBLANK(New_Finance_Data[[#This Row],[ Profit ]])),"Missing","OK")</f>
        <v>OK</v>
      </c>
      <c r="T24" t="str">
        <f>TEXT(New_Finance_Data[[#This Row],[Date]],"MMM-YYYY")</f>
        <v>Sep-2013</v>
      </c>
      <c r="U24" t="str">
        <f>IF(New_Finance_Data[[#This Row],[ Profit ]]&gt;0,"Profit","Loss")</f>
        <v>Profit</v>
      </c>
      <c r="V24" t="str">
        <f>IF(New_Finance_Data[[#This Row],[  Sales ]]&gt;=50000,"High Sales","Low Sales")</f>
        <v>Low Sales</v>
      </c>
      <c r="W24" t="b">
        <f>ISNUMBER(New_Finance_Data[[#This Row],[Date]])</f>
        <v>1</v>
      </c>
    </row>
    <row r="25" spans="1:23" x14ac:dyDescent="0.2">
      <c r="A25" t="s">
        <v>31</v>
      </c>
      <c r="B25" t="s">
        <v>24</v>
      </c>
      <c r="C25" t="s">
        <v>36</v>
      </c>
      <c r="D25" t="s">
        <v>18</v>
      </c>
      <c r="E25" s="27">
        <v>788</v>
      </c>
      <c r="F25" s="27">
        <v>10</v>
      </c>
      <c r="G25" s="27">
        <v>300</v>
      </c>
      <c r="H25" s="27">
        <v>236400</v>
      </c>
      <c r="I25" s="5">
        <v>0</v>
      </c>
      <c r="J25" s="27">
        <v>236400</v>
      </c>
      <c r="K25" s="27">
        <v>197000</v>
      </c>
      <c r="L25" s="5">
        <v>39400</v>
      </c>
      <c r="M25" s="28">
        <v>41518</v>
      </c>
      <c r="N25" s="3">
        <v>9</v>
      </c>
      <c r="O25" s="29" t="s">
        <v>33</v>
      </c>
      <c r="P25" s="3">
        <v>2013</v>
      </c>
      <c r="Q25" s="6">
        <f>New_Finance_Data[[#This Row],[ Profit ]]/New_Finance_Data[[#This Row],[  Sales ]]</f>
        <v>0.16666666666666666</v>
      </c>
      <c r="R25" t="str">
        <f>IF(New_Finance_Data[[#This Row],[  Sales ]]&gt;=100000,"High",IF(New_Finance_Data[[#This Row],[  Sales ]]&gt;=50000,"Medium","Low"))</f>
        <v>High</v>
      </c>
      <c r="S25" t="str">
        <f>IF(OR(ISBLANK(New_Finance_Data[[#This Row],[  Sales ]]),ISBLANK(New_Finance_Data[[#This Row],[ Profit ]])),"Missing","OK")</f>
        <v>OK</v>
      </c>
      <c r="T25" t="str">
        <f>TEXT(New_Finance_Data[[#This Row],[Date]],"MMM-YYYY")</f>
        <v>Sep-2013</v>
      </c>
      <c r="U25" t="str">
        <f>IF(New_Finance_Data[[#This Row],[ Profit ]]&gt;0,"Profit","Loss")</f>
        <v>Profit</v>
      </c>
      <c r="V25" t="str">
        <f>IF(New_Finance_Data[[#This Row],[  Sales ]]&gt;=50000,"High Sales","Low Sales")</f>
        <v>High Sales</v>
      </c>
      <c r="W25" t="b">
        <f>ISNUMBER(New_Finance_Data[[#This Row],[Date]])</f>
        <v>1</v>
      </c>
    </row>
    <row r="26" spans="1:23" x14ac:dyDescent="0.2">
      <c r="A26" t="s">
        <v>21</v>
      </c>
      <c r="B26" t="s">
        <v>24</v>
      </c>
      <c r="C26" t="s">
        <v>36</v>
      </c>
      <c r="D26" t="s">
        <v>18</v>
      </c>
      <c r="E26" s="27">
        <v>2472</v>
      </c>
      <c r="F26" s="27">
        <v>10</v>
      </c>
      <c r="G26" s="27">
        <v>15</v>
      </c>
      <c r="H26" s="27">
        <v>37080</v>
      </c>
      <c r="I26" s="5">
        <v>0</v>
      </c>
      <c r="J26" s="27">
        <v>37080</v>
      </c>
      <c r="K26" s="27">
        <v>24720</v>
      </c>
      <c r="L26" s="5">
        <v>12360</v>
      </c>
      <c r="M26" s="28">
        <v>41883</v>
      </c>
      <c r="N26" s="3">
        <v>9</v>
      </c>
      <c r="O26" s="29" t="s">
        <v>33</v>
      </c>
      <c r="P26" s="3">
        <v>2014</v>
      </c>
      <c r="Q26" s="6">
        <f>New_Finance_Data[[#This Row],[ Profit ]]/New_Finance_Data[[#This Row],[  Sales ]]</f>
        <v>0.33333333333333331</v>
      </c>
      <c r="R26" t="str">
        <f>IF(New_Finance_Data[[#This Row],[  Sales ]]&gt;=100000,"High",IF(New_Finance_Data[[#This Row],[  Sales ]]&gt;=50000,"Medium","Low"))</f>
        <v>Low</v>
      </c>
      <c r="S26" t="str">
        <f>IF(OR(ISBLANK(New_Finance_Data[[#This Row],[  Sales ]]),ISBLANK(New_Finance_Data[[#This Row],[ Profit ]])),"Missing","OK")</f>
        <v>OK</v>
      </c>
      <c r="T26" t="str">
        <f>TEXT(New_Finance_Data[[#This Row],[Date]],"MMM-YYYY")</f>
        <v>Sep-2014</v>
      </c>
      <c r="U26" t="str">
        <f>IF(New_Finance_Data[[#This Row],[ Profit ]]&gt;0,"Profit","Loss")</f>
        <v>Profit</v>
      </c>
      <c r="V26" t="str">
        <f>IF(New_Finance_Data[[#This Row],[  Sales ]]&gt;=50000,"High Sales","Low Sales")</f>
        <v>Low Sales</v>
      </c>
      <c r="W26" t="b">
        <f>ISNUMBER(New_Finance_Data[[#This Row],[Date]])</f>
        <v>1</v>
      </c>
    </row>
    <row r="27" spans="1:23" x14ac:dyDescent="0.2">
      <c r="A27" t="s">
        <v>15</v>
      </c>
      <c r="B27" t="s">
        <v>35</v>
      </c>
      <c r="C27" t="s">
        <v>36</v>
      </c>
      <c r="D27" t="s">
        <v>18</v>
      </c>
      <c r="E27" s="27">
        <v>1143</v>
      </c>
      <c r="F27" s="27">
        <v>10</v>
      </c>
      <c r="G27" s="27">
        <v>7</v>
      </c>
      <c r="H27" s="27">
        <v>8001</v>
      </c>
      <c r="I27" s="5">
        <v>0</v>
      </c>
      <c r="J27" s="27">
        <v>8001</v>
      </c>
      <c r="K27" s="27">
        <v>5715</v>
      </c>
      <c r="L27" s="5">
        <v>2286</v>
      </c>
      <c r="M27" s="28">
        <v>41913</v>
      </c>
      <c r="N27" s="3">
        <v>10</v>
      </c>
      <c r="O27" s="29" t="s">
        <v>34</v>
      </c>
      <c r="P27" s="3">
        <v>2014</v>
      </c>
      <c r="Q27" s="6">
        <f>New_Finance_Data[[#This Row],[ Profit ]]/New_Finance_Data[[#This Row],[  Sales ]]</f>
        <v>0.2857142857142857</v>
      </c>
      <c r="R27" t="str">
        <f>IF(New_Finance_Data[[#This Row],[  Sales ]]&gt;=100000,"High",IF(New_Finance_Data[[#This Row],[  Sales ]]&gt;=50000,"Medium","Low"))</f>
        <v>Low</v>
      </c>
      <c r="S27" t="str">
        <f>IF(OR(ISBLANK(New_Finance_Data[[#This Row],[  Sales ]]),ISBLANK(New_Finance_Data[[#This Row],[ Profit ]])),"Missing","OK")</f>
        <v>OK</v>
      </c>
      <c r="T27" t="str">
        <f>TEXT(New_Finance_Data[[#This Row],[Date]],"MMM-YYYY")</f>
        <v>Oct-2014</v>
      </c>
      <c r="U27" t="str">
        <f>IF(New_Finance_Data[[#This Row],[ Profit ]]&gt;0,"Profit","Loss")</f>
        <v>Profit</v>
      </c>
      <c r="V27" t="str">
        <f>IF(New_Finance_Data[[#This Row],[  Sales ]]&gt;=50000,"High Sales","Low Sales")</f>
        <v>Low Sales</v>
      </c>
      <c r="W27" t="b">
        <f>ISNUMBER(New_Finance_Data[[#This Row],[Date]])</f>
        <v>1</v>
      </c>
    </row>
    <row r="28" spans="1:23" x14ac:dyDescent="0.2">
      <c r="A28" t="s">
        <v>15</v>
      </c>
      <c r="B28" t="s">
        <v>16</v>
      </c>
      <c r="C28" t="s">
        <v>36</v>
      </c>
      <c r="D28" t="s">
        <v>18</v>
      </c>
      <c r="E28" s="27">
        <v>1725</v>
      </c>
      <c r="F28" s="27">
        <v>10</v>
      </c>
      <c r="G28" s="27">
        <v>350</v>
      </c>
      <c r="H28" s="27">
        <v>603750</v>
      </c>
      <c r="I28" s="5">
        <v>0</v>
      </c>
      <c r="J28" s="27">
        <v>603750</v>
      </c>
      <c r="K28" s="27">
        <v>448500</v>
      </c>
      <c r="L28" s="5">
        <v>155250</v>
      </c>
      <c r="M28" s="28">
        <v>41579</v>
      </c>
      <c r="N28" s="3">
        <v>11</v>
      </c>
      <c r="O28" s="29" t="s">
        <v>38</v>
      </c>
      <c r="P28" s="3">
        <v>2013</v>
      </c>
      <c r="Q28" s="6">
        <f>New_Finance_Data[[#This Row],[ Profit ]]/New_Finance_Data[[#This Row],[  Sales ]]</f>
        <v>0.25714285714285712</v>
      </c>
      <c r="R28" t="str">
        <f>IF(New_Finance_Data[[#This Row],[  Sales ]]&gt;=100000,"High",IF(New_Finance_Data[[#This Row],[  Sales ]]&gt;=50000,"Medium","Low"))</f>
        <v>High</v>
      </c>
      <c r="S28" t="str">
        <f>IF(OR(ISBLANK(New_Finance_Data[[#This Row],[  Sales ]]),ISBLANK(New_Finance_Data[[#This Row],[ Profit ]])),"Missing","OK")</f>
        <v>OK</v>
      </c>
      <c r="T28" t="str">
        <f>TEXT(New_Finance_Data[[#This Row],[Date]],"MMM-YYYY")</f>
        <v>Nov-2013</v>
      </c>
      <c r="U28" t="str">
        <f>IF(New_Finance_Data[[#This Row],[ Profit ]]&gt;0,"Profit","Loss")</f>
        <v>Profit</v>
      </c>
      <c r="V28" t="str">
        <f>IF(New_Finance_Data[[#This Row],[  Sales ]]&gt;=50000,"High Sales","Low Sales")</f>
        <v>High Sales</v>
      </c>
      <c r="W28" t="b">
        <f>ISNUMBER(New_Finance_Data[[#This Row],[Date]])</f>
        <v>1</v>
      </c>
    </row>
    <row r="29" spans="1:23" x14ac:dyDescent="0.2">
      <c r="A29" t="s">
        <v>28</v>
      </c>
      <c r="B29" t="s">
        <v>35</v>
      </c>
      <c r="C29" t="s">
        <v>36</v>
      </c>
      <c r="D29" t="s">
        <v>18</v>
      </c>
      <c r="E29" s="27">
        <v>912</v>
      </c>
      <c r="F29" s="27">
        <v>10</v>
      </c>
      <c r="G29" s="27">
        <v>12</v>
      </c>
      <c r="H29" s="27">
        <v>10944</v>
      </c>
      <c r="I29" s="5">
        <v>0</v>
      </c>
      <c r="J29" s="27">
        <v>10944</v>
      </c>
      <c r="K29" s="27">
        <v>2736</v>
      </c>
      <c r="L29" s="5">
        <v>8208</v>
      </c>
      <c r="M29" s="28">
        <v>41579</v>
      </c>
      <c r="N29" s="3">
        <v>11</v>
      </c>
      <c r="O29" s="29" t="s">
        <v>38</v>
      </c>
      <c r="P29" s="3">
        <v>2013</v>
      </c>
      <c r="Q29" s="6">
        <f>New_Finance_Data[[#This Row],[ Profit ]]/New_Finance_Data[[#This Row],[  Sales ]]</f>
        <v>0.75</v>
      </c>
      <c r="R29" t="str">
        <f>IF(New_Finance_Data[[#This Row],[  Sales ]]&gt;=100000,"High",IF(New_Finance_Data[[#This Row],[  Sales ]]&gt;=50000,"Medium","Low"))</f>
        <v>Low</v>
      </c>
      <c r="S29" t="str">
        <f>IF(OR(ISBLANK(New_Finance_Data[[#This Row],[  Sales ]]),ISBLANK(New_Finance_Data[[#This Row],[ Profit ]])),"Missing","OK")</f>
        <v>OK</v>
      </c>
      <c r="T29" t="str">
        <f>TEXT(New_Finance_Data[[#This Row],[Date]],"MMM-YYYY")</f>
        <v>Nov-2013</v>
      </c>
      <c r="U29" t="str">
        <f>IF(New_Finance_Data[[#This Row],[ Profit ]]&gt;0,"Profit","Loss")</f>
        <v>Profit</v>
      </c>
      <c r="V29" t="str">
        <f>IF(New_Finance_Data[[#This Row],[  Sales ]]&gt;=50000,"High Sales","Low Sales")</f>
        <v>Low Sales</v>
      </c>
      <c r="W29" t="b">
        <f>ISNUMBER(New_Finance_Data[[#This Row],[Date]])</f>
        <v>1</v>
      </c>
    </row>
    <row r="30" spans="1:23" x14ac:dyDescent="0.2">
      <c r="A30" t="s">
        <v>21</v>
      </c>
      <c r="B30" t="s">
        <v>16</v>
      </c>
      <c r="C30" t="s">
        <v>36</v>
      </c>
      <c r="D30" t="s">
        <v>18</v>
      </c>
      <c r="E30" s="27">
        <v>2152</v>
      </c>
      <c r="F30" s="27">
        <v>10</v>
      </c>
      <c r="G30" s="27">
        <v>15</v>
      </c>
      <c r="H30" s="27">
        <v>32280</v>
      </c>
      <c r="I30" s="5">
        <v>0</v>
      </c>
      <c r="J30" s="27">
        <v>32280</v>
      </c>
      <c r="K30" s="27">
        <v>21520</v>
      </c>
      <c r="L30" s="5">
        <v>10760</v>
      </c>
      <c r="M30" s="28">
        <v>41609</v>
      </c>
      <c r="N30" s="3">
        <v>12</v>
      </c>
      <c r="O30" s="29" t="s">
        <v>25</v>
      </c>
      <c r="P30" s="3">
        <v>2013</v>
      </c>
      <c r="Q30" s="6">
        <f>New_Finance_Data[[#This Row],[ Profit ]]/New_Finance_Data[[#This Row],[  Sales ]]</f>
        <v>0.33333333333333331</v>
      </c>
      <c r="R30" t="str">
        <f>IF(New_Finance_Data[[#This Row],[  Sales ]]&gt;=100000,"High",IF(New_Finance_Data[[#This Row],[  Sales ]]&gt;=50000,"Medium","Low"))</f>
        <v>Low</v>
      </c>
      <c r="S30" t="str">
        <f>IF(OR(ISBLANK(New_Finance_Data[[#This Row],[  Sales ]]),ISBLANK(New_Finance_Data[[#This Row],[ Profit ]])),"Missing","OK")</f>
        <v>OK</v>
      </c>
      <c r="T30" t="str">
        <f>TEXT(New_Finance_Data[[#This Row],[Date]],"MMM-YYYY")</f>
        <v>Dec-2013</v>
      </c>
      <c r="U30" t="str">
        <f>IF(New_Finance_Data[[#This Row],[ Profit ]]&gt;0,"Profit","Loss")</f>
        <v>Profit</v>
      </c>
      <c r="V30" t="str">
        <f>IF(New_Finance_Data[[#This Row],[  Sales ]]&gt;=50000,"High Sales","Low Sales")</f>
        <v>Low Sales</v>
      </c>
      <c r="W30" t="b">
        <f>ISNUMBER(New_Finance_Data[[#This Row],[Date]])</f>
        <v>1</v>
      </c>
    </row>
    <row r="31" spans="1:23" x14ac:dyDescent="0.2">
      <c r="A31" t="s">
        <v>15</v>
      </c>
      <c r="B31" t="s">
        <v>16</v>
      </c>
      <c r="C31" t="s">
        <v>36</v>
      </c>
      <c r="D31" t="s">
        <v>18</v>
      </c>
      <c r="E31" s="27">
        <v>1817</v>
      </c>
      <c r="F31" s="27">
        <v>10</v>
      </c>
      <c r="G31" s="27">
        <v>20</v>
      </c>
      <c r="H31" s="27">
        <v>36340</v>
      </c>
      <c r="I31" s="5">
        <v>0</v>
      </c>
      <c r="J31" s="27">
        <v>36340</v>
      </c>
      <c r="K31" s="27">
        <v>18170</v>
      </c>
      <c r="L31" s="5">
        <v>18170</v>
      </c>
      <c r="M31" s="28">
        <v>41974</v>
      </c>
      <c r="N31" s="3">
        <v>12</v>
      </c>
      <c r="O31" s="29" t="s">
        <v>25</v>
      </c>
      <c r="P31" s="3">
        <v>2014</v>
      </c>
      <c r="Q31" s="6">
        <f>New_Finance_Data[[#This Row],[ Profit ]]/New_Finance_Data[[#This Row],[  Sales ]]</f>
        <v>0.5</v>
      </c>
      <c r="R31" t="str">
        <f>IF(New_Finance_Data[[#This Row],[  Sales ]]&gt;=100000,"High",IF(New_Finance_Data[[#This Row],[  Sales ]]&gt;=50000,"Medium","Low"))</f>
        <v>Low</v>
      </c>
      <c r="S31" t="str">
        <f>IF(OR(ISBLANK(New_Finance_Data[[#This Row],[  Sales ]]),ISBLANK(New_Finance_Data[[#This Row],[ Profit ]])),"Missing","OK")</f>
        <v>OK</v>
      </c>
      <c r="T31" t="str">
        <f>TEXT(New_Finance_Data[[#This Row],[Date]],"MMM-YYYY")</f>
        <v>Dec-2014</v>
      </c>
      <c r="U31" t="str">
        <f>IF(New_Finance_Data[[#This Row],[ Profit ]]&gt;0,"Profit","Loss")</f>
        <v>Profit</v>
      </c>
      <c r="V31" t="str">
        <f>IF(New_Finance_Data[[#This Row],[  Sales ]]&gt;=50000,"High Sales","Low Sales")</f>
        <v>Low Sales</v>
      </c>
      <c r="W31" t="b">
        <f>ISNUMBER(New_Finance_Data[[#This Row],[Date]])</f>
        <v>1</v>
      </c>
    </row>
    <row r="32" spans="1:23" x14ac:dyDescent="0.2">
      <c r="A32" t="s">
        <v>15</v>
      </c>
      <c r="B32" t="s">
        <v>20</v>
      </c>
      <c r="C32" t="s">
        <v>36</v>
      </c>
      <c r="D32" t="s">
        <v>18</v>
      </c>
      <c r="E32" s="27">
        <v>1513</v>
      </c>
      <c r="F32" s="27">
        <v>10</v>
      </c>
      <c r="G32" s="27">
        <v>350</v>
      </c>
      <c r="H32" s="27">
        <v>529550</v>
      </c>
      <c r="I32" s="5">
        <v>0</v>
      </c>
      <c r="J32" s="27">
        <v>529550</v>
      </c>
      <c r="K32" s="27">
        <v>393380</v>
      </c>
      <c r="L32" s="5">
        <v>136170</v>
      </c>
      <c r="M32" s="28">
        <v>41974</v>
      </c>
      <c r="N32" s="3">
        <v>12</v>
      </c>
      <c r="O32" s="29" t="s">
        <v>25</v>
      </c>
      <c r="P32" s="3">
        <v>2014</v>
      </c>
      <c r="Q32" s="6">
        <f>New_Finance_Data[[#This Row],[ Profit ]]/New_Finance_Data[[#This Row],[  Sales ]]</f>
        <v>0.25714285714285712</v>
      </c>
      <c r="R32" t="str">
        <f>IF(New_Finance_Data[[#This Row],[  Sales ]]&gt;=100000,"High",IF(New_Finance_Data[[#This Row],[  Sales ]]&gt;=50000,"Medium","Low"))</f>
        <v>High</v>
      </c>
      <c r="S32" t="str">
        <f>IF(OR(ISBLANK(New_Finance_Data[[#This Row],[  Sales ]]),ISBLANK(New_Finance_Data[[#This Row],[ Profit ]])),"Missing","OK")</f>
        <v>OK</v>
      </c>
      <c r="T32" t="str">
        <f>TEXT(New_Finance_Data[[#This Row],[Date]],"MMM-YYYY")</f>
        <v>Dec-2014</v>
      </c>
      <c r="U32" t="str">
        <f>IF(New_Finance_Data[[#This Row],[ Profit ]]&gt;0,"Profit","Loss")</f>
        <v>Profit</v>
      </c>
      <c r="V32" t="str">
        <f>IF(New_Finance_Data[[#This Row],[  Sales ]]&gt;=50000,"High Sales","Low Sales")</f>
        <v>High Sales</v>
      </c>
      <c r="W32" t="b">
        <f>ISNUMBER(New_Finance_Data[[#This Row],[Date]])</f>
        <v>1</v>
      </c>
    </row>
    <row r="33" spans="1:23" x14ac:dyDescent="0.2">
      <c r="A33" t="s">
        <v>15</v>
      </c>
      <c r="B33" t="s">
        <v>24</v>
      </c>
      <c r="C33" t="s">
        <v>39</v>
      </c>
      <c r="D33" t="s">
        <v>18</v>
      </c>
      <c r="E33" s="27">
        <v>1493</v>
      </c>
      <c r="F33" s="27">
        <v>120</v>
      </c>
      <c r="G33" s="27">
        <v>7</v>
      </c>
      <c r="H33" s="27">
        <v>10451</v>
      </c>
      <c r="I33" s="5">
        <v>0</v>
      </c>
      <c r="J33" s="27">
        <v>10451</v>
      </c>
      <c r="K33" s="27">
        <v>7465</v>
      </c>
      <c r="L33" s="5">
        <v>2986</v>
      </c>
      <c r="M33" s="28">
        <v>41640</v>
      </c>
      <c r="N33" s="3">
        <v>1</v>
      </c>
      <c r="O33" s="29" t="s">
        <v>19</v>
      </c>
      <c r="P33" s="3">
        <v>2014</v>
      </c>
      <c r="Q33" s="6">
        <f>New_Finance_Data[[#This Row],[ Profit ]]/New_Finance_Data[[#This Row],[  Sales ]]</f>
        <v>0.2857142857142857</v>
      </c>
      <c r="R33" t="str">
        <f>IF(New_Finance_Data[[#This Row],[  Sales ]]&gt;=100000,"High",IF(New_Finance_Data[[#This Row],[  Sales ]]&gt;=50000,"Medium","Low"))</f>
        <v>Low</v>
      </c>
      <c r="S33" t="str">
        <f>IF(OR(ISBLANK(New_Finance_Data[[#This Row],[  Sales ]]),ISBLANK(New_Finance_Data[[#This Row],[ Profit ]])),"Missing","OK")</f>
        <v>OK</v>
      </c>
      <c r="T33" t="str">
        <f>TEXT(New_Finance_Data[[#This Row],[Date]],"MMM-YYYY")</f>
        <v>Jan-2014</v>
      </c>
      <c r="U33" t="str">
        <f>IF(New_Finance_Data[[#This Row],[ Profit ]]&gt;0,"Profit","Loss")</f>
        <v>Profit</v>
      </c>
      <c r="V33" t="str">
        <f>IF(New_Finance_Data[[#This Row],[  Sales ]]&gt;=50000,"High Sales","Low Sales")</f>
        <v>Low Sales</v>
      </c>
      <c r="W33" t="b">
        <f>ISNUMBER(New_Finance_Data[[#This Row],[Date]])</f>
        <v>1</v>
      </c>
    </row>
    <row r="34" spans="1:23" x14ac:dyDescent="0.2">
      <c r="A34" t="s">
        <v>29</v>
      </c>
      <c r="B34" t="s">
        <v>22</v>
      </c>
      <c r="C34" t="s">
        <v>39</v>
      </c>
      <c r="D34" t="s">
        <v>18</v>
      </c>
      <c r="E34" s="27">
        <v>1804</v>
      </c>
      <c r="F34" s="27">
        <v>120</v>
      </c>
      <c r="G34" s="27">
        <v>125</v>
      </c>
      <c r="H34" s="27">
        <v>225500</v>
      </c>
      <c r="I34" s="5">
        <v>0</v>
      </c>
      <c r="J34" s="27">
        <v>225500</v>
      </c>
      <c r="K34" s="27">
        <v>216480</v>
      </c>
      <c r="L34" s="5">
        <v>9020</v>
      </c>
      <c r="M34" s="28">
        <v>41671</v>
      </c>
      <c r="N34" s="3">
        <v>2</v>
      </c>
      <c r="O34" s="29" t="s">
        <v>37</v>
      </c>
      <c r="P34" s="3">
        <v>2014</v>
      </c>
      <c r="Q34" s="6">
        <f>New_Finance_Data[[#This Row],[ Profit ]]/New_Finance_Data[[#This Row],[  Sales ]]</f>
        <v>0.04</v>
      </c>
      <c r="R34" t="str">
        <f>IF(New_Finance_Data[[#This Row],[  Sales ]]&gt;=100000,"High",IF(New_Finance_Data[[#This Row],[  Sales ]]&gt;=50000,"Medium","Low"))</f>
        <v>High</v>
      </c>
      <c r="S34" t="str">
        <f>IF(OR(ISBLANK(New_Finance_Data[[#This Row],[  Sales ]]),ISBLANK(New_Finance_Data[[#This Row],[ Profit ]])),"Missing","OK")</f>
        <v>OK</v>
      </c>
      <c r="T34" t="str">
        <f>TEXT(New_Finance_Data[[#This Row],[Date]],"MMM-YYYY")</f>
        <v>Feb-2014</v>
      </c>
      <c r="U34" t="str">
        <f>IF(New_Finance_Data[[#This Row],[ Profit ]]&gt;0,"Profit","Loss")</f>
        <v>Profit</v>
      </c>
      <c r="V34" t="str">
        <f>IF(New_Finance_Data[[#This Row],[  Sales ]]&gt;=50000,"High Sales","Low Sales")</f>
        <v>High Sales</v>
      </c>
      <c r="W34" t="b">
        <f>ISNUMBER(New_Finance_Data[[#This Row],[Date]])</f>
        <v>1</v>
      </c>
    </row>
    <row r="35" spans="1:23" x14ac:dyDescent="0.2">
      <c r="A35" t="s">
        <v>28</v>
      </c>
      <c r="B35" t="s">
        <v>20</v>
      </c>
      <c r="C35" t="s">
        <v>39</v>
      </c>
      <c r="D35" t="s">
        <v>18</v>
      </c>
      <c r="E35" s="27">
        <v>2161</v>
      </c>
      <c r="F35" s="27">
        <v>120</v>
      </c>
      <c r="G35" s="27">
        <v>12</v>
      </c>
      <c r="H35" s="27">
        <v>25932</v>
      </c>
      <c r="I35" s="5">
        <v>0</v>
      </c>
      <c r="J35" s="27">
        <v>25932</v>
      </c>
      <c r="K35" s="27">
        <v>6483</v>
      </c>
      <c r="L35" s="5">
        <v>19449</v>
      </c>
      <c r="M35" s="28">
        <v>41699</v>
      </c>
      <c r="N35" s="3">
        <v>3</v>
      </c>
      <c r="O35" s="29" t="s">
        <v>27</v>
      </c>
      <c r="P35" s="3">
        <v>2014</v>
      </c>
      <c r="Q35" s="6">
        <f>New_Finance_Data[[#This Row],[ Profit ]]/New_Finance_Data[[#This Row],[  Sales ]]</f>
        <v>0.75</v>
      </c>
      <c r="R35" t="str">
        <f>IF(New_Finance_Data[[#This Row],[  Sales ]]&gt;=100000,"High",IF(New_Finance_Data[[#This Row],[  Sales ]]&gt;=50000,"Medium","Low"))</f>
        <v>Low</v>
      </c>
      <c r="S35" t="str">
        <f>IF(OR(ISBLANK(New_Finance_Data[[#This Row],[  Sales ]]),ISBLANK(New_Finance_Data[[#This Row],[ Profit ]])),"Missing","OK")</f>
        <v>OK</v>
      </c>
      <c r="T35" t="str">
        <f>TEXT(New_Finance_Data[[#This Row],[Date]],"MMM-YYYY")</f>
        <v>Mar-2014</v>
      </c>
      <c r="U35" t="str">
        <f>IF(New_Finance_Data[[#This Row],[ Profit ]]&gt;0,"Profit","Loss")</f>
        <v>Profit</v>
      </c>
      <c r="V35" t="str">
        <f>IF(New_Finance_Data[[#This Row],[  Sales ]]&gt;=50000,"High Sales","Low Sales")</f>
        <v>Low Sales</v>
      </c>
      <c r="W35" t="b">
        <f>ISNUMBER(New_Finance_Data[[#This Row],[Date]])</f>
        <v>1</v>
      </c>
    </row>
    <row r="36" spans="1:23" x14ac:dyDescent="0.2">
      <c r="A36" t="s">
        <v>15</v>
      </c>
      <c r="B36" t="s">
        <v>20</v>
      </c>
      <c r="C36" t="s">
        <v>39</v>
      </c>
      <c r="D36" t="s">
        <v>18</v>
      </c>
      <c r="E36" s="27">
        <v>1006</v>
      </c>
      <c r="F36" s="27">
        <v>120</v>
      </c>
      <c r="G36" s="27">
        <v>350</v>
      </c>
      <c r="H36" s="27">
        <v>352100</v>
      </c>
      <c r="I36" s="5">
        <v>0</v>
      </c>
      <c r="J36" s="27">
        <v>352100</v>
      </c>
      <c r="K36" s="27">
        <v>261560</v>
      </c>
      <c r="L36" s="5">
        <v>90540</v>
      </c>
      <c r="M36" s="28">
        <v>41791</v>
      </c>
      <c r="N36" s="3">
        <v>6</v>
      </c>
      <c r="O36" s="29" t="s">
        <v>23</v>
      </c>
      <c r="P36" s="3">
        <v>2014</v>
      </c>
      <c r="Q36" s="6">
        <f>New_Finance_Data[[#This Row],[ Profit ]]/New_Finance_Data[[#This Row],[  Sales ]]</f>
        <v>0.25714285714285712</v>
      </c>
      <c r="R36" t="str">
        <f>IF(New_Finance_Data[[#This Row],[  Sales ]]&gt;=100000,"High",IF(New_Finance_Data[[#This Row],[  Sales ]]&gt;=50000,"Medium","Low"))</f>
        <v>High</v>
      </c>
      <c r="S36" t="str">
        <f>IF(OR(ISBLANK(New_Finance_Data[[#This Row],[  Sales ]]),ISBLANK(New_Finance_Data[[#This Row],[ Profit ]])),"Missing","OK")</f>
        <v>OK</v>
      </c>
      <c r="T36" t="str">
        <f>TEXT(New_Finance_Data[[#This Row],[Date]],"MMM-YYYY")</f>
        <v>Jun-2014</v>
      </c>
      <c r="U36" t="str">
        <f>IF(New_Finance_Data[[#This Row],[ Profit ]]&gt;0,"Profit","Loss")</f>
        <v>Profit</v>
      </c>
      <c r="V36" t="str">
        <f>IF(New_Finance_Data[[#This Row],[  Sales ]]&gt;=50000,"High Sales","Low Sales")</f>
        <v>High Sales</v>
      </c>
      <c r="W36" t="b">
        <f>ISNUMBER(New_Finance_Data[[#This Row],[Date]])</f>
        <v>1</v>
      </c>
    </row>
    <row r="37" spans="1:23" x14ac:dyDescent="0.2">
      <c r="A37" t="s">
        <v>28</v>
      </c>
      <c r="B37" t="s">
        <v>20</v>
      </c>
      <c r="C37" t="s">
        <v>39</v>
      </c>
      <c r="D37" t="s">
        <v>18</v>
      </c>
      <c r="E37" s="27">
        <v>1545</v>
      </c>
      <c r="F37" s="27">
        <v>120</v>
      </c>
      <c r="G37" s="27">
        <v>12</v>
      </c>
      <c r="H37" s="27">
        <v>18540</v>
      </c>
      <c r="I37" s="5">
        <v>0</v>
      </c>
      <c r="J37" s="27">
        <v>18540</v>
      </c>
      <c r="K37" s="27">
        <v>4635</v>
      </c>
      <c r="L37" s="5">
        <v>13905</v>
      </c>
      <c r="M37" s="28">
        <v>41791</v>
      </c>
      <c r="N37" s="3">
        <v>6</v>
      </c>
      <c r="O37" s="29" t="s">
        <v>23</v>
      </c>
      <c r="P37" s="3">
        <v>2014</v>
      </c>
      <c r="Q37" s="6">
        <f>New_Finance_Data[[#This Row],[ Profit ]]/New_Finance_Data[[#This Row],[  Sales ]]</f>
        <v>0.75</v>
      </c>
      <c r="R37" t="str">
        <f>IF(New_Finance_Data[[#This Row],[  Sales ]]&gt;=100000,"High",IF(New_Finance_Data[[#This Row],[  Sales ]]&gt;=50000,"Medium","Low"))</f>
        <v>Low</v>
      </c>
      <c r="S37" t="str">
        <f>IF(OR(ISBLANK(New_Finance_Data[[#This Row],[  Sales ]]),ISBLANK(New_Finance_Data[[#This Row],[ Profit ]])),"Missing","OK")</f>
        <v>OK</v>
      </c>
      <c r="T37" t="str">
        <f>TEXT(New_Finance_Data[[#This Row],[Date]],"MMM-YYYY")</f>
        <v>Jun-2014</v>
      </c>
      <c r="U37" t="str">
        <f>IF(New_Finance_Data[[#This Row],[ Profit ]]&gt;0,"Profit","Loss")</f>
        <v>Profit</v>
      </c>
      <c r="V37" t="str">
        <f>IF(New_Finance_Data[[#This Row],[  Sales ]]&gt;=50000,"High Sales","Low Sales")</f>
        <v>Low Sales</v>
      </c>
      <c r="W37" t="b">
        <f>ISNUMBER(New_Finance_Data[[#This Row],[Date]])</f>
        <v>1</v>
      </c>
    </row>
    <row r="38" spans="1:23" x14ac:dyDescent="0.2">
      <c r="A38" t="s">
        <v>29</v>
      </c>
      <c r="B38" t="s">
        <v>35</v>
      </c>
      <c r="C38" t="s">
        <v>39</v>
      </c>
      <c r="D38" t="s">
        <v>18</v>
      </c>
      <c r="E38" s="27">
        <v>2821</v>
      </c>
      <c r="F38" s="27">
        <v>120</v>
      </c>
      <c r="G38" s="27">
        <v>125</v>
      </c>
      <c r="H38" s="27">
        <v>352625</v>
      </c>
      <c r="I38" s="5">
        <v>0</v>
      </c>
      <c r="J38" s="27">
        <v>352625</v>
      </c>
      <c r="K38" s="27">
        <v>338520</v>
      </c>
      <c r="L38" s="5">
        <v>14105</v>
      </c>
      <c r="M38" s="28">
        <v>41852</v>
      </c>
      <c r="N38" s="3">
        <v>8</v>
      </c>
      <c r="O38" s="29" t="s">
        <v>32</v>
      </c>
      <c r="P38" s="3">
        <v>2014</v>
      </c>
      <c r="Q38" s="6">
        <f>New_Finance_Data[[#This Row],[ Profit ]]/New_Finance_Data[[#This Row],[  Sales ]]</f>
        <v>0.04</v>
      </c>
      <c r="R38" t="str">
        <f>IF(New_Finance_Data[[#This Row],[  Sales ]]&gt;=100000,"High",IF(New_Finance_Data[[#This Row],[  Sales ]]&gt;=50000,"Medium","Low"))</f>
        <v>High</v>
      </c>
      <c r="S38" t="str">
        <f>IF(OR(ISBLANK(New_Finance_Data[[#This Row],[  Sales ]]),ISBLANK(New_Finance_Data[[#This Row],[ Profit ]])),"Missing","OK")</f>
        <v>OK</v>
      </c>
      <c r="T38" t="str">
        <f>TEXT(New_Finance_Data[[#This Row],[Date]],"MMM-YYYY")</f>
        <v>Aug-2014</v>
      </c>
      <c r="U38" t="str">
        <f>IF(New_Finance_Data[[#This Row],[ Profit ]]&gt;0,"Profit","Loss")</f>
        <v>Profit</v>
      </c>
      <c r="V38" t="str">
        <f>IF(New_Finance_Data[[#This Row],[  Sales ]]&gt;=50000,"High Sales","Low Sales")</f>
        <v>High Sales</v>
      </c>
      <c r="W38" t="b">
        <f>ISNUMBER(New_Finance_Data[[#This Row],[Date]])</f>
        <v>1</v>
      </c>
    </row>
    <row r="39" spans="1:23" x14ac:dyDescent="0.2">
      <c r="A39" t="s">
        <v>29</v>
      </c>
      <c r="B39" t="s">
        <v>16</v>
      </c>
      <c r="C39" t="s">
        <v>39</v>
      </c>
      <c r="D39" t="s">
        <v>18</v>
      </c>
      <c r="E39" s="27">
        <v>345</v>
      </c>
      <c r="F39" s="27">
        <v>120</v>
      </c>
      <c r="G39" s="27">
        <v>125</v>
      </c>
      <c r="H39" s="27">
        <v>43125</v>
      </c>
      <c r="I39" s="5">
        <v>0</v>
      </c>
      <c r="J39" s="27">
        <v>43125</v>
      </c>
      <c r="K39" s="27">
        <v>41400</v>
      </c>
      <c r="L39" s="5">
        <v>1725</v>
      </c>
      <c r="M39" s="28">
        <v>41548</v>
      </c>
      <c r="N39" s="3">
        <v>10</v>
      </c>
      <c r="O39" s="29" t="s">
        <v>34</v>
      </c>
      <c r="P39" s="3">
        <v>2013</v>
      </c>
      <c r="Q39" s="6">
        <f>New_Finance_Data[[#This Row],[ Profit ]]/New_Finance_Data[[#This Row],[  Sales ]]</f>
        <v>0.04</v>
      </c>
      <c r="R39" t="str">
        <f>IF(New_Finance_Data[[#This Row],[  Sales ]]&gt;=100000,"High",IF(New_Finance_Data[[#This Row],[  Sales ]]&gt;=50000,"Medium","Low"))</f>
        <v>Low</v>
      </c>
      <c r="S39" t="str">
        <f>IF(OR(ISBLANK(New_Finance_Data[[#This Row],[  Sales ]]),ISBLANK(New_Finance_Data[[#This Row],[ Profit ]])),"Missing","OK")</f>
        <v>OK</v>
      </c>
      <c r="T39" t="str">
        <f>TEXT(New_Finance_Data[[#This Row],[Date]],"MMM-YYYY")</f>
        <v>Oct-2013</v>
      </c>
      <c r="U39" t="str">
        <f>IF(New_Finance_Data[[#This Row],[ Profit ]]&gt;0,"Profit","Loss")</f>
        <v>Profit</v>
      </c>
      <c r="V39" t="str">
        <f>IF(New_Finance_Data[[#This Row],[  Sales ]]&gt;=50000,"High Sales","Low Sales")</f>
        <v>Low Sales</v>
      </c>
      <c r="W39" t="b">
        <f>ISNUMBER(New_Finance_Data[[#This Row],[Date]])</f>
        <v>1</v>
      </c>
    </row>
    <row r="40" spans="1:23" x14ac:dyDescent="0.2">
      <c r="A40" t="s">
        <v>31</v>
      </c>
      <c r="B40" t="s">
        <v>16</v>
      </c>
      <c r="C40" t="s">
        <v>40</v>
      </c>
      <c r="D40" t="s">
        <v>18</v>
      </c>
      <c r="E40" s="27">
        <v>2001</v>
      </c>
      <c r="F40" s="27">
        <v>250</v>
      </c>
      <c r="G40" s="27">
        <v>300</v>
      </c>
      <c r="H40" s="27">
        <v>600300</v>
      </c>
      <c r="I40" s="5">
        <v>0</v>
      </c>
      <c r="J40" s="27">
        <v>600300</v>
      </c>
      <c r="K40" s="27">
        <v>500250</v>
      </c>
      <c r="L40" s="5">
        <v>100050</v>
      </c>
      <c r="M40" s="28">
        <v>41671</v>
      </c>
      <c r="N40" s="3">
        <v>2</v>
      </c>
      <c r="O40" s="29" t="s">
        <v>37</v>
      </c>
      <c r="P40" s="3">
        <v>2014</v>
      </c>
      <c r="Q40" s="6">
        <f>New_Finance_Data[[#This Row],[ Profit ]]/New_Finance_Data[[#This Row],[  Sales ]]</f>
        <v>0.16666666666666666</v>
      </c>
      <c r="R40" t="str">
        <f>IF(New_Finance_Data[[#This Row],[  Sales ]]&gt;=100000,"High",IF(New_Finance_Data[[#This Row],[  Sales ]]&gt;=50000,"Medium","Low"))</f>
        <v>High</v>
      </c>
      <c r="S40" t="str">
        <f>IF(OR(ISBLANK(New_Finance_Data[[#This Row],[  Sales ]]),ISBLANK(New_Finance_Data[[#This Row],[ Profit ]])),"Missing","OK")</f>
        <v>OK</v>
      </c>
      <c r="T40" t="str">
        <f>TEXT(New_Finance_Data[[#This Row],[Date]],"MMM-YYYY")</f>
        <v>Feb-2014</v>
      </c>
      <c r="U40" t="str">
        <f>IF(New_Finance_Data[[#This Row],[ Profit ]]&gt;0,"Profit","Loss")</f>
        <v>Profit</v>
      </c>
      <c r="V40" t="str">
        <f>IF(New_Finance_Data[[#This Row],[  Sales ]]&gt;=50000,"High Sales","Low Sales")</f>
        <v>High Sales</v>
      </c>
      <c r="W40" t="b">
        <f>ISNUMBER(New_Finance_Data[[#This Row],[Date]])</f>
        <v>1</v>
      </c>
    </row>
    <row r="41" spans="1:23" x14ac:dyDescent="0.2">
      <c r="A41" t="s">
        <v>28</v>
      </c>
      <c r="B41" t="s">
        <v>20</v>
      </c>
      <c r="C41" t="s">
        <v>40</v>
      </c>
      <c r="D41" t="s">
        <v>18</v>
      </c>
      <c r="E41" s="27">
        <v>2838</v>
      </c>
      <c r="F41" s="27">
        <v>250</v>
      </c>
      <c r="G41" s="27">
        <v>12</v>
      </c>
      <c r="H41" s="27">
        <v>34056</v>
      </c>
      <c r="I41" s="5">
        <v>0</v>
      </c>
      <c r="J41" s="27">
        <v>34056</v>
      </c>
      <c r="K41" s="27">
        <v>8514</v>
      </c>
      <c r="L41" s="5">
        <v>25542</v>
      </c>
      <c r="M41" s="28">
        <v>41730</v>
      </c>
      <c r="N41" s="3">
        <v>4</v>
      </c>
      <c r="O41" s="29" t="s">
        <v>41</v>
      </c>
      <c r="P41" s="3">
        <v>2014</v>
      </c>
      <c r="Q41" s="6">
        <f>New_Finance_Data[[#This Row],[ Profit ]]/New_Finance_Data[[#This Row],[  Sales ]]</f>
        <v>0.75</v>
      </c>
      <c r="R41" t="str">
        <f>IF(New_Finance_Data[[#This Row],[  Sales ]]&gt;=100000,"High",IF(New_Finance_Data[[#This Row],[  Sales ]]&gt;=50000,"Medium","Low"))</f>
        <v>Low</v>
      </c>
      <c r="S41" t="str">
        <f>IF(OR(ISBLANK(New_Finance_Data[[#This Row],[  Sales ]]),ISBLANK(New_Finance_Data[[#This Row],[ Profit ]])),"Missing","OK")</f>
        <v>OK</v>
      </c>
      <c r="T41" t="str">
        <f>TEXT(New_Finance_Data[[#This Row],[Date]],"MMM-YYYY")</f>
        <v>Apr-2014</v>
      </c>
      <c r="U41" t="str">
        <f>IF(New_Finance_Data[[#This Row],[ Profit ]]&gt;0,"Profit","Loss")</f>
        <v>Profit</v>
      </c>
      <c r="V41" t="str">
        <f>IF(New_Finance_Data[[#This Row],[  Sales ]]&gt;=50000,"High Sales","Low Sales")</f>
        <v>Low Sales</v>
      </c>
      <c r="W41" t="b">
        <f>ISNUMBER(New_Finance_Data[[#This Row],[Date]])</f>
        <v>1</v>
      </c>
    </row>
    <row r="42" spans="1:23" x14ac:dyDescent="0.2">
      <c r="A42" t="s">
        <v>21</v>
      </c>
      <c r="B42" t="s">
        <v>22</v>
      </c>
      <c r="C42" t="s">
        <v>40</v>
      </c>
      <c r="D42" t="s">
        <v>18</v>
      </c>
      <c r="E42" s="27">
        <v>2178</v>
      </c>
      <c r="F42" s="27">
        <v>250</v>
      </c>
      <c r="G42" s="27">
        <v>15</v>
      </c>
      <c r="H42" s="27">
        <v>32670</v>
      </c>
      <c r="I42" s="5">
        <v>0</v>
      </c>
      <c r="J42" s="27">
        <v>32670</v>
      </c>
      <c r="K42" s="27">
        <v>21780</v>
      </c>
      <c r="L42" s="5">
        <v>10890</v>
      </c>
      <c r="M42" s="28">
        <v>41791</v>
      </c>
      <c r="N42" s="3">
        <v>6</v>
      </c>
      <c r="O42" s="29" t="s">
        <v>23</v>
      </c>
      <c r="P42" s="3">
        <v>2014</v>
      </c>
      <c r="Q42" s="6">
        <f>New_Finance_Data[[#This Row],[ Profit ]]/New_Finance_Data[[#This Row],[  Sales ]]</f>
        <v>0.33333333333333331</v>
      </c>
      <c r="R42" t="str">
        <f>IF(New_Finance_Data[[#This Row],[  Sales ]]&gt;=100000,"High",IF(New_Finance_Data[[#This Row],[  Sales ]]&gt;=50000,"Medium","Low"))</f>
        <v>Low</v>
      </c>
      <c r="S42" t="str">
        <f>IF(OR(ISBLANK(New_Finance_Data[[#This Row],[  Sales ]]),ISBLANK(New_Finance_Data[[#This Row],[ Profit ]])),"Missing","OK")</f>
        <v>OK</v>
      </c>
      <c r="T42" t="str">
        <f>TEXT(New_Finance_Data[[#This Row],[Date]],"MMM-YYYY")</f>
        <v>Jun-2014</v>
      </c>
      <c r="U42" t="str">
        <f>IF(New_Finance_Data[[#This Row],[ Profit ]]&gt;0,"Profit","Loss")</f>
        <v>Profit</v>
      </c>
      <c r="V42" t="str">
        <f>IF(New_Finance_Data[[#This Row],[  Sales ]]&gt;=50000,"High Sales","Low Sales")</f>
        <v>Low Sales</v>
      </c>
      <c r="W42" t="b">
        <f>ISNUMBER(New_Finance_Data[[#This Row],[Date]])</f>
        <v>1</v>
      </c>
    </row>
    <row r="43" spans="1:23" x14ac:dyDescent="0.2">
      <c r="A43" t="s">
        <v>21</v>
      </c>
      <c r="B43" t="s">
        <v>20</v>
      </c>
      <c r="C43" t="s">
        <v>40</v>
      </c>
      <c r="D43" t="s">
        <v>18</v>
      </c>
      <c r="E43" s="27">
        <v>888</v>
      </c>
      <c r="F43" s="27">
        <v>250</v>
      </c>
      <c r="G43" s="27">
        <v>15</v>
      </c>
      <c r="H43" s="27">
        <v>13320</v>
      </c>
      <c r="I43" s="5">
        <v>0</v>
      </c>
      <c r="J43" s="27">
        <v>13320</v>
      </c>
      <c r="K43" s="27">
        <v>8880</v>
      </c>
      <c r="L43" s="5">
        <v>4440</v>
      </c>
      <c r="M43" s="28">
        <v>41791</v>
      </c>
      <c r="N43" s="3">
        <v>6</v>
      </c>
      <c r="O43" s="29" t="s">
        <v>23</v>
      </c>
      <c r="P43" s="3">
        <v>2014</v>
      </c>
      <c r="Q43" s="6">
        <f>New_Finance_Data[[#This Row],[ Profit ]]/New_Finance_Data[[#This Row],[  Sales ]]</f>
        <v>0.33333333333333331</v>
      </c>
      <c r="R43" t="str">
        <f>IF(New_Finance_Data[[#This Row],[  Sales ]]&gt;=100000,"High",IF(New_Finance_Data[[#This Row],[  Sales ]]&gt;=50000,"Medium","Low"))</f>
        <v>Low</v>
      </c>
      <c r="S43" t="str">
        <f>IF(OR(ISBLANK(New_Finance_Data[[#This Row],[  Sales ]]),ISBLANK(New_Finance_Data[[#This Row],[ Profit ]])),"Missing","OK")</f>
        <v>OK</v>
      </c>
      <c r="T43" t="str">
        <f>TEXT(New_Finance_Data[[#This Row],[Date]],"MMM-YYYY")</f>
        <v>Jun-2014</v>
      </c>
      <c r="U43" t="str">
        <f>IF(New_Finance_Data[[#This Row],[ Profit ]]&gt;0,"Profit","Loss")</f>
        <v>Profit</v>
      </c>
      <c r="V43" t="str">
        <f>IF(New_Finance_Data[[#This Row],[  Sales ]]&gt;=50000,"High Sales","Low Sales")</f>
        <v>Low Sales</v>
      </c>
      <c r="W43" t="b">
        <f>ISNUMBER(New_Finance_Data[[#This Row],[Date]])</f>
        <v>1</v>
      </c>
    </row>
    <row r="44" spans="1:23" x14ac:dyDescent="0.2">
      <c r="A44" t="s">
        <v>15</v>
      </c>
      <c r="B44" t="s">
        <v>22</v>
      </c>
      <c r="C44" t="s">
        <v>40</v>
      </c>
      <c r="D44" t="s">
        <v>18</v>
      </c>
      <c r="E44" s="27">
        <v>1527</v>
      </c>
      <c r="F44" s="27">
        <v>250</v>
      </c>
      <c r="G44" s="27">
        <v>350</v>
      </c>
      <c r="H44" s="27">
        <v>534450</v>
      </c>
      <c r="I44" s="5">
        <v>0</v>
      </c>
      <c r="J44" s="27">
        <v>534450</v>
      </c>
      <c r="K44" s="27">
        <v>397020</v>
      </c>
      <c r="L44" s="5">
        <v>137430</v>
      </c>
      <c r="M44" s="28">
        <v>41518</v>
      </c>
      <c r="N44" s="3">
        <v>9</v>
      </c>
      <c r="O44" s="29" t="s">
        <v>33</v>
      </c>
      <c r="P44" s="3">
        <v>2013</v>
      </c>
      <c r="Q44" s="6">
        <f>New_Finance_Data[[#This Row],[ Profit ]]/New_Finance_Data[[#This Row],[  Sales ]]</f>
        <v>0.25714285714285712</v>
      </c>
      <c r="R44" t="str">
        <f>IF(New_Finance_Data[[#This Row],[  Sales ]]&gt;=100000,"High",IF(New_Finance_Data[[#This Row],[  Sales ]]&gt;=50000,"Medium","Low"))</f>
        <v>High</v>
      </c>
      <c r="S44" t="str">
        <f>IF(OR(ISBLANK(New_Finance_Data[[#This Row],[  Sales ]]),ISBLANK(New_Finance_Data[[#This Row],[ Profit ]])),"Missing","OK")</f>
        <v>OK</v>
      </c>
      <c r="T44" t="str">
        <f>TEXT(New_Finance_Data[[#This Row],[Date]],"MMM-YYYY")</f>
        <v>Sep-2013</v>
      </c>
      <c r="U44" t="str">
        <f>IF(New_Finance_Data[[#This Row],[ Profit ]]&gt;0,"Profit","Loss")</f>
        <v>Profit</v>
      </c>
      <c r="V44" t="str">
        <f>IF(New_Finance_Data[[#This Row],[  Sales ]]&gt;=50000,"High Sales","Low Sales")</f>
        <v>High Sales</v>
      </c>
      <c r="W44" t="b">
        <f>ISNUMBER(New_Finance_Data[[#This Row],[Date]])</f>
        <v>1</v>
      </c>
    </row>
    <row r="45" spans="1:23" x14ac:dyDescent="0.2">
      <c r="A45" t="s">
        <v>31</v>
      </c>
      <c r="B45" t="s">
        <v>22</v>
      </c>
      <c r="C45" t="s">
        <v>40</v>
      </c>
      <c r="D45" t="s">
        <v>18</v>
      </c>
      <c r="E45" s="27">
        <v>2151</v>
      </c>
      <c r="F45" s="27">
        <v>250</v>
      </c>
      <c r="G45" s="27">
        <v>300</v>
      </c>
      <c r="H45" s="27">
        <v>645300</v>
      </c>
      <c r="I45" s="5">
        <v>0</v>
      </c>
      <c r="J45" s="27">
        <v>645300</v>
      </c>
      <c r="K45" s="27">
        <v>537750</v>
      </c>
      <c r="L45" s="5">
        <v>107550</v>
      </c>
      <c r="M45" s="28">
        <v>41883</v>
      </c>
      <c r="N45" s="3">
        <v>9</v>
      </c>
      <c r="O45" s="29" t="s">
        <v>33</v>
      </c>
      <c r="P45" s="3">
        <v>2014</v>
      </c>
      <c r="Q45" s="6">
        <f>New_Finance_Data[[#This Row],[ Profit ]]/New_Finance_Data[[#This Row],[  Sales ]]</f>
        <v>0.16666666666666666</v>
      </c>
      <c r="R45" t="str">
        <f>IF(New_Finance_Data[[#This Row],[  Sales ]]&gt;=100000,"High",IF(New_Finance_Data[[#This Row],[  Sales ]]&gt;=50000,"Medium","Low"))</f>
        <v>High</v>
      </c>
      <c r="S45" t="str">
        <f>IF(OR(ISBLANK(New_Finance_Data[[#This Row],[  Sales ]]),ISBLANK(New_Finance_Data[[#This Row],[ Profit ]])),"Missing","OK")</f>
        <v>OK</v>
      </c>
      <c r="T45" t="str">
        <f>TEXT(New_Finance_Data[[#This Row],[Date]],"MMM-YYYY")</f>
        <v>Sep-2014</v>
      </c>
      <c r="U45" t="str">
        <f>IF(New_Finance_Data[[#This Row],[ Profit ]]&gt;0,"Profit","Loss")</f>
        <v>Profit</v>
      </c>
      <c r="V45" t="str">
        <f>IF(New_Finance_Data[[#This Row],[  Sales ]]&gt;=50000,"High Sales","Low Sales")</f>
        <v>High Sales</v>
      </c>
      <c r="W45" t="b">
        <f>ISNUMBER(New_Finance_Data[[#This Row],[Date]])</f>
        <v>1</v>
      </c>
    </row>
    <row r="46" spans="1:23" x14ac:dyDescent="0.2">
      <c r="A46" t="s">
        <v>15</v>
      </c>
      <c r="B46" t="s">
        <v>16</v>
      </c>
      <c r="C46" t="s">
        <v>40</v>
      </c>
      <c r="D46" t="s">
        <v>18</v>
      </c>
      <c r="E46" s="27">
        <v>1817</v>
      </c>
      <c r="F46" s="27">
        <v>250</v>
      </c>
      <c r="G46" s="27">
        <v>20</v>
      </c>
      <c r="H46" s="27">
        <v>36340</v>
      </c>
      <c r="I46" s="5">
        <v>0</v>
      </c>
      <c r="J46" s="27">
        <v>36340</v>
      </c>
      <c r="K46" s="27">
        <v>18170</v>
      </c>
      <c r="L46" s="5">
        <v>18170</v>
      </c>
      <c r="M46" s="28">
        <v>41974</v>
      </c>
      <c r="N46" s="3">
        <v>12</v>
      </c>
      <c r="O46" s="29" t="s">
        <v>25</v>
      </c>
      <c r="P46" s="3">
        <v>2014</v>
      </c>
      <c r="Q46" s="6">
        <f>New_Finance_Data[[#This Row],[ Profit ]]/New_Finance_Data[[#This Row],[  Sales ]]</f>
        <v>0.5</v>
      </c>
      <c r="R46" t="str">
        <f>IF(New_Finance_Data[[#This Row],[  Sales ]]&gt;=100000,"High",IF(New_Finance_Data[[#This Row],[  Sales ]]&gt;=50000,"Medium","Low"))</f>
        <v>Low</v>
      </c>
      <c r="S46" t="str">
        <f>IF(OR(ISBLANK(New_Finance_Data[[#This Row],[  Sales ]]),ISBLANK(New_Finance_Data[[#This Row],[ Profit ]])),"Missing","OK")</f>
        <v>OK</v>
      </c>
      <c r="T46" t="str">
        <f>TEXT(New_Finance_Data[[#This Row],[Date]],"MMM-YYYY")</f>
        <v>Dec-2014</v>
      </c>
      <c r="U46" t="str">
        <f>IF(New_Finance_Data[[#This Row],[ Profit ]]&gt;0,"Profit","Loss")</f>
        <v>Profit</v>
      </c>
      <c r="V46" t="str">
        <f>IF(New_Finance_Data[[#This Row],[  Sales ]]&gt;=50000,"High Sales","Low Sales")</f>
        <v>Low Sales</v>
      </c>
      <c r="W46" t="b">
        <f>ISNUMBER(New_Finance_Data[[#This Row],[Date]])</f>
        <v>1</v>
      </c>
    </row>
    <row r="47" spans="1:23" x14ac:dyDescent="0.2">
      <c r="A47" t="s">
        <v>15</v>
      </c>
      <c r="B47" t="s">
        <v>22</v>
      </c>
      <c r="C47" t="s">
        <v>42</v>
      </c>
      <c r="D47" t="s">
        <v>18</v>
      </c>
      <c r="E47" s="27">
        <v>2750</v>
      </c>
      <c r="F47" s="27">
        <v>260</v>
      </c>
      <c r="G47" s="27">
        <v>350</v>
      </c>
      <c r="H47" s="27">
        <v>962500</v>
      </c>
      <c r="I47" s="5">
        <v>0</v>
      </c>
      <c r="J47" s="27">
        <v>962500</v>
      </c>
      <c r="K47" s="27">
        <v>715000</v>
      </c>
      <c r="L47" s="5">
        <v>247500</v>
      </c>
      <c r="M47" s="28">
        <v>41671</v>
      </c>
      <c r="N47" s="3">
        <v>2</v>
      </c>
      <c r="O47" s="29" t="s">
        <v>37</v>
      </c>
      <c r="P47" s="3">
        <v>2014</v>
      </c>
      <c r="Q47" s="6">
        <f>New_Finance_Data[[#This Row],[ Profit ]]/New_Finance_Data[[#This Row],[  Sales ]]</f>
        <v>0.25714285714285712</v>
      </c>
      <c r="R47" t="str">
        <f>IF(New_Finance_Data[[#This Row],[  Sales ]]&gt;=100000,"High",IF(New_Finance_Data[[#This Row],[  Sales ]]&gt;=50000,"Medium","Low"))</f>
        <v>High</v>
      </c>
      <c r="S47" t="str">
        <f>IF(OR(ISBLANK(New_Finance_Data[[#This Row],[  Sales ]]),ISBLANK(New_Finance_Data[[#This Row],[ Profit ]])),"Missing","OK")</f>
        <v>OK</v>
      </c>
      <c r="T47" t="str">
        <f>TEXT(New_Finance_Data[[#This Row],[Date]],"MMM-YYYY")</f>
        <v>Feb-2014</v>
      </c>
      <c r="U47" t="str">
        <f>IF(New_Finance_Data[[#This Row],[ Profit ]]&gt;0,"Profit","Loss")</f>
        <v>Profit</v>
      </c>
      <c r="V47" t="str">
        <f>IF(New_Finance_Data[[#This Row],[  Sales ]]&gt;=50000,"High Sales","Low Sales")</f>
        <v>High Sales</v>
      </c>
      <c r="W47" t="b">
        <f>ISNUMBER(New_Finance_Data[[#This Row],[Date]])</f>
        <v>1</v>
      </c>
    </row>
    <row r="48" spans="1:23" x14ac:dyDescent="0.2">
      <c r="A48" t="s">
        <v>28</v>
      </c>
      <c r="B48" t="s">
        <v>35</v>
      </c>
      <c r="C48" t="s">
        <v>42</v>
      </c>
      <c r="D48" t="s">
        <v>18</v>
      </c>
      <c r="E48" s="27">
        <v>1953</v>
      </c>
      <c r="F48" s="27">
        <v>260</v>
      </c>
      <c r="G48" s="27">
        <v>12</v>
      </c>
      <c r="H48" s="27">
        <v>23436</v>
      </c>
      <c r="I48" s="5">
        <v>0</v>
      </c>
      <c r="J48" s="27">
        <v>23436</v>
      </c>
      <c r="K48" s="27">
        <v>5859</v>
      </c>
      <c r="L48" s="5">
        <v>17577</v>
      </c>
      <c r="M48" s="28">
        <v>41730</v>
      </c>
      <c r="N48" s="3">
        <v>4</v>
      </c>
      <c r="O48" s="29" t="s">
        <v>41</v>
      </c>
      <c r="P48" s="3">
        <v>2014</v>
      </c>
      <c r="Q48" s="6">
        <f>New_Finance_Data[[#This Row],[ Profit ]]/New_Finance_Data[[#This Row],[  Sales ]]</f>
        <v>0.75</v>
      </c>
      <c r="R48" t="str">
        <f>IF(New_Finance_Data[[#This Row],[  Sales ]]&gt;=100000,"High",IF(New_Finance_Data[[#This Row],[  Sales ]]&gt;=50000,"Medium","Low"))</f>
        <v>Low</v>
      </c>
      <c r="S48" t="str">
        <f>IF(OR(ISBLANK(New_Finance_Data[[#This Row],[  Sales ]]),ISBLANK(New_Finance_Data[[#This Row],[ Profit ]])),"Missing","OK")</f>
        <v>OK</v>
      </c>
      <c r="T48" t="str">
        <f>TEXT(New_Finance_Data[[#This Row],[Date]],"MMM-YYYY")</f>
        <v>Apr-2014</v>
      </c>
      <c r="U48" t="str">
        <f>IF(New_Finance_Data[[#This Row],[ Profit ]]&gt;0,"Profit","Loss")</f>
        <v>Profit</v>
      </c>
      <c r="V48" t="str">
        <f>IF(New_Finance_Data[[#This Row],[  Sales ]]&gt;=50000,"High Sales","Low Sales")</f>
        <v>Low Sales</v>
      </c>
      <c r="W48" t="b">
        <f>ISNUMBER(New_Finance_Data[[#This Row],[Date]])</f>
        <v>1</v>
      </c>
    </row>
    <row r="49" spans="1:23" x14ac:dyDescent="0.2">
      <c r="A49" t="s">
        <v>29</v>
      </c>
      <c r="B49" t="s">
        <v>20</v>
      </c>
      <c r="C49" t="s">
        <v>42</v>
      </c>
      <c r="D49" t="s">
        <v>18</v>
      </c>
      <c r="E49" s="27">
        <v>4219.5</v>
      </c>
      <c r="F49" s="27">
        <v>260</v>
      </c>
      <c r="G49" s="27">
        <v>125</v>
      </c>
      <c r="H49" s="27">
        <v>527437.5</v>
      </c>
      <c r="I49" s="5">
        <v>0</v>
      </c>
      <c r="J49" s="27">
        <v>527437.5</v>
      </c>
      <c r="K49" s="27">
        <v>506340</v>
      </c>
      <c r="L49" s="5">
        <v>21097.5</v>
      </c>
      <c r="M49" s="28">
        <v>41730</v>
      </c>
      <c r="N49" s="3">
        <v>4</v>
      </c>
      <c r="O49" s="29" t="s">
        <v>41</v>
      </c>
      <c r="P49" s="3">
        <v>2014</v>
      </c>
      <c r="Q49" s="6">
        <f>New_Finance_Data[[#This Row],[ Profit ]]/New_Finance_Data[[#This Row],[  Sales ]]</f>
        <v>0.04</v>
      </c>
      <c r="R49" t="str">
        <f>IF(New_Finance_Data[[#This Row],[  Sales ]]&gt;=100000,"High",IF(New_Finance_Data[[#This Row],[  Sales ]]&gt;=50000,"Medium","Low"))</f>
        <v>High</v>
      </c>
      <c r="S49" t="str">
        <f>IF(OR(ISBLANK(New_Finance_Data[[#This Row],[  Sales ]]),ISBLANK(New_Finance_Data[[#This Row],[ Profit ]])),"Missing","OK")</f>
        <v>OK</v>
      </c>
      <c r="T49" t="str">
        <f>TEXT(New_Finance_Data[[#This Row],[Date]],"MMM-YYYY")</f>
        <v>Apr-2014</v>
      </c>
      <c r="U49" t="str">
        <f>IF(New_Finance_Data[[#This Row],[ Profit ]]&gt;0,"Profit","Loss")</f>
        <v>Profit</v>
      </c>
      <c r="V49" t="str">
        <f>IF(New_Finance_Data[[#This Row],[  Sales ]]&gt;=50000,"High Sales","Low Sales")</f>
        <v>High Sales</v>
      </c>
      <c r="W49" t="b">
        <f>ISNUMBER(New_Finance_Data[[#This Row],[Date]])</f>
        <v>1</v>
      </c>
    </row>
    <row r="50" spans="1:23" x14ac:dyDescent="0.2">
      <c r="A50" t="s">
        <v>15</v>
      </c>
      <c r="B50" t="s">
        <v>22</v>
      </c>
      <c r="C50" t="s">
        <v>42</v>
      </c>
      <c r="D50" t="s">
        <v>18</v>
      </c>
      <c r="E50" s="27">
        <v>1899</v>
      </c>
      <c r="F50" s="27">
        <v>260</v>
      </c>
      <c r="G50" s="27">
        <v>20</v>
      </c>
      <c r="H50" s="27">
        <v>37980</v>
      </c>
      <c r="I50" s="5">
        <v>0</v>
      </c>
      <c r="J50" s="27">
        <v>37980</v>
      </c>
      <c r="K50" s="27">
        <v>18990</v>
      </c>
      <c r="L50" s="5">
        <v>18990</v>
      </c>
      <c r="M50" s="28">
        <v>41791</v>
      </c>
      <c r="N50" s="3">
        <v>6</v>
      </c>
      <c r="O50" s="29" t="s">
        <v>23</v>
      </c>
      <c r="P50" s="3">
        <v>2014</v>
      </c>
      <c r="Q50" s="6">
        <f>New_Finance_Data[[#This Row],[ Profit ]]/New_Finance_Data[[#This Row],[  Sales ]]</f>
        <v>0.5</v>
      </c>
      <c r="R50" t="str">
        <f>IF(New_Finance_Data[[#This Row],[  Sales ]]&gt;=100000,"High",IF(New_Finance_Data[[#This Row],[  Sales ]]&gt;=50000,"Medium","Low"))</f>
        <v>Low</v>
      </c>
      <c r="S50" t="str">
        <f>IF(OR(ISBLANK(New_Finance_Data[[#This Row],[  Sales ]]),ISBLANK(New_Finance_Data[[#This Row],[ Profit ]])),"Missing","OK")</f>
        <v>OK</v>
      </c>
      <c r="T50" t="str">
        <f>TEXT(New_Finance_Data[[#This Row],[Date]],"MMM-YYYY")</f>
        <v>Jun-2014</v>
      </c>
      <c r="U50" t="str">
        <f>IF(New_Finance_Data[[#This Row],[ Profit ]]&gt;0,"Profit","Loss")</f>
        <v>Profit</v>
      </c>
      <c r="V50" t="str">
        <f>IF(New_Finance_Data[[#This Row],[  Sales ]]&gt;=50000,"High Sales","Low Sales")</f>
        <v>Low Sales</v>
      </c>
      <c r="W50" t="b">
        <f>ISNUMBER(New_Finance_Data[[#This Row],[Date]])</f>
        <v>1</v>
      </c>
    </row>
    <row r="51" spans="1:23" x14ac:dyDescent="0.2">
      <c r="A51" t="s">
        <v>15</v>
      </c>
      <c r="B51" t="s">
        <v>20</v>
      </c>
      <c r="C51" t="s">
        <v>42</v>
      </c>
      <c r="D51" t="s">
        <v>18</v>
      </c>
      <c r="E51" s="27">
        <v>1686</v>
      </c>
      <c r="F51" s="27">
        <v>260</v>
      </c>
      <c r="G51" s="27">
        <v>7</v>
      </c>
      <c r="H51" s="27">
        <v>11802</v>
      </c>
      <c r="I51" s="5">
        <v>0</v>
      </c>
      <c r="J51" s="27">
        <v>11802</v>
      </c>
      <c r="K51" s="27">
        <v>8430</v>
      </c>
      <c r="L51" s="5">
        <v>3372</v>
      </c>
      <c r="M51" s="28">
        <v>41821</v>
      </c>
      <c r="N51" s="3">
        <v>7</v>
      </c>
      <c r="O51" s="29" t="s">
        <v>30</v>
      </c>
      <c r="P51" s="3">
        <v>2014</v>
      </c>
      <c r="Q51" s="6">
        <f>New_Finance_Data[[#This Row],[ Profit ]]/New_Finance_Data[[#This Row],[  Sales ]]</f>
        <v>0.2857142857142857</v>
      </c>
      <c r="R51" t="str">
        <f>IF(New_Finance_Data[[#This Row],[  Sales ]]&gt;=100000,"High",IF(New_Finance_Data[[#This Row],[  Sales ]]&gt;=50000,"Medium","Low"))</f>
        <v>Low</v>
      </c>
      <c r="S51" t="str">
        <f>IF(OR(ISBLANK(New_Finance_Data[[#This Row],[  Sales ]]),ISBLANK(New_Finance_Data[[#This Row],[ Profit ]])),"Missing","OK")</f>
        <v>OK</v>
      </c>
      <c r="T51" t="str">
        <f>TEXT(New_Finance_Data[[#This Row],[Date]],"MMM-YYYY")</f>
        <v>Jul-2014</v>
      </c>
      <c r="U51" t="str">
        <f>IF(New_Finance_Data[[#This Row],[ Profit ]]&gt;0,"Profit","Loss")</f>
        <v>Profit</v>
      </c>
      <c r="V51" t="str">
        <f>IF(New_Finance_Data[[#This Row],[  Sales ]]&gt;=50000,"High Sales","Low Sales")</f>
        <v>Low Sales</v>
      </c>
      <c r="W51" t="b">
        <f>ISNUMBER(New_Finance_Data[[#This Row],[Date]])</f>
        <v>1</v>
      </c>
    </row>
    <row r="52" spans="1:23" x14ac:dyDescent="0.2">
      <c r="A52" t="s">
        <v>28</v>
      </c>
      <c r="B52" t="s">
        <v>35</v>
      </c>
      <c r="C52" t="s">
        <v>42</v>
      </c>
      <c r="D52" t="s">
        <v>18</v>
      </c>
      <c r="E52" s="27">
        <v>2141</v>
      </c>
      <c r="F52" s="27">
        <v>260</v>
      </c>
      <c r="G52" s="27">
        <v>12</v>
      </c>
      <c r="H52" s="27">
        <v>25692</v>
      </c>
      <c r="I52" s="5">
        <v>0</v>
      </c>
      <c r="J52" s="27">
        <v>25692</v>
      </c>
      <c r="K52" s="27">
        <v>6423</v>
      </c>
      <c r="L52" s="5">
        <v>19269</v>
      </c>
      <c r="M52" s="28">
        <v>41852</v>
      </c>
      <c r="N52" s="3">
        <v>8</v>
      </c>
      <c r="O52" s="29" t="s">
        <v>32</v>
      </c>
      <c r="P52" s="3">
        <v>2014</v>
      </c>
      <c r="Q52" s="6">
        <f>New_Finance_Data[[#This Row],[ Profit ]]/New_Finance_Data[[#This Row],[  Sales ]]</f>
        <v>0.75</v>
      </c>
      <c r="R52" t="str">
        <f>IF(New_Finance_Data[[#This Row],[  Sales ]]&gt;=100000,"High",IF(New_Finance_Data[[#This Row],[  Sales ]]&gt;=50000,"Medium","Low"))</f>
        <v>Low</v>
      </c>
      <c r="S52" t="str">
        <f>IF(OR(ISBLANK(New_Finance_Data[[#This Row],[  Sales ]]),ISBLANK(New_Finance_Data[[#This Row],[ Profit ]])),"Missing","OK")</f>
        <v>OK</v>
      </c>
      <c r="T52" t="str">
        <f>TEXT(New_Finance_Data[[#This Row],[Date]],"MMM-YYYY")</f>
        <v>Aug-2014</v>
      </c>
      <c r="U52" t="str">
        <f>IF(New_Finance_Data[[#This Row],[ Profit ]]&gt;0,"Profit","Loss")</f>
        <v>Profit</v>
      </c>
      <c r="V52" t="str">
        <f>IF(New_Finance_Data[[#This Row],[  Sales ]]&gt;=50000,"High Sales","Low Sales")</f>
        <v>Low Sales</v>
      </c>
      <c r="W52" t="b">
        <f>ISNUMBER(New_Finance_Data[[#This Row],[Date]])</f>
        <v>1</v>
      </c>
    </row>
    <row r="53" spans="1:23" x14ac:dyDescent="0.2">
      <c r="A53" t="s">
        <v>15</v>
      </c>
      <c r="B53" t="s">
        <v>35</v>
      </c>
      <c r="C53" t="s">
        <v>42</v>
      </c>
      <c r="D53" t="s">
        <v>18</v>
      </c>
      <c r="E53" s="27">
        <v>1143</v>
      </c>
      <c r="F53" s="27">
        <v>260</v>
      </c>
      <c r="G53" s="27">
        <v>7</v>
      </c>
      <c r="H53" s="27">
        <v>8001</v>
      </c>
      <c r="I53" s="5">
        <v>0</v>
      </c>
      <c r="J53" s="27">
        <v>8001</v>
      </c>
      <c r="K53" s="27">
        <v>5715</v>
      </c>
      <c r="L53" s="5">
        <v>2286</v>
      </c>
      <c r="M53" s="28">
        <v>41913</v>
      </c>
      <c r="N53" s="3">
        <v>10</v>
      </c>
      <c r="O53" s="29" t="s">
        <v>34</v>
      </c>
      <c r="P53" s="3">
        <v>2014</v>
      </c>
      <c r="Q53" s="6">
        <f>New_Finance_Data[[#This Row],[ Profit ]]/New_Finance_Data[[#This Row],[  Sales ]]</f>
        <v>0.2857142857142857</v>
      </c>
      <c r="R53" t="str">
        <f>IF(New_Finance_Data[[#This Row],[  Sales ]]&gt;=100000,"High",IF(New_Finance_Data[[#This Row],[  Sales ]]&gt;=50000,"Medium","Low"))</f>
        <v>Low</v>
      </c>
      <c r="S53" t="str">
        <f>IF(OR(ISBLANK(New_Finance_Data[[#This Row],[  Sales ]]),ISBLANK(New_Finance_Data[[#This Row],[ Profit ]])),"Missing","OK")</f>
        <v>OK</v>
      </c>
      <c r="T53" t="str">
        <f>TEXT(New_Finance_Data[[#This Row],[Date]],"MMM-YYYY")</f>
        <v>Oct-2014</v>
      </c>
      <c r="U53" t="str">
        <f>IF(New_Finance_Data[[#This Row],[ Profit ]]&gt;0,"Profit","Loss")</f>
        <v>Profit</v>
      </c>
      <c r="V53" t="str">
        <f>IF(New_Finance_Data[[#This Row],[  Sales ]]&gt;=50000,"High Sales","Low Sales")</f>
        <v>Low Sales</v>
      </c>
      <c r="W53" t="b">
        <f>ISNUMBER(New_Finance_Data[[#This Row],[Date]])</f>
        <v>1</v>
      </c>
    </row>
    <row r="54" spans="1:23" x14ac:dyDescent="0.2">
      <c r="A54" t="s">
        <v>21</v>
      </c>
      <c r="B54" t="s">
        <v>35</v>
      </c>
      <c r="C54" t="s">
        <v>42</v>
      </c>
      <c r="D54" t="s">
        <v>18</v>
      </c>
      <c r="E54" s="27">
        <v>615</v>
      </c>
      <c r="F54" s="27">
        <v>260</v>
      </c>
      <c r="G54" s="27">
        <v>15</v>
      </c>
      <c r="H54" s="27">
        <v>9225</v>
      </c>
      <c r="I54" s="5">
        <v>0</v>
      </c>
      <c r="J54" s="27">
        <v>9225</v>
      </c>
      <c r="K54" s="27">
        <v>6150</v>
      </c>
      <c r="L54" s="5">
        <v>3075</v>
      </c>
      <c r="M54" s="28">
        <v>41974</v>
      </c>
      <c r="N54" s="3">
        <v>12</v>
      </c>
      <c r="O54" s="29" t="s">
        <v>25</v>
      </c>
      <c r="P54" s="3">
        <v>2014</v>
      </c>
      <c r="Q54" s="6">
        <f>New_Finance_Data[[#This Row],[ Profit ]]/New_Finance_Data[[#This Row],[  Sales ]]</f>
        <v>0.33333333333333331</v>
      </c>
      <c r="R54" t="str">
        <f>IF(New_Finance_Data[[#This Row],[  Sales ]]&gt;=100000,"High",IF(New_Finance_Data[[#This Row],[  Sales ]]&gt;=50000,"Medium","Low"))</f>
        <v>Low</v>
      </c>
      <c r="S54" t="str">
        <f>IF(OR(ISBLANK(New_Finance_Data[[#This Row],[  Sales ]]),ISBLANK(New_Finance_Data[[#This Row],[ Profit ]])),"Missing","OK")</f>
        <v>OK</v>
      </c>
      <c r="T54" t="str">
        <f>TEXT(New_Finance_Data[[#This Row],[Date]],"MMM-YYYY")</f>
        <v>Dec-2014</v>
      </c>
      <c r="U54" t="str">
        <f>IF(New_Finance_Data[[#This Row],[ Profit ]]&gt;0,"Profit","Loss")</f>
        <v>Profit</v>
      </c>
      <c r="V54" t="str">
        <f>IF(New_Finance_Data[[#This Row],[  Sales ]]&gt;=50000,"High Sales","Low Sales")</f>
        <v>Low Sales</v>
      </c>
      <c r="W54" t="b">
        <f>ISNUMBER(New_Finance_Data[[#This Row],[Date]])</f>
        <v>1</v>
      </c>
    </row>
    <row r="55" spans="1:23" x14ac:dyDescent="0.2">
      <c r="A55" t="s">
        <v>15</v>
      </c>
      <c r="B55" t="s">
        <v>22</v>
      </c>
      <c r="C55" t="s">
        <v>36</v>
      </c>
      <c r="D55" t="s">
        <v>43</v>
      </c>
      <c r="E55" s="27">
        <v>3945</v>
      </c>
      <c r="F55" s="27">
        <v>10</v>
      </c>
      <c r="G55" s="27">
        <v>7</v>
      </c>
      <c r="H55" s="27">
        <v>27615</v>
      </c>
      <c r="I55" s="5">
        <v>276.14999999999998</v>
      </c>
      <c r="J55" s="27">
        <v>27338.85</v>
      </c>
      <c r="K55" s="27">
        <v>19725</v>
      </c>
      <c r="L55" s="5">
        <v>7613.85</v>
      </c>
      <c r="M55" s="28">
        <v>41640</v>
      </c>
      <c r="N55" s="3">
        <v>1</v>
      </c>
      <c r="O55" s="29" t="s">
        <v>19</v>
      </c>
      <c r="P55" s="3">
        <v>2014</v>
      </c>
      <c r="Q55" s="6">
        <f>New_Finance_Data[[#This Row],[ Profit ]]/New_Finance_Data[[#This Row],[  Sales ]]</f>
        <v>0.27849927849927852</v>
      </c>
      <c r="R55" t="str">
        <f>IF(New_Finance_Data[[#This Row],[  Sales ]]&gt;=100000,"High",IF(New_Finance_Data[[#This Row],[  Sales ]]&gt;=50000,"Medium","Low"))</f>
        <v>Low</v>
      </c>
      <c r="S55" t="str">
        <f>IF(OR(ISBLANK(New_Finance_Data[[#This Row],[  Sales ]]),ISBLANK(New_Finance_Data[[#This Row],[ Profit ]])),"Missing","OK")</f>
        <v>OK</v>
      </c>
      <c r="T55" t="str">
        <f>TEXT(New_Finance_Data[[#This Row],[Date]],"MMM-YYYY")</f>
        <v>Jan-2014</v>
      </c>
      <c r="U55" t="str">
        <f>IF(New_Finance_Data[[#This Row],[ Profit ]]&gt;0,"Profit","Loss")</f>
        <v>Profit</v>
      </c>
      <c r="V55" t="str">
        <f>IF(New_Finance_Data[[#This Row],[  Sales ]]&gt;=50000,"High Sales","Low Sales")</f>
        <v>Low Sales</v>
      </c>
      <c r="W55" t="b">
        <f>ISNUMBER(New_Finance_Data[[#This Row],[Date]])</f>
        <v>1</v>
      </c>
    </row>
    <row r="56" spans="1:23" x14ac:dyDescent="0.2">
      <c r="A56" t="s">
        <v>21</v>
      </c>
      <c r="B56" t="s">
        <v>22</v>
      </c>
      <c r="C56" t="s">
        <v>36</v>
      </c>
      <c r="D56" t="s">
        <v>43</v>
      </c>
      <c r="E56" s="27">
        <v>2296</v>
      </c>
      <c r="F56" s="27">
        <v>10</v>
      </c>
      <c r="G56" s="27">
        <v>15</v>
      </c>
      <c r="H56" s="27">
        <v>34440</v>
      </c>
      <c r="I56" s="5">
        <v>344.4</v>
      </c>
      <c r="J56" s="27">
        <v>34095.599999999999</v>
      </c>
      <c r="K56" s="27">
        <v>22960</v>
      </c>
      <c r="L56" s="5">
        <v>11135.6</v>
      </c>
      <c r="M56" s="28">
        <v>41671</v>
      </c>
      <c r="N56" s="3">
        <v>2</v>
      </c>
      <c r="O56" s="29" t="s">
        <v>37</v>
      </c>
      <c r="P56" s="3">
        <v>2014</v>
      </c>
      <c r="Q56" s="6">
        <f>New_Finance_Data[[#This Row],[ Profit ]]/New_Finance_Data[[#This Row],[  Sales ]]</f>
        <v>0.32659932659932661</v>
      </c>
      <c r="R56" t="str">
        <f>IF(New_Finance_Data[[#This Row],[  Sales ]]&gt;=100000,"High",IF(New_Finance_Data[[#This Row],[  Sales ]]&gt;=50000,"Medium","Low"))</f>
        <v>Low</v>
      </c>
      <c r="S56" t="str">
        <f>IF(OR(ISBLANK(New_Finance_Data[[#This Row],[  Sales ]]),ISBLANK(New_Finance_Data[[#This Row],[ Profit ]])),"Missing","OK")</f>
        <v>OK</v>
      </c>
      <c r="T56" t="str">
        <f>TEXT(New_Finance_Data[[#This Row],[Date]],"MMM-YYYY")</f>
        <v>Feb-2014</v>
      </c>
      <c r="U56" t="str">
        <f>IF(New_Finance_Data[[#This Row],[ Profit ]]&gt;0,"Profit","Loss")</f>
        <v>Profit</v>
      </c>
      <c r="V56" t="str">
        <f>IF(New_Finance_Data[[#This Row],[  Sales ]]&gt;=50000,"High Sales","Low Sales")</f>
        <v>Low Sales</v>
      </c>
      <c r="W56" t="b">
        <f>ISNUMBER(New_Finance_Data[[#This Row],[Date]])</f>
        <v>1</v>
      </c>
    </row>
    <row r="57" spans="1:23" x14ac:dyDescent="0.2">
      <c r="A57" t="s">
        <v>15</v>
      </c>
      <c r="B57" t="s">
        <v>22</v>
      </c>
      <c r="C57" t="s">
        <v>36</v>
      </c>
      <c r="D57" t="s">
        <v>43</v>
      </c>
      <c r="E57" s="27">
        <v>1030</v>
      </c>
      <c r="F57" s="27">
        <v>10</v>
      </c>
      <c r="G57" s="27">
        <v>7</v>
      </c>
      <c r="H57" s="27">
        <v>7210</v>
      </c>
      <c r="I57" s="5">
        <v>72.099999999999994</v>
      </c>
      <c r="J57" s="27">
        <v>7137.9</v>
      </c>
      <c r="K57" s="27">
        <v>5150</v>
      </c>
      <c r="L57" s="5">
        <v>1987.9</v>
      </c>
      <c r="M57" s="28">
        <v>41760</v>
      </c>
      <c r="N57" s="3">
        <v>5</v>
      </c>
      <c r="O57" s="29" t="s">
        <v>44</v>
      </c>
      <c r="P57" s="3">
        <v>2014</v>
      </c>
      <c r="Q57" s="6">
        <f>New_Finance_Data[[#This Row],[ Profit ]]/New_Finance_Data[[#This Row],[  Sales ]]</f>
        <v>0.27849927849927852</v>
      </c>
      <c r="R57" t="str">
        <f>IF(New_Finance_Data[[#This Row],[  Sales ]]&gt;=100000,"High",IF(New_Finance_Data[[#This Row],[  Sales ]]&gt;=50000,"Medium","Low"))</f>
        <v>Low</v>
      </c>
      <c r="S57" t="str">
        <f>IF(OR(ISBLANK(New_Finance_Data[[#This Row],[  Sales ]]),ISBLANK(New_Finance_Data[[#This Row],[ Profit ]])),"Missing","OK")</f>
        <v>OK</v>
      </c>
      <c r="T57" t="str">
        <f>TEXT(New_Finance_Data[[#This Row],[Date]],"MMM-YYYY")</f>
        <v>May-2014</v>
      </c>
      <c r="U57" t="str">
        <f>IF(New_Finance_Data[[#This Row],[ Profit ]]&gt;0,"Profit","Loss")</f>
        <v>Profit</v>
      </c>
      <c r="V57" t="str">
        <f>IF(New_Finance_Data[[#This Row],[  Sales ]]&gt;=50000,"High Sales","Low Sales")</f>
        <v>Low Sales</v>
      </c>
      <c r="W57" t="b">
        <f>ISNUMBER(New_Finance_Data[[#This Row],[Date]])</f>
        <v>1</v>
      </c>
    </row>
    <row r="58" spans="1:23" x14ac:dyDescent="0.2">
      <c r="A58" t="s">
        <v>15</v>
      </c>
      <c r="B58" t="s">
        <v>22</v>
      </c>
      <c r="C58" t="s">
        <v>39</v>
      </c>
      <c r="D58" t="s">
        <v>43</v>
      </c>
      <c r="E58" s="27">
        <v>639</v>
      </c>
      <c r="F58" s="27">
        <v>120</v>
      </c>
      <c r="G58" s="27">
        <v>7</v>
      </c>
      <c r="H58" s="27">
        <v>4473</v>
      </c>
      <c r="I58" s="5">
        <v>44.73</v>
      </c>
      <c r="J58" s="27">
        <v>4428.2700000000004</v>
      </c>
      <c r="K58" s="27">
        <v>3195</v>
      </c>
      <c r="L58" s="5">
        <v>1233.27</v>
      </c>
      <c r="M58" s="28">
        <v>41944</v>
      </c>
      <c r="N58" s="3">
        <v>11</v>
      </c>
      <c r="O58" s="29" t="s">
        <v>38</v>
      </c>
      <c r="P58" s="3">
        <v>2014</v>
      </c>
      <c r="Q58" s="6">
        <f>New_Finance_Data[[#This Row],[ Profit ]]/New_Finance_Data[[#This Row],[  Sales ]]</f>
        <v>0.27849927849927847</v>
      </c>
      <c r="R58" t="str">
        <f>IF(New_Finance_Data[[#This Row],[  Sales ]]&gt;=100000,"High",IF(New_Finance_Data[[#This Row],[  Sales ]]&gt;=50000,"Medium","Low"))</f>
        <v>Low</v>
      </c>
      <c r="S58" t="str">
        <f>IF(OR(ISBLANK(New_Finance_Data[[#This Row],[  Sales ]]),ISBLANK(New_Finance_Data[[#This Row],[ Profit ]])),"Missing","OK")</f>
        <v>OK</v>
      </c>
      <c r="T58" t="str">
        <f>TEXT(New_Finance_Data[[#This Row],[Date]],"MMM-YYYY")</f>
        <v>Nov-2014</v>
      </c>
      <c r="U58" t="str">
        <f>IF(New_Finance_Data[[#This Row],[ Profit ]]&gt;0,"Profit","Loss")</f>
        <v>Profit</v>
      </c>
      <c r="V58" t="str">
        <f>IF(New_Finance_Data[[#This Row],[  Sales ]]&gt;=50000,"High Sales","Low Sales")</f>
        <v>Low Sales</v>
      </c>
      <c r="W58" t="b">
        <f>ISNUMBER(New_Finance_Data[[#This Row],[Date]])</f>
        <v>1</v>
      </c>
    </row>
    <row r="59" spans="1:23" x14ac:dyDescent="0.2">
      <c r="A59" t="s">
        <v>15</v>
      </c>
      <c r="B59" t="s">
        <v>16</v>
      </c>
      <c r="C59" t="s">
        <v>40</v>
      </c>
      <c r="D59" t="s">
        <v>43</v>
      </c>
      <c r="E59" s="27">
        <v>1326</v>
      </c>
      <c r="F59" s="27">
        <v>250</v>
      </c>
      <c r="G59" s="27">
        <v>7</v>
      </c>
      <c r="H59" s="27">
        <v>9282</v>
      </c>
      <c r="I59" s="5">
        <v>92.82</v>
      </c>
      <c r="J59" s="27">
        <v>9189.18</v>
      </c>
      <c r="K59" s="27">
        <v>6630</v>
      </c>
      <c r="L59" s="5">
        <v>2559.1799999999998</v>
      </c>
      <c r="M59" s="28">
        <v>41699</v>
      </c>
      <c r="N59" s="3">
        <v>3</v>
      </c>
      <c r="O59" s="29" t="s">
        <v>27</v>
      </c>
      <c r="P59" s="3">
        <v>2014</v>
      </c>
      <c r="Q59" s="6">
        <f>New_Finance_Data[[#This Row],[ Profit ]]/New_Finance_Data[[#This Row],[  Sales ]]</f>
        <v>0.27849927849927847</v>
      </c>
      <c r="R59" t="str">
        <f>IF(New_Finance_Data[[#This Row],[  Sales ]]&gt;=100000,"High",IF(New_Finance_Data[[#This Row],[  Sales ]]&gt;=50000,"Medium","Low"))</f>
        <v>Low</v>
      </c>
      <c r="S59" t="str">
        <f>IF(OR(ISBLANK(New_Finance_Data[[#This Row],[  Sales ]]),ISBLANK(New_Finance_Data[[#This Row],[ Profit ]])),"Missing","OK")</f>
        <v>OK</v>
      </c>
      <c r="T59" t="str">
        <f>TEXT(New_Finance_Data[[#This Row],[Date]],"MMM-YYYY")</f>
        <v>Mar-2014</v>
      </c>
      <c r="U59" t="str">
        <f>IF(New_Finance_Data[[#This Row],[ Profit ]]&gt;0,"Profit","Loss")</f>
        <v>Profit</v>
      </c>
      <c r="V59" t="str">
        <f>IF(New_Finance_Data[[#This Row],[  Sales ]]&gt;=50000,"High Sales","Low Sales")</f>
        <v>Low Sales</v>
      </c>
      <c r="W59" t="b">
        <f>ISNUMBER(New_Finance_Data[[#This Row],[Date]])</f>
        <v>1</v>
      </c>
    </row>
    <row r="60" spans="1:23" x14ac:dyDescent="0.2">
      <c r="A60" t="s">
        <v>28</v>
      </c>
      <c r="B60" t="s">
        <v>35</v>
      </c>
      <c r="C60" t="s">
        <v>17</v>
      </c>
      <c r="D60" t="s">
        <v>43</v>
      </c>
      <c r="E60" s="27">
        <v>1858</v>
      </c>
      <c r="F60" s="27">
        <v>3</v>
      </c>
      <c r="G60" s="27">
        <v>12</v>
      </c>
      <c r="H60" s="27">
        <v>22296</v>
      </c>
      <c r="I60" s="5">
        <v>222.96</v>
      </c>
      <c r="J60" s="27">
        <v>22073.040000000001</v>
      </c>
      <c r="K60" s="27">
        <v>5574</v>
      </c>
      <c r="L60" s="5">
        <v>16499.04</v>
      </c>
      <c r="M60" s="28">
        <v>41671</v>
      </c>
      <c r="N60" s="3">
        <v>2</v>
      </c>
      <c r="O60" s="29" t="s">
        <v>37</v>
      </c>
      <c r="P60" s="3">
        <v>2014</v>
      </c>
      <c r="Q60" s="6">
        <f>New_Finance_Data[[#This Row],[ Profit ]]/New_Finance_Data[[#This Row],[  Sales ]]</f>
        <v>0.74747474747474751</v>
      </c>
      <c r="R60" t="str">
        <f>IF(New_Finance_Data[[#This Row],[  Sales ]]&gt;=100000,"High",IF(New_Finance_Data[[#This Row],[  Sales ]]&gt;=50000,"Medium","Low"))</f>
        <v>Low</v>
      </c>
      <c r="S60" t="str">
        <f>IF(OR(ISBLANK(New_Finance_Data[[#This Row],[  Sales ]]),ISBLANK(New_Finance_Data[[#This Row],[ Profit ]])),"Missing","OK")</f>
        <v>OK</v>
      </c>
      <c r="T60" t="str">
        <f>TEXT(New_Finance_Data[[#This Row],[Date]],"MMM-YYYY")</f>
        <v>Feb-2014</v>
      </c>
      <c r="U60" t="str">
        <f>IF(New_Finance_Data[[#This Row],[ Profit ]]&gt;0,"Profit","Loss")</f>
        <v>Profit</v>
      </c>
      <c r="V60" t="str">
        <f>IF(New_Finance_Data[[#This Row],[  Sales ]]&gt;=50000,"High Sales","Low Sales")</f>
        <v>Low Sales</v>
      </c>
      <c r="W60" t="b">
        <f>ISNUMBER(New_Finance_Data[[#This Row],[Date]])</f>
        <v>1</v>
      </c>
    </row>
    <row r="61" spans="1:23" x14ac:dyDescent="0.2">
      <c r="A61" t="s">
        <v>15</v>
      </c>
      <c r="B61" t="s">
        <v>24</v>
      </c>
      <c r="C61" t="s">
        <v>17</v>
      </c>
      <c r="D61" t="s">
        <v>43</v>
      </c>
      <c r="E61" s="27">
        <v>1210</v>
      </c>
      <c r="F61" s="27">
        <v>3</v>
      </c>
      <c r="G61" s="27">
        <v>350</v>
      </c>
      <c r="H61" s="27">
        <v>423500</v>
      </c>
      <c r="I61" s="5">
        <v>4235</v>
      </c>
      <c r="J61" s="27">
        <v>419265</v>
      </c>
      <c r="K61" s="27">
        <v>314600</v>
      </c>
      <c r="L61" s="5">
        <v>104665</v>
      </c>
      <c r="M61" s="28">
        <v>41699</v>
      </c>
      <c r="N61" s="3">
        <v>3</v>
      </c>
      <c r="O61" s="29" t="s">
        <v>27</v>
      </c>
      <c r="P61" s="3">
        <v>2014</v>
      </c>
      <c r="Q61" s="6">
        <f>New_Finance_Data[[#This Row],[ Profit ]]/New_Finance_Data[[#This Row],[  Sales ]]</f>
        <v>0.24963924963924963</v>
      </c>
      <c r="R61" t="str">
        <f>IF(New_Finance_Data[[#This Row],[  Sales ]]&gt;=100000,"High",IF(New_Finance_Data[[#This Row],[  Sales ]]&gt;=50000,"Medium","Low"))</f>
        <v>High</v>
      </c>
      <c r="S61" t="str">
        <f>IF(OR(ISBLANK(New_Finance_Data[[#This Row],[  Sales ]]),ISBLANK(New_Finance_Data[[#This Row],[ Profit ]])),"Missing","OK")</f>
        <v>OK</v>
      </c>
      <c r="T61" t="str">
        <f>TEXT(New_Finance_Data[[#This Row],[Date]],"MMM-YYYY")</f>
        <v>Mar-2014</v>
      </c>
      <c r="U61" t="str">
        <f>IF(New_Finance_Data[[#This Row],[ Profit ]]&gt;0,"Profit","Loss")</f>
        <v>Profit</v>
      </c>
      <c r="V61" t="str">
        <f>IF(New_Finance_Data[[#This Row],[  Sales ]]&gt;=50000,"High Sales","Low Sales")</f>
        <v>High Sales</v>
      </c>
      <c r="W61" t="b">
        <f>ISNUMBER(New_Finance_Data[[#This Row],[Date]])</f>
        <v>1</v>
      </c>
    </row>
    <row r="62" spans="1:23" x14ac:dyDescent="0.2">
      <c r="A62" t="s">
        <v>15</v>
      </c>
      <c r="B62" t="s">
        <v>35</v>
      </c>
      <c r="C62" t="s">
        <v>17</v>
      </c>
      <c r="D62" t="s">
        <v>43</v>
      </c>
      <c r="E62" s="27">
        <v>2529</v>
      </c>
      <c r="F62" s="27">
        <v>3</v>
      </c>
      <c r="G62" s="27">
        <v>7</v>
      </c>
      <c r="H62" s="27">
        <v>17703</v>
      </c>
      <c r="I62" s="5">
        <v>177.03</v>
      </c>
      <c r="J62" s="27">
        <v>17525.97</v>
      </c>
      <c r="K62" s="27">
        <v>12645</v>
      </c>
      <c r="L62" s="5">
        <v>4880.97</v>
      </c>
      <c r="M62" s="28">
        <v>41821</v>
      </c>
      <c r="N62" s="3">
        <v>7</v>
      </c>
      <c r="O62" s="29" t="s">
        <v>30</v>
      </c>
      <c r="P62" s="3">
        <v>2014</v>
      </c>
      <c r="Q62" s="6">
        <f>New_Finance_Data[[#This Row],[ Profit ]]/New_Finance_Data[[#This Row],[  Sales ]]</f>
        <v>0.27849927849927847</v>
      </c>
      <c r="R62" t="str">
        <f>IF(New_Finance_Data[[#This Row],[  Sales ]]&gt;=100000,"High",IF(New_Finance_Data[[#This Row],[  Sales ]]&gt;=50000,"Medium","Low"))</f>
        <v>Low</v>
      </c>
      <c r="S62" t="str">
        <f>IF(OR(ISBLANK(New_Finance_Data[[#This Row],[  Sales ]]),ISBLANK(New_Finance_Data[[#This Row],[ Profit ]])),"Missing","OK")</f>
        <v>OK</v>
      </c>
      <c r="T62" t="str">
        <f>TEXT(New_Finance_Data[[#This Row],[Date]],"MMM-YYYY")</f>
        <v>Jul-2014</v>
      </c>
      <c r="U62" t="str">
        <f>IF(New_Finance_Data[[#This Row],[ Profit ]]&gt;0,"Profit","Loss")</f>
        <v>Profit</v>
      </c>
      <c r="V62" t="str">
        <f>IF(New_Finance_Data[[#This Row],[  Sales ]]&gt;=50000,"High Sales","Low Sales")</f>
        <v>Low Sales</v>
      </c>
      <c r="W62" t="b">
        <f>ISNUMBER(New_Finance_Data[[#This Row],[Date]])</f>
        <v>1</v>
      </c>
    </row>
    <row r="63" spans="1:23" x14ac:dyDescent="0.2">
      <c r="A63" t="s">
        <v>28</v>
      </c>
      <c r="B63" t="s">
        <v>16</v>
      </c>
      <c r="C63" t="s">
        <v>17</v>
      </c>
      <c r="D63" t="s">
        <v>43</v>
      </c>
      <c r="E63" s="27">
        <v>1445</v>
      </c>
      <c r="F63" s="27">
        <v>3</v>
      </c>
      <c r="G63" s="27">
        <v>12</v>
      </c>
      <c r="H63" s="27">
        <v>17340</v>
      </c>
      <c r="I63" s="5">
        <v>173.4</v>
      </c>
      <c r="J63" s="27">
        <v>17166.599999999999</v>
      </c>
      <c r="K63" s="27">
        <v>4335</v>
      </c>
      <c r="L63" s="5">
        <v>12831.6</v>
      </c>
      <c r="M63" s="28">
        <v>41883</v>
      </c>
      <c r="N63" s="3">
        <v>9</v>
      </c>
      <c r="O63" s="29" t="s">
        <v>33</v>
      </c>
      <c r="P63" s="3">
        <v>2014</v>
      </c>
      <c r="Q63" s="6">
        <f>New_Finance_Data[[#This Row],[ Profit ]]/New_Finance_Data[[#This Row],[  Sales ]]</f>
        <v>0.74747474747474751</v>
      </c>
      <c r="R63" t="str">
        <f>IF(New_Finance_Data[[#This Row],[  Sales ]]&gt;=100000,"High",IF(New_Finance_Data[[#This Row],[  Sales ]]&gt;=50000,"Medium","Low"))</f>
        <v>Low</v>
      </c>
      <c r="S63" t="str">
        <f>IF(OR(ISBLANK(New_Finance_Data[[#This Row],[  Sales ]]),ISBLANK(New_Finance_Data[[#This Row],[ Profit ]])),"Missing","OK")</f>
        <v>OK</v>
      </c>
      <c r="T63" t="str">
        <f>TEXT(New_Finance_Data[[#This Row],[Date]],"MMM-YYYY")</f>
        <v>Sep-2014</v>
      </c>
      <c r="U63" t="str">
        <f>IF(New_Finance_Data[[#This Row],[ Profit ]]&gt;0,"Profit","Loss")</f>
        <v>Profit</v>
      </c>
      <c r="V63" t="str">
        <f>IF(New_Finance_Data[[#This Row],[  Sales ]]&gt;=50000,"High Sales","Low Sales")</f>
        <v>Low Sales</v>
      </c>
      <c r="W63" t="b">
        <f>ISNUMBER(New_Finance_Data[[#This Row],[Date]])</f>
        <v>1</v>
      </c>
    </row>
    <row r="64" spans="1:23" x14ac:dyDescent="0.2">
      <c r="A64" t="s">
        <v>29</v>
      </c>
      <c r="B64" t="s">
        <v>35</v>
      </c>
      <c r="C64" t="s">
        <v>17</v>
      </c>
      <c r="D64" t="s">
        <v>43</v>
      </c>
      <c r="E64" s="27">
        <v>330</v>
      </c>
      <c r="F64" s="27">
        <v>3</v>
      </c>
      <c r="G64" s="27">
        <v>125</v>
      </c>
      <c r="H64" s="27">
        <v>41250</v>
      </c>
      <c r="I64" s="5">
        <v>412.5</v>
      </c>
      <c r="J64" s="27">
        <v>40837.5</v>
      </c>
      <c r="K64" s="27">
        <v>39600</v>
      </c>
      <c r="L64" s="5">
        <v>1237.5</v>
      </c>
      <c r="M64" s="28">
        <v>41518</v>
      </c>
      <c r="N64" s="3">
        <v>9</v>
      </c>
      <c r="O64" s="29" t="s">
        <v>33</v>
      </c>
      <c r="P64" s="3">
        <v>2013</v>
      </c>
      <c r="Q64" s="6">
        <f>New_Finance_Data[[#This Row],[ Profit ]]/New_Finance_Data[[#This Row],[  Sales ]]</f>
        <v>3.0303030303030304E-2</v>
      </c>
      <c r="R64" t="str">
        <f>IF(New_Finance_Data[[#This Row],[  Sales ]]&gt;=100000,"High",IF(New_Finance_Data[[#This Row],[  Sales ]]&gt;=50000,"Medium","Low"))</f>
        <v>Low</v>
      </c>
      <c r="S64" t="str">
        <f>IF(OR(ISBLANK(New_Finance_Data[[#This Row],[  Sales ]]),ISBLANK(New_Finance_Data[[#This Row],[ Profit ]])),"Missing","OK")</f>
        <v>OK</v>
      </c>
      <c r="T64" t="str">
        <f>TEXT(New_Finance_Data[[#This Row],[Date]],"MMM-YYYY")</f>
        <v>Sep-2013</v>
      </c>
      <c r="U64" t="str">
        <f>IF(New_Finance_Data[[#This Row],[ Profit ]]&gt;0,"Profit","Loss")</f>
        <v>Profit</v>
      </c>
      <c r="V64" t="str">
        <f>IF(New_Finance_Data[[#This Row],[  Sales ]]&gt;=50000,"High Sales","Low Sales")</f>
        <v>Low Sales</v>
      </c>
      <c r="W64" t="b">
        <f>ISNUMBER(New_Finance_Data[[#This Row],[Date]])</f>
        <v>1</v>
      </c>
    </row>
    <row r="65" spans="1:23" x14ac:dyDescent="0.2">
      <c r="A65" t="s">
        <v>28</v>
      </c>
      <c r="B65" t="s">
        <v>22</v>
      </c>
      <c r="C65" t="s">
        <v>17</v>
      </c>
      <c r="D65" t="s">
        <v>43</v>
      </c>
      <c r="E65" s="27">
        <v>2671</v>
      </c>
      <c r="F65" s="27">
        <v>3</v>
      </c>
      <c r="G65" s="27">
        <v>12</v>
      </c>
      <c r="H65" s="27">
        <v>32052</v>
      </c>
      <c r="I65" s="5">
        <v>320.52</v>
      </c>
      <c r="J65" s="27">
        <v>31731.48</v>
      </c>
      <c r="K65" s="27">
        <v>8013</v>
      </c>
      <c r="L65" s="5">
        <v>23718.48</v>
      </c>
      <c r="M65" s="28">
        <v>41883</v>
      </c>
      <c r="N65" s="3">
        <v>9</v>
      </c>
      <c r="O65" s="29" t="s">
        <v>33</v>
      </c>
      <c r="P65" s="3">
        <v>2014</v>
      </c>
      <c r="Q65" s="6">
        <f>New_Finance_Data[[#This Row],[ Profit ]]/New_Finance_Data[[#This Row],[  Sales ]]</f>
        <v>0.74747474747474751</v>
      </c>
      <c r="R65" t="str">
        <f>IF(New_Finance_Data[[#This Row],[  Sales ]]&gt;=100000,"High",IF(New_Finance_Data[[#This Row],[  Sales ]]&gt;=50000,"Medium","Low"))</f>
        <v>Low</v>
      </c>
      <c r="S65" t="str">
        <f>IF(OR(ISBLANK(New_Finance_Data[[#This Row],[  Sales ]]),ISBLANK(New_Finance_Data[[#This Row],[ Profit ]])),"Missing","OK")</f>
        <v>OK</v>
      </c>
      <c r="T65" t="str">
        <f>TEXT(New_Finance_Data[[#This Row],[Date]],"MMM-YYYY")</f>
        <v>Sep-2014</v>
      </c>
      <c r="U65" t="str">
        <f>IF(New_Finance_Data[[#This Row],[ Profit ]]&gt;0,"Profit","Loss")</f>
        <v>Profit</v>
      </c>
      <c r="V65" t="str">
        <f>IF(New_Finance_Data[[#This Row],[  Sales ]]&gt;=50000,"High Sales","Low Sales")</f>
        <v>Low Sales</v>
      </c>
      <c r="W65" t="b">
        <f>ISNUMBER(New_Finance_Data[[#This Row],[Date]])</f>
        <v>1</v>
      </c>
    </row>
    <row r="66" spans="1:23" x14ac:dyDescent="0.2">
      <c r="A66" t="s">
        <v>28</v>
      </c>
      <c r="B66" t="s">
        <v>20</v>
      </c>
      <c r="C66" t="s">
        <v>17</v>
      </c>
      <c r="D66" t="s">
        <v>43</v>
      </c>
      <c r="E66" s="27">
        <v>766</v>
      </c>
      <c r="F66" s="27">
        <v>3</v>
      </c>
      <c r="G66" s="27">
        <v>12</v>
      </c>
      <c r="H66" s="27">
        <v>9192</v>
      </c>
      <c r="I66" s="5">
        <v>91.92</v>
      </c>
      <c r="J66" s="27">
        <v>9100.08</v>
      </c>
      <c r="K66" s="27">
        <v>2298</v>
      </c>
      <c r="L66" s="5">
        <v>6802.08</v>
      </c>
      <c r="M66" s="28">
        <v>41548</v>
      </c>
      <c r="N66" s="3">
        <v>10</v>
      </c>
      <c r="O66" s="29" t="s">
        <v>34</v>
      </c>
      <c r="P66" s="3">
        <v>2013</v>
      </c>
      <c r="Q66" s="6">
        <f>New_Finance_Data[[#This Row],[ Profit ]]/New_Finance_Data[[#This Row],[  Sales ]]</f>
        <v>0.74747474747474751</v>
      </c>
      <c r="R66" t="str">
        <f>IF(New_Finance_Data[[#This Row],[  Sales ]]&gt;=100000,"High",IF(New_Finance_Data[[#This Row],[  Sales ]]&gt;=50000,"Medium","Low"))</f>
        <v>Low</v>
      </c>
      <c r="S66" t="str">
        <f>IF(OR(ISBLANK(New_Finance_Data[[#This Row],[  Sales ]]),ISBLANK(New_Finance_Data[[#This Row],[ Profit ]])),"Missing","OK")</f>
        <v>OK</v>
      </c>
      <c r="T66" t="str">
        <f>TEXT(New_Finance_Data[[#This Row],[Date]],"MMM-YYYY")</f>
        <v>Oct-2013</v>
      </c>
      <c r="U66" t="str">
        <f>IF(New_Finance_Data[[#This Row],[ Profit ]]&gt;0,"Profit","Loss")</f>
        <v>Profit</v>
      </c>
      <c r="V66" t="str">
        <f>IF(New_Finance_Data[[#This Row],[  Sales ]]&gt;=50000,"High Sales","Low Sales")</f>
        <v>Low Sales</v>
      </c>
      <c r="W66" t="b">
        <f>ISNUMBER(New_Finance_Data[[#This Row],[Date]])</f>
        <v>1</v>
      </c>
    </row>
    <row r="67" spans="1:23" x14ac:dyDescent="0.2">
      <c r="A67" t="s">
        <v>31</v>
      </c>
      <c r="B67" t="s">
        <v>24</v>
      </c>
      <c r="C67" t="s">
        <v>17</v>
      </c>
      <c r="D67" t="s">
        <v>43</v>
      </c>
      <c r="E67" s="27">
        <v>494</v>
      </c>
      <c r="F67" s="27">
        <v>3</v>
      </c>
      <c r="G67" s="27">
        <v>300</v>
      </c>
      <c r="H67" s="27">
        <v>148200</v>
      </c>
      <c r="I67" s="5">
        <v>1482</v>
      </c>
      <c r="J67" s="27">
        <v>146718</v>
      </c>
      <c r="K67" s="27">
        <v>123500</v>
      </c>
      <c r="L67" s="5">
        <v>23218</v>
      </c>
      <c r="M67" s="28">
        <v>41548</v>
      </c>
      <c r="N67" s="3">
        <v>10</v>
      </c>
      <c r="O67" s="29" t="s">
        <v>34</v>
      </c>
      <c r="P67" s="3">
        <v>2013</v>
      </c>
      <c r="Q67" s="6">
        <f>New_Finance_Data[[#This Row],[ Profit ]]/New_Finance_Data[[#This Row],[  Sales ]]</f>
        <v>0.15824915824915825</v>
      </c>
      <c r="R67" t="str">
        <f>IF(New_Finance_Data[[#This Row],[  Sales ]]&gt;=100000,"High",IF(New_Finance_Data[[#This Row],[  Sales ]]&gt;=50000,"Medium","Low"))</f>
        <v>High</v>
      </c>
      <c r="S67" t="str">
        <f>IF(OR(ISBLANK(New_Finance_Data[[#This Row],[  Sales ]]),ISBLANK(New_Finance_Data[[#This Row],[ Profit ]])),"Missing","OK")</f>
        <v>OK</v>
      </c>
      <c r="T67" t="str">
        <f>TEXT(New_Finance_Data[[#This Row],[Date]],"MMM-YYYY")</f>
        <v>Oct-2013</v>
      </c>
      <c r="U67" t="str">
        <f>IF(New_Finance_Data[[#This Row],[ Profit ]]&gt;0,"Profit","Loss")</f>
        <v>Profit</v>
      </c>
      <c r="V67" t="str">
        <f>IF(New_Finance_Data[[#This Row],[  Sales ]]&gt;=50000,"High Sales","Low Sales")</f>
        <v>High Sales</v>
      </c>
      <c r="W67" t="b">
        <f>ISNUMBER(New_Finance_Data[[#This Row],[Date]])</f>
        <v>1</v>
      </c>
    </row>
    <row r="68" spans="1:23" x14ac:dyDescent="0.2">
      <c r="A68" t="s">
        <v>15</v>
      </c>
      <c r="B68" t="s">
        <v>24</v>
      </c>
      <c r="C68" t="s">
        <v>17</v>
      </c>
      <c r="D68" t="s">
        <v>43</v>
      </c>
      <c r="E68" s="27">
        <v>1397</v>
      </c>
      <c r="F68" s="27">
        <v>3</v>
      </c>
      <c r="G68" s="27">
        <v>350</v>
      </c>
      <c r="H68" s="27">
        <v>488950</v>
      </c>
      <c r="I68" s="5">
        <v>4889.5</v>
      </c>
      <c r="J68" s="27">
        <v>484060.5</v>
      </c>
      <c r="K68" s="27">
        <v>363220</v>
      </c>
      <c r="L68" s="5">
        <v>120840.5</v>
      </c>
      <c r="M68" s="28">
        <v>41913</v>
      </c>
      <c r="N68" s="3">
        <v>10</v>
      </c>
      <c r="O68" s="29" t="s">
        <v>34</v>
      </c>
      <c r="P68" s="3">
        <v>2014</v>
      </c>
      <c r="Q68" s="6">
        <f>New_Finance_Data[[#This Row],[ Profit ]]/New_Finance_Data[[#This Row],[  Sales ]]</f>
        <v>0.24963924963924963</v>
      </c>
      <c r="R68" t="str">
        <f>IF(New_Finance_Data[[#This Row],[  Sales ]]&gt;=100000,"High",IF(New_Finance_Data[[#This Row],[  Sales ]]&gt;=50000,"Medium","Low"))</f>
        <v>High</v>
      </c>
      <c r="S68" t="str">
        <f>IF(OR(ISBLANK(New_Finance_Data[[#This Row],[  Sales ]]),ISBLANK(New_Finance_Data[[#This Row],[ Profit ]])),"Missing","OK")</f>
        <v>OK</v>
      </c>
      <c r="T68" t="str">
        <f>TEXT(New_Finance_Data[[#This Row],[Date]],"MMM-YYYY")</f>
        <v>Oct-2014</v>
      </c>
      <c r="U68" t="str">
        <f>IF(New_Finance_Data[[#This Row],[ Profit ]]&gt;0,"Profit","Loss")</f>
        <v>Profit</v>
      </c>
      <c r="V68" t="str">
        <f>IF(New_Finance_Data[[#This Row],[  Sales ]]&gt;=50000,"High Sales","Low Sales")</f>
        <v>High Sales</v>
      </c>
      <c r="W68" t="b">
        <f>ISNUMBER(New_Finance_Data[[#This Row],[Date]])</f>
        <v>1</v>
      </c>
    </row>
    <row r="69" spans="1:23" x14ac:dyDescent="0.2">
      <c r="A69" t="s">
        <v>15</v>
      </c>
      <c r="B69" t="s">
        <v>22</v>
      </c>
      <c r="C69" t="s">
        <v>17</v>
      </c>
      <c r="D69" t="s">
        <v>43</v>
      </c>
      <c r="E69" s="27">
        <v>2155</v>
      </c>
      <c r="F69" s="27">
        <v>3</v>
      </c>
      <c r="G69" s="27">
        <v>350</v>
      </c>
      <c r="H69" s="27">
        <v>754250</v>
      </c>
      <c r="I69" s="5">
        <v>7542.5</v>
      </c>
      <c r="J69" s="27">
        <v>746707.5</v>
      </c>
      <c r="K69" s="27">
        <v>560300</v>
      </c>
      <c r="L69" s="5">
        <v>186407.5</v>
      </c>
      <c r="M69" s="28">
        <v>41974</v>
      </c>
      <c r="N69" s="3">
        <v>12</v>
      </c>
      <c r="O69" s="29" t="s">
        <v>25</v>
      </c>
      <c r="P69" s="3">
        <v>2014</v>
      </c>
      <c r="Q69" s="6">
        <f>New_Finance_Data[[#This Row],[ Profit ]]/New_Finance_Data[[#This Row],[  Sales ]]</f>
        <v>0.24963924963924963</v>
      </c>
      <c r="R69" t="str">
        <f>IF(New_Finance_Data[[#This Row],[  Sales ]]&gt;=100000,"High",IF(New_Finance_Data[[#This Row],[  Sales ]]&gt;=50000,"Medium","Low"))</f>
        <v>High</v>
      </c>
      <c r="S69" t="str">
        <f>IF(OR(ISBLANK(New_Finance_Data[[#This Row],[  Sales ]]),ISBLANK(New_Finance_Data[[#This Row],[ Profit ]])),"Missing","OK")</f>
        <v>OK</v>
      </c>
      <c r="T69" t="str">
        <f>TEXT(New_Finance_Data[[#This Row],[Date]],"MMM-YYYY")</f>
        <v>Dec-2014</v>
      </c>
      <c r="U69" t="str">
        <f>IF(New_Finance_Data[[#This Row],[ Profit ]]&gt;0,"Profit","Loss")</f>
        <v>Profit</v>
      </c>
      <c r="V69" t="str">
        <f>IF(New_Finance_Data[[#This Row],[  Sales ]]&gt;=50000,"High Sales","Low Sales")</f>
        <v>High Sales</v>
      </c>
      <c r="W69" t="b">
        <f>ISNUMBER(New_Finance_Data[[#This Row],[Date]])</f>
        <v>1</v>
      </c>
    </row>
    <row r="70" spans="1:23" x14ac:dyDescent="0.2">
      <c r="A70" t="s">
        <v>21</v>
      </c>
      <c r="B70" t="s">
        <v>24</v>
      </c>
      <c r="C70" t="s">
        <v>26</v>
      </c>
      <c r="D70" t="s">
        <v>43</v>
      </c>
      <c r="E70" s="27">
        <v>2214</v>
      </c>
      <c r="F70" s="27">
        <v>5</v>
      </c>
      <c r="G70" s="27">
        <v>15</v>
      </c>
      <c r="H70" s="27">
        <v>33210</v>
      </c>
      <c r="I70" s="5">
        <v>332.1</v>
      </c>
      <c r="J70" s="27">
        <v>32877.9</v>
      </c>
      <c r="K70" s="27">
        <v>22140</v>
      </c>
      <c r="L70" s="5">
        <v>10737.9</v>
      </c>
      <c r="M70" s="28">
        <v>41699</v>
      </c>
      <c r="N70" s="3">
        <v>3</v>
      </c>
      <c r="O70" s="29" t="s">
        <v>27</v>
      </c>
      <c r="P70" s="3">
        <v>2014</v>
      </c>
      <c r="Q70" s="6">
        <f>New_Finance_Data[[#This Row],[ Profit ]]/New_Finance_Data[[#This Row],[  Sales ]]</f>
        <v>0.32659932659932656</v>
      </c>
      <c r="R70" t="str">
        <f>IF(New_Finance_Data[[#This Row],[  Sales ]]&gt;=100000,"High",IF(New_Finance_Data[[#This Row],[  Sales ]]&gt;=50000,"Medium","Low"))</f>
        <v>Low</v>
      </c>
      <c r="S70" t="str">
        <f>IF(OR(ISBLANK(New_Finance_Data[[#This Row],[  Sales ]]),ISBLANK(New_Finance_Data[[#This Row],[ Profit ]])),"Missing","OK")</f>
        <v>OK</v>
      </c>
      <c r="T70" t="str">
        <f>TEXT(New_Finance_Data[[#This Row],[Date]],"MMM-YYYY")</f>
        <v>Mar-2014</v>
      </c>
      <c r="U70" t="str">
        <f>IF(New_Finance_Data[[#This Row],[ Profit ]]&gt;0,"Profit","Loss")</f>
        <v>Profit</v>
      </c>
      <c r="V70" t="str">
        <f>IF(New_Finance_Data[[#This Row],[  Sales ]]&gt;=50000,"High Sales","Low Sales")</f>
        <v>Low Sales</v>
      </c>
      <c r="W70" t="b">
        <f>ISNUMBER(New_Finance_Data[[#This Row],[Date]])</f>
        <v>1</v>
      </c>
    </row>
    <row r="71" spans="1:23" x14ac:dyDescent="0.2">
      <c r="A71" t="s">
        <v>31</v>
      </c>
      <c r="B71" t="s">
        <v>35</v>
      </c>
      <c r="C71" t="s">
        <v>26</v>
      </c>
      <c r="D71" t="s">
        <v>43</v>
      </c>
      <c r="E71" s="27">
        <v>2301</v>
      </c>
      <c r="F71" s="27">
        <v>5</v>
      </c>
      <c r="G71" s="27">
        <v>300</v>
      </c>
      <c r="H71" s="27">
        <v>690300</v>
      </c>
      <c r="I71" s="5">
        <v>6903</v>
      </c>
      <c r="J71" s="27">
        <v>683397</v>
      </c>
      <c r="K71" s="27">
        <v>575250</v>
      </c>
      <c r="L71" s="5">
        <v>108147</v>
      </c>
      <c r="M71" s="28">
        <v>41730</v>
      </c>
      <c r="N71" s="3">
        <v>4</v>
      </c>
      <c r="O71" s="29" t="s">
        <v>41</v>
      </c>
      <c r="P71" s="3">
        <v>2014</v>
      </c>
      <c r="Q71" s="6">
        <f>New_Finance_Data[[#This Row],[ Profit ]]/New_Finance_Data[[#This Row],[  Sales ]]</f>
        <v>0.15824915824915825</v>
      </c>
      <c r="R71" t="str">
        <f>IF(New_Finance_Data[[#This Row],[  Sales ]]&gt;=100000,"High",IF(New_Finance_Data[[#This Row],[  Sales ]]&gt;=50000,"Medium","Low"))</f>
        <v>High</v>
      </c>
      <c r="S71" t="str">
        <f>IF(OR(ISBLANK(New_Finance_Data[[#This Row],[  Sales ]]),ISBLANK(New_Finance_Data[[#This Row],[ Profit ]])),"Missing","OK")</f>
        <v>OK</v>
      </c>
      <c r="T71" t="str">
        <f>TEXT(New_Finance_Data[[#This Row],[Date]],"MMM-YYYY")</f>
        <v>Apr-2014</v>
      </c>
      <c r="U71" t="str">
        <f>IF(New_Finance_Data[[#This Row],[ Profit ]]&gt;0,"Profit","Loss")</f>
        <v>Profit</v>
      </c>
      <c r="V71" t="str">
        <f>IF(New_Finance_Data[[#This Row],[  Sales ]]&gt;=50000,"High Sales","Low Sales")</f>
        <v>High Sales</v>
      </c>
      <c r="W71" t="b">
        <f>ISNUMBER(New_Finance_Data[[#This Row],[Date]])</f>
        <v>1</v>
      </c>
    </row>
    <row r="72" spans="1:23" x14ac:dyDescent="0.2">
      <c r="A72" t="s">
        <v>15</v>
      </c>
      <c r="B72" t="s">
        <v>22</v>
      </c>
      <c r="C72" t="s">
        <v>26</v>
      </c>
      <c r="D72" t="s">
        <v>43</v>
      </c>
      <c r="E72" s="27">
        <v>1375.5</v>
      </c>
      <c r="F72" s="27">
        <v>5</v>
      </c>
      <c r="G72" s="27">
        <v>20</v>
      </c>
      <c r="H72" s="27">
        <v>27510</v>
      </c>
      <c r="I72" s="5">
        <v>275.10000000000002</v>
      </c>
      <c r="J72" s="27">
        <v>27234.9</v>
      </c>
      <c r="K72" s="27">
        <v>13755</v>
      </c>
      <c r="L72" s="5">
        <v>13479.9</v>
      </c>
      <c r="M72" s="28">
        <v>41821</v>
      </c>
      <c r="N72" s="3">
        <v>7</v>
      </c>
      <c r="O72" s="29" t="s">
        <v>30</v>
      </c>
      <c r="P72" s="3">
        <v>2014</v>
      </c>
      <c r="Q72" s="6">
        <f>New_Finance_Data[[#This Row],[ Profit ]]/New_Finance_Data[[#This Row],[  Sales ]]</f>
        <v>0.49494949494949492</v>
      </c>
      <c r="R72" t="str">
        <f>IF(New_Finance_Data[[#This Row],[  Sales ]]&gt;=100000,"High",IF(New_Finance_Data[[#This Row],[  Sales ]]&gt;=50000,"Medium","Low"))</f>
        <v>Low</v>
      </c>
      <c r="S72" t="str">
        <f>IF(OR(ISBLANK(New_Finance_Data[[#This Row],[  Sales ]]),ISBLANK(New_Finance_Data[[#This Row],[ Profit ]])),"Missing","OK")</f>
        <v>OK</v>
      </c>
      <c r="T72" t="str">
        <f>TEXT(New_Finance_Data[[#This Row],[Date]],"MMM-YYYY")</f>
        <v>Jul-2014</v>
      </c>
      <c r="U72" t="str">
        <f>IF(New_Finance_Data[[#This Row],[ Profit ]]&gt;0,"Profit","Loss")</f>
        <v>Profit</v>
      </c>
      <c r="V72" t="str">
        <f>IF(New_Finance_Data[[#This Row],[  Sales ]]&gt;=50000,"High Sales","Low Sales")</f>
        <v>Low Sales</v>
      </c>
      <c r="W72" t="b">
        <f>ISNUMBER(New_Finance_Data[[#This Row],[Date]])</f>
        <v>1</v>
      </c>
    </row>
    <row r="73" spans="1:23" x14ac:dyDescent="0.2">
      <c r="A73" t="s">
        <v>15</v>
      </c>
      <c r="B73" t="s">
        <v>16</v>
      </c>
      <c r="C73" t="s">
        <v>26</v>
      </c>
      <c r="D73" t="s">
        <v>43</v>
      </c>
      <c r="E73" s="27">
        <v>1830</v>
      </c>
      <c r="F73" s="27">
        <v>5</v>
      </c>
      <c r="G73" s="27">
        <v>7</v>
      </c>
      <c r="H73" s="27">
        <v>12810</v>
      </c>
      <c r="I73" s="5">
        <v>128.1</v>
      </c>
      <c r="J73" s="27">
        <v>12681.9</v>
      </c>
      <c r="K73" s="27">
        <v>9150</v>
      </c>
      <c r="L73" s="5">
        <v>3531.9</v>
      </c>
      <c r="M73" s="28">
        <v>41852</v>
      </c>
      <c r="N73" s="3">
        <v>8</v>
      </c>
      <c r="O73" s="29" t="s">
        <v>32</v>
      </c>
      <c r="P73" s="3">
        <v>2014</v>
      </c>
      <c r="Q73" s="6">
        <f>New_Finance_Data[[#This Row],[ Profit ]]/New_Finance_Data[[#This Row],[  Sales ]]</f>
        <v>0.27849927849927852</v>
      </c>
      <c r="R73" t="str">
        <f>IF(New_Finance_Data[[#This Row],[  Sales ]]&gt;=100000,"High",IF(New_Finance_Data[[#This Row],[  Sales ]]&gt;=50000,"Medium","Low"))</f>
        <v>Low</v>
      </c>
      <c r="S73" t="str">
        <f>IF(OR(ISBLANK(New_Finance_Data[[#This Row],[  Sales ]]),ISBLANK(New_Finance_Data[[#This Row],[ Profit ]])),"Missing","OK")</f>
        <v>OK</v>
      </c>
      <c r="T73" t="str">
        <f>TEXT(New_Finance_Data[[#This Row],[Date]],"MMM-YYYY")</f>
        <v>Aug-2014</v>
      </c>
      <c r="U73" t="str">
        <f>IF(New_Finance_Data[[#This Row],[ Profit ]]&gt;0,"Profit","Loss")</f>
        <v>Profit</v>
      </c>
      <c r="V73" t="str">
        <f>IF(New_Finance_Data[[#This Row],[  Sales ]]&gt;=50000,"High Sales","Low Sales")</f>
        <v>Low Sales</v>
      </c>
      <c r="W73" t="b">
        <f>ISNUMBER(New_Finance_Data[[#This Row],[Date]])</f>
        <v>1</v>
      </c>
    </row>
    <row r="74" spans="1:23" x14ac:dyDescent="0.2">
      <c r="A74" t="s">
        <v>31</v>
      </c>
      <c r="B74" t="s">
        <v>35</v>
      </c>
      <c r="C74" t="s">
        <v>26</v>
      </c>
      <c r="D74" t="s">
        <v>43</v>
      </c>
      <c r="E74" s="27">
        <v>2498</v>
      </c>
      <c r="F74" s="27">
        <v>5</v>
      </c>
      <c r="G74" s="27">
        <v>300</v>
      </c>
      <c r="H74" s="27">
        <v>749400</v>
      </c>
      <c r="I74" s="5">
        <v>7494</v>
      </c>
      <c r="J74" s="27">
        <v>741906</v>
      </c>
      <c r="K74" s="27">
        <v>624500</v>
      </c>
      <c r="L74" s="5">
        <v>117406</v>
      </c>
      <c r="M74" s="28">
        <v>41518</v>
      </c>
      <c r="N74" s="3">
        <v>9</v>
      </c>
      <c r="O74" s="29" t="s">
        <v>33</v>
      </c>
      <c r="P74" s="3">
        <v>2013</v>
      </c>
      <c r="Q74" s="6">
        <f>New_Finance_Data[[#This Row],[ Profit ]]/New_Finance_Data[[#This Row],[  Sales ]]</f>
        <v>0.15824915824915825</v>
      </c>
      <c r="R74" t="str">
        <f>IF(New_Finance_Data[[#This Row],[  Sales ]]&gt;=100000,"High",IF(New_Finance_Data[[#This Row],[  Sales ]]&gt;=50000,"Medium","Low"))</f>
        <v>High</v>
      </c>
      <c r="S74" t="str">
        <f>IF(OR(ISBLANK(New_Finance_Data[[#This Row],[  Sales ]]),ISBLANK(New_Finance_Data[[#This Row],[ Profit ]])),"Missing","OK")</f>
        <v>OK</v>
      </c>
      <c r="T74" t="str">
        <f>TEXT(New_Finance_Data[[#This Row],[Date]],"MMM-YYYY")</f>
        <v>Sep-2013</v>
      </c>
      <c r="U74" t="str">
        <f>IF(New_Finance_Data[[#This Row],[ Profit ]]&gt;0,"Profit","Loss")</f>
        <v>Profit</v>
      </c>
      <c r="V74" t="str">
        <f>IF(New_Finance_Data[[#This Row],[  Sales ]]&gt;=50000,"High Sales","Low Sales")</f>
        <v>High Sales</v>
      </c>
      <c r="W74" t="b">
        <f>ISNUMBER(New_Finance_Data[[#This Row],[Date]])</f>
        <v>1</v>
      </c>
    </row>
    <row r="75" spans="1:23" x14ac:dyDescent="0.2">
      <c r="A75" t="s">
        <v>29</v>
      </c>
      <c r="B75" t="s">
        <v>35</v>
      </c>
      <c r="C75" t="s">
        <v>26</v>
      </c>
      <c r="D75" t="s">
        <v>43</v>
      </c>
      <c r="E75" s="27">
        <v>663</v>
      </c>
      <c r="F75" s="27">
        <v>5</v>
      </c>
      <c r="G75" s="27">
        <v>125</v>
      </c>
      <c r="H75" s="27">
        <v>82875</v>
      </c>
      <c r="I75" s="5">
        <v>828.75</v>
      </c>
      <c r="J75" s="27">
        <v>82046.25</v>
      </c>
      <c r="K75" s="27">
        <v>79560</v>
      </c>
      <c r="L75" s="5">
        <v>2486.25</v>
      </c>
      <c r="M75" s="28">
        <v>41548</v>
      </c>
      <c r="N75" s="3">
        <v>10</v>
      </c>
      <c r="O75" s="29" t="s">
        <v>34</v>
      </c>
      <c r="P75" s="3">
        <v>2013</v>
      </c>
      <c r="Q75" s="6">
        <f>New_Finance_Data[[#This Row],[ Profit ]]/New_Finance_Data[[#This Row],[  Sales ]]</f>
        <v>3.0303030303030304E-2</v>
      </c>
      <c r="R75" t="str">
        <f>IF(New_Finance_Data[[#This Row],[  Sales ]]&gt;=100000,"High",IF(New_Finance_Data[[#This Row],[  Sales ]]&gt;=50000,"Medium","Low"))</f>
        <v>Medium</v>
      </c>
      <c r="S75" t="str">
        <f>IF(OR(ISBLANK(New_Finance_Data[[#This Row],[  Sales ]]),ISBLANK(New_Finance_Data[[#This Row],[ Profit ]])),"Missing","OK")</f>
        <v>OK</v>
      </c>
      <c r="T75" t="str">
        <f>TEXT(New_Finance_Data[[#This Row],[Date]],"MMM-YYYY")</f>
        <v>Oct-2013</v>
      </c>
      <c r="U75" t="str">
        <f>IF(New_Finance_Data[[#This Row],[ Profit ]]&gt;0,"Profit","Loss")</f>
        <v>Profit</v>
      </c>
      <c r="V75" t="str">
        <f>IF(New_Finance_Data[[#This Row],[  Sales ]]&gt;=50000,"High Sales","Low Sales")</f>
        <v>High Sales</v>
      </c>
      <c r="W75" t="b">
        <f>ISNUMBER(New_Finance_Data[[#This Row],[Date]])</f>
        <v>1</v>
      </c>
    </row>
    <row r="76" spans="1:23" x14ac:dyDescent="0.2">
      <c r="A76" t="s">
        <v>21</v>
      </c>
      <c r="B76" t="s">
        <v>35</v>
      </c>
      <c r="C76" t="s">
        <v>36</v>
      </c>
      <c r="D76" t="s">
        <v>43</v>
      </c>
      <c r="E76" s="27">
        <v>1514</v>
      </c>
      <c r="F76" s="27">
        <v>10</v>
      </c>
      <c r="G76" s="27">
        <v>15</v>
      </c>
      <c r="H76" s="27">
        <v>22710</v>
      </c>
      <c r="I76" s="5">
        <v>227.1</v>
      </c>
      <c r="J76" s="27">
        <v>22482.9</v>
      </c>
      <c r="K76" s="27">
        <v>15140</v>
      </c>
      <c r="L76" s="5">
        <v>7342.9</v>
      </c>
      <c r="M76" s="28">
        <v>41671</v>
      </c>
      <c r="N76" s="3">
        <v>2</v>
      </c>
      <c r="O76" s="29" t="s">
        <v>37</v>
      </c>
      <c r="P76" s="3">
        <v>2014</v>
      </c>
      <c r="Q76" s="6">
        <f>New_Finance_Data[[#This Row],[ Profit ]]/New_Finance_Data[[#This Row],[  Sales ]]</f>
        <v>0.32659932659932656</v>
      </c>
      <c r="R76" t="str">
        <f>IF(New_Finance_Data[[#This Row],[  Sales ]]&gt;=100000,"High",IF(New_Finance_Data[[#This Row],[  Sales ]]&gt;=50000,"Medium","Low"))</f>
        <v>Low</v>
      </c>
      <c r="S76" t="str">
        <f>IF(OR(ISBLANK(New_Finance_Data[[#This Row],[  Sales ]]),ISBLANK(New_Finance_Data[[#This Row],[ Profit ]])),"Missing","OK")</f>
        <v>OK</v>
      </c>
      <c r="T76" t="str">
        <f>TEXT(New_Finance_Data[[#This Row],[Date]],"MMM-YYYY")</f>
        <v>Feb-2014</v>
      </c>
      <c r="U76" t="str">
        <f>IF(New_Finance_Data[[#This Row],[ Profit ]]&gt;0,"Profit","Loss")</f>
        <v>Profit</v>
      </c>
      <c r="V76" t="str">
        <f>IF(New_Finance_Data[[#This Row],[  Sales ]]&gt;=50000,"High Sales","Low Sales")</f>
        <v>Low Sales</v>
      </c>
      <c r="W76" t="b">
        <f>ISNUMBER(New_Finance_Data[[#This Row],[Date]])</f>
        <v>1</v>
      </c>
    </row>
    <row r="77" spans="1:23" x14ac:dyDescent="0.2">
      <c r="A77" t="s">
        <v>15</v>
      </c>
      <c r="B77" t="s">
        <v>35</v>
      </c>
      <c r="C77" t="s">
        <v>36</v>
      </c>
      <c r="D77" t="s">
        <v>43</v>
      </c>
      <c r="E77" s="27">
        <v>4492.5</v>
      </c>
      <c r="F77" s="27">
        <v>10</v>
      </c>
      <c r="G77" s="27">
        <v>7</v>
      </c>
      <c r="H77" s="27">
        <v>31447.5</v>
      </c>
      <c r="I77" s="5">
        <v>314.48</v>
      </c>
      <c r="J77" s="27">
        <v>31133.02</v>
      </c>
      <c r="K77" s="27">
        <v>22462.5</v>
      </c>
      <c r="L77" s="5">
        <v>8670.52</v>
      </c>
      <c r="M77" s="28">
        <v>41730</v>
      </c>
      <c r="N77" s="3">
        <v>4</v>
      </c>
      <c r="O77" s="29" t="s">
        <v>41</v>
      </c>
      <c r="P77" s="3">
        <v>2014</v>
      </c>
      <c r="Q77" s="6">
        <f>New_Finance_Data[[#This Row],[ Profit ]]/New_Finance_Data[[#This Row],[  Sales ]]</f>
        <v>0.27849916262540547</v>
      </c>
      <c r="R77" t="str">
        <f>IF(New_Finance_Data[[#This Row],[  Sales ]]&gt;=100000,"High",IF(New_Finance_Data[[#This Row],[  Sales ]]&gt;=50000,"Medium","Low"))</f>
        <v>Low</v>
      </c>
      <c r="S77" t="str">
        <f>IF(OR(ISBLANK(New_Finance_Data[[#This Row],[  Sales ]]),ISBLANK(New_Finance_Data[[#This Row],[ Profit ]])),"Missing","OK")</f>
        <v>OK</v>
      </c>
      <c r="T77" t="str">
        <f>TEXT(New_Finance_Data[[#This Row],[Date]],"MMM-YYYY")</f>
        <v>Apr-2014</v>
      </c>
      <c r="U77" t="str">
        <f>IF(New_Finance_Data[[#This Row],[ Profit ]]&gt;0,"Profit","Loss")</f>
        <v>Profit</v>
      </c>
      <c r="V77" t="str">
        <f>IF(New_Finance_Data[[#This Row],[  Sales ]]&gt;=50000,"High Sales","Low Sales")</f>
        <v>Low Sales</v>
      </c>
      <c r="W77" t="b">
        <f>ISNUMBER(New_Finance_Data[[#This Row],[Date]])</f>
        <v>1</v>
      </c>
    </row>
    <row r="78" spans="1:23" x14ac:dyDescent="0.2">
      <c r="A78" t="s">
        <v>29</v>
      </c>
      <c r="B78" t="s">
        <v>35</v>
      </c>
      <c r="C78" t="s">
        <v>36</v>
      </c>
      <c r="D78" t="s">
        <v>43</v>
      </c>
      <c r="E78" s="27">
        <v>727</v>
      </c>
      <c r="F78" s="27">
        <v>10</v>
      </c>
      <c r="G78" s="27">
        <v>125</v>
      </c>
      <c r="H78" s="27">
        <v>90875</v>
      </c>
      <c r="I78" s="5">
        <v>908.75</v>
      </c>
      <c r="J78" s="27">
        <v>89966.25</v>
      </c>
      <c r="K78" s="27">
        <v>87240</v>
      </c>
      <c r="L78" s="5">
        <v>2726.25</v>
      </c>
      <c r="M78" s="28">
        <v>41791</v>
      </c>
      <c r="N78" s="3">
        <v>6</v>
      </c>
      <c r="O78" s="29" t="s">
        <v>23</v>
      </c>
      <c r="P78" s="3">
        <v>2014</v>
      </c>
      <c r="Q78" s="6">
        <f>New_Finance_Data[[#This Row],[ Profit ]]/New_Finance_Data[[#This Row],[  Sales ]]</f>
        <v>3.0303030303030304E-2</v>
      </c>
      <c r="R78" t="str">
        <f>IF(New_Finance_Data[[#This Row],[  Sales ]]&gt;=100000,"High",IF(New_Finance_Data[[#This Row],[  Sales ]]&gt;=50000,"Medium","Low"))</f>
        <v>Medium</v>
      </c>
      <c r="S78" t="str">
        <f>IF(OR(ISBLANK(New_Finance_Data[[#This Row],[  Sales ]]),ISBLANK(New_Finance_Data[[#This Row],[ Profit ]])),"Missing","OK")</f>
        <v>OK</v>
      </c>
      <c r="T78" t="str">
        <f>TEXT(New_Finance_Data[[#This Row],[Date]],"MMM-YYYY")</f>
        <v>Jun-2014</v>
      </c>
      <c r="U78" t="str">
        <f>IF(New_Finance_Data[[#This Row],[ Profit ]]&gt;0,"Profit","Loss")</f>
        <v>Profit</v>
      </c>
      <c r="V78" t="str">
        <f>IF(New_Finance_Data[[#This Row],[  Sales ]]&gt;=50000,"High Sales","Low Sales")</f>
        <v>High Sales</v>
      </c>
      <c r="W78" t="b">
        <f>ISNUMBER(New_Finance_Data[[#This Row],[Date]])</f>
        <v>1</v>
      </c>
    </row>
    <row r="79" spans="1:23" x14ac:dyDescent="0.2">
      <c r="A79" t="s">
        <v>29</v>
      </c>
      <c r="B79" t="s">
        <v>22</v>
      </c>
      <c r="C79" t="s">
        <v>36</v>
      </c>
      <c r="D79" t="s">
        <v>43</v>
      </c>
      <c r="E79" s="27">
        <v>787</v>
      </c>
      <c r="F79" s="27">
        <v>10</v>
      </c>
      <c r="G79" s="27">
        <v>125</v>
      </c>
      <c r="H79" s="27">
        <v>98375</v>
      </c>
      <c r="I79" s="5">
        <v>983.75</v>
      </c>
      <c r="J79" s="27">
        <v>97391.25</v>
      </c>
      <c r="K79" s="27">
        <v>94440</v>
      </c>
      <c r="L79" s="5">
        <v>2951.25</v>
      </c>
      <c r="M79" s="28">
        <v>41791</v>
      </c>
      <c r="N79" s="3">
        <v>6</v>
      </c>
      <c r="O79" s="29" t="s">
        <v>23</v>
      </c>
      <c r="P79" s="3">
        <v>2014</v>
      </c>
      <c r="Q79" s="6">
        <f>New_Finance_Data[[#This Row],[ Profit ]]/New_Finance_Data[[#This Row],[  Sales ]]</f>
        <v>3.0303030303030304E-2</v>
      </c>
      <c r="R79" t="str">
        <f>IF(New_Finance_Data[[#This Row],[  Sales ]]&gt;=100000,"High",IF(New_Finance_Data[[#This Row],[  Sales ]]&gt;=50000,"Medium","Low"))</f>
        <v>Medium</v>
      </c>
      <c r="S79" t="str">
        <f>IF(OR(ISBLANK(New_Finance_Data[[#This Row],[  Sales ]]),ISBLANK(New_Finance_Data[[#This Row],[ Profit ]])),"Missing","OK")</f>
        <v>OK</v>
      </c>
      <c r="T79" t="str">
        <f>TEXT(New_Finance_Data[[#This Row],[Date]],"MMM-YYYY")</f>
        <v>Jun-2014</v>
      </c>
      <c r="U79" t="str">
        <f>IF(New_Finance_Data[[#This Row],[ Profit ]]&gt;0,"Profit","Loss")</f>
        <v>Profit</v>
      </c>
      <c r="V79" t="str">
        <f>IF(New_Finance_Data[[#This Row],[  Sales ]]&gt;=50000,"High Sales","Low Sales")</f>
        <v>High Sales</v>
      </c>
      <c r="W79" t="b">
        <f>ISNUMBER(New_Finance_Data[[#This Row],[Date]])</f>
        <v>1</v>
      </c>
    </row>
    <row r="80" spans="1:23" x14ac:dyDescent="0.2">
      <c r="A80" t="s">
        <v>29</v>
      </c>
      <c r="B80" t="s">
        <v>24</v>
      </c>
      <c r="C80" t="s">
        <v>36</v>
      </c>
      <c r="D80" t="s">
        <v>43</v>
      </c>
      <c r="E80" s="27">
        <v>1823</v>
      </c>
      <c r="F80" s="27">
        <v>10</v>
      </c>
      <c r="G80" s="27">
        <v>125</v>
      </c>
      <c r="H80" s="27">
        <v>227875</v>
      </c>
      <c r="I80" s="5">
        <v>2278.75</v>
      </c>
      <c r="J80" s="27">
        <v>225596.25</v>
      </c>
      <c r="K80" s="27">
        <v>218760</v>
      </c>
      <c r="L80" s="5">
        <v>6836.25</v>
      </c>
      <c r="M80" s="28">
        <v>41821</v>
      </c>
      <c r="N80" s="3">
        <v>7</v>
      </c>
      <c r="O80" s="29" t="s">
        <v>30</v>
      </c>
      <c r="P80" s="3">
        <v>2014</v>
      </c>
      <c r="Q80" s="6">
        <f>New_Finance_Data[[#This Row],[ Profit ]]/New_Finance_Data[[#This Row],[  Sales ]]</f>
        <v>3.0303030303030304E-2</v>
      </c>
      <c r="R80" t="str">
        <f>IF(New_Finance_Data[[#This Row],[  Sales ]]&gt;=100000,"High",IF(New_Finance_Data[[#This Row],[  Sales ]]&gt;=50000,"Medium","Low"))</f>
        <v>High</v>
      </c>
      <c r="S80" t="str">
        <f>IF(OR(ISBLANK(New_Finance_Data[[#This Row],[  Sales ]]),ISBLANK(New_Finance_Data[[#This Row],[ Profit ]])),"Missing","OK")</f>
        <v>OK</v>
      </c>
      <c r="T80" t="str">
        <f>TEXT(New_Finance_Data[[#This Row],[Date]],"MMM-YYYY")</f>
        <v>Jul-2014</v>
      </c>
      <c r="U80" t="str">
        <f>IF(New_Finance_Data[[#This Row],[ Profit ]]&gt;0,"Profit","Loss")</f>
        <v>Profit</v>
      </c>
      <c r="V80" t="str">
        <f>IF(New_Finance_Data[[#This Row],[  Sales ]]&gt;=50000,"High Sales","Low Sales")</f>
        <v>High Sales</v>
      </c>
      <c r="W80" t="b">
        <f>ISNUMBER(New_Finance_Data[[#This Row],[Date]])</f>
        <v>1</v>
      </c>
    </row>
    <row r="81" spans="1:23" x14ac:dyDescent="0.2">
      <c r="A81" t="s">
        <v>21</v>
      </c>
      <c r="B81" t="s">
        <v>20</v>
      </c>
      <c r="C81" t="s">
        <v>36</v>
      </c>
      <c r="D81" t="s">
        <v>43</v>
      </c>
      <c r="E81" s="27">
        <v>747</v>
      </c>
      <c r="F81" s="27">
        <v>10</v>
      </c>
      <c r="G81" s="27">
        <v>15</v>
      </c>
      <c r="H81" s="27">
        <v>11205</v>
      </c>
      <c r="I81" s="5">
        <v>112.05</v>
      </c>
      <c r="J81" s="27">
        <v>11092.95</v>
      </c>
      <c r="K81" s="27">
        <v>7470</v>
      </c>
      <c r="L81" s="5">
        <v>3622.95</v>
      </c>
      <c r="M81" s="28">
        <v>41883</v>
      </c>
      <c r="N81" s="3">
        <v>9</v>
      </c>
      <c r="O81" s="29" t="s">
        <v>33</v>
      </c>
      <c r="P81" s="3">
        <v>2014</v>
      </c>
      <c r="Q81" s="6">
        <f>New_Finance_Data[[#This Row],[ Profit ]]/New_Finance_Data[[#This Row],[  Sales ]]</f>
        <v>0.32659932659932656</v>
      </c>
      <c r="R81" t="str">
        <f>IF(New_Finance_Data[[#This Row],[  Sales ]]&gt;=100000,"High",IF(New_Finance_Data[[#This Row],[  Sales ]]&gt;=50000,"Medium","Low"))</f>
        <v>Low</v>
      </c>
      <c r="S81" t="str">
        <f>IF(OR(ISBLANK(New_Finance_Data[[#This Row],[  Sales ]]),ISBLANK(New_Finance_Data[[#This Row],[ Profit ]])),"Missing","OK")</f>
        <v>OK</v>
      </c>
      <c r="T81" t="str">
        <f>TEXT(New_Finance_Data[[#This Row],[Date]],"MMM-YYYY")</f>
        <v>Sep-2014</v>
      </c>
      <c r="U81" t="str">
        <f>IF(New_Finance_Data[[#This Row],[ Profit ]]&gt;0,"Profit","Loss")</f>
        <v>Profit</v>
      </c>
      <c r="V81" t="str">
        <f>IF(New_Finance_Data[[#This Row],[  Sales ]]&gt;=50000,"High Sales","Low Sales")</f>
        <v>Low Sales</v>
      </c>
      <c r="W81" t="b">
        <f>ISNUMBER(New_Finance_Data[[#This Row],[Date]])</f>
        <v>1</v>
      </c>
    </row>
    <row r="82" spans="1:23" x14ac:dyDescent="0.2">
      <c r="A82" t="s">
        <v>28</v>
      </c>
      <c r="B82" t="s">
        <v>20</v>
      </c>
      <c r="C82" t="s">
        <v>36</v>
      </c>
      <c r="D82" t="s">
        <v>43</v>
      </c>
      <c r="E82" s="27">
        <v>766</v>
      </c>
      <c r="F82" s="27">
        <v>10</v>
      </c>
      <c r="G82" s="27">
        <v>12</v>
      </c>
      <c r="H82" s="27">
        <v>9192</v>
      </c>
      <c r="I82" s="5">
        <v>91.92</v>
      </c>
      <c r="J82" s="27">
        <v>9100.08</v>
      </c>
      <c r="K82" s="27">
        <v>2298</v>
      </c>
      <c r="L82" s="5">
        <v>6802.08</v>
      </c>
      <c r="M82" s="28">
        <v>41548</v>
      </c>
      <c r="N82" s="3">
        <v>10</v>
      </c>
      <c r="O82" s="29" t="s">
        <v>34</v>
      </c>
      <c r="P82" s="3">
        <v>2013</v>
      </c>
      <c r="Q82" s="6">
        <f>New_Finance_Data[[#This Row],[ Profit ]]/New_Finance_Data[[#This Row],[  Sales ]]</f>
        <v>0.74747474747474751</v>
      </c>
      <c r="R82" t="str">
        <f>IF(New_Finance_Data[[#This Row],[  Sales ]]&gt;=100000,"High",IF(New_Finance_Data[[#This Row],[  Sales ]]&gt;=50000,"Medium","Low"))</f>
        <v>Low</v>
      </c>
      <c r="S82" t="str">
        <f>IF(OR(ISBLANK(New_Finance_Data[[#This Row],[  Sales ]]),ISBLANK(New_Finance_Data[[#This Row],[ Profit ]])),"Missing","OK")</f>
        <v>OK</v>
      </c>
      <c r="T82" t="str">
        <f>TEXT(New_Finance_Data[[#This Row],[Date]],"MMM-YYYY")</f>
        <v>Oct-2013</v>
      </c>
      <c r="U82" t="str">
        <f>IF(New_Finance_Data[[#This Row],[ Profit ]]&gt;0,"Profit","Loss")</f>
        <v>Profit</v>
      </c>
      <c r="V82" t="str">
        <f>IF(New_Finance_Data[[#This Row],[  Sales ]]&gt;=50000,"High Sales","Low Sales")</f>
        <v>Low Sales</v>
      </c>
      <c r="W82" t="b">
        <f>ISNUMBER(New_Finance_Data[[#This Row],[Date]])</f>
        <v>1</v>
      </c>
    </row>
    <row r="83" spans="1:23" x14ac:dyDescent="0.2">
      <c r="A83" t="s">
        <v>31</v>
      </c>
      <c r="B83" t="s">
        <v>35</v>
      </c>
      <c r="C83" t="s">
        <v>36</v>
      </c>
      <c r="D83" t="s">
        <v>43</v>
      </c>
      <c r="E83" s="27">
        <v>2905</v>
      </c>
      <c r="F83" s="27">
        <v>10</v>
      </c>
      <c r="G83" s="27">
        <v>300</v>
      </c>
      <c r="H83" s="27">
        <v>871500</v>
      </c>
      <c r="I83" s="5">
        <v>8715</v>
      </c>
      <c r="J83" s="27">
        <v>862785</v>
      </c>
      <c r="K83" s="27">
        <v>726250</v>
      </c>
      <c r="L83" s="5">
        <v>136535</v>
      </c>
      <c r="M83" s="28">
        <v>41944</v>
      </c>
      <c r="N83" s="3">
        <v>11</v>
      </c>
      <c r="O83" s="29" t="s">
        <v>38</v>
      </c>
      <c r="P83" s="3">
        <v>2014</v>
      </c>
      <c r="Q83" s="6">
        <f>New_Finance_Data[[#This Row],[ Profit ]]/New_Finance_Data[[#This Row],[  Sales ]]</f>
        <v>0.15824915824915825</v>
      </c>
      <c r="R83" t="str">
        <f>IF(New_Finance_Data[[#This Row],[  Sales ]]&gt;=100000,"High",IF(New_Finance_Data[[#This Row],[  Sales ]]&gt;=50000,"Medium","Low"))</f>
        <v>High</v>
      </c>
      <c r="S83" t="str">
        <f>IF(OR(ISBLANK(New_Finance_Data[[#This Row],[  Sales ]]),ISBLANK(New_Finance_Data[[#This Row],[ Profit ]])),"Missing","OK")</f>
        <v>OK</v>
      </c>
      <c r="T83" t="str">
        <f>TEXT(New_Finance_Data[[#This Row],[Date]],"MMM-YYYY")</f>
        <v>Nov-2014</v>
      </c>
      <c r="U83" t="str">
        <f>IF(New_Finance_Data[[#This Row],[ Profit ]]&gt;0,"Profit","Loss")</f>
        <v>Profit</v>
      </c>
      <c r="V83" t="str">
        <f>IF(New_Finance_Data[[#This Row],[  Sales ]]&gt;=50000,"High Sales","Low Sales")</f>
        <v>High Sales</v>
      </c>
      <c r="W83" t="b">
        <f>ISNUMBER(New_Finance_Data[[#This Row],[Date]])</f>
        <v>1</v>
      </c>
    </row>
    <row r="84" spans="1:23" x14ac:dyDescent="0.2">
      <c r="A84" t="s">
        <v>15</v>
      </c>
      <c r="B84" t="s">
        <v>22</v>
      </c>
      <c r="C84" t="s">
        <v>36</v>
      </c>
      <c r="D84" t="s">
        <v>43</v>
      </c>
      <c r="E84" s="27">
        <v>2155</v>
      </c>
      <c r="F84" s="27">
        <v>10</v>
      </c>
      <c r="G84" s="27">
        <v>350</v>
      </c>
      <c r="H84" s="27">
        <v>754250</v>
      </c>
      <c r="I84" s="5">
        <v>7542.5</v>
      </c>
      <c r="J84" s="27">
        <v>746707.5</v>
      </c>
      <c r="K84" s="27">
        <v>560300</v>
      </c>
      <c r="L84" s="5">
        <v>186407.5</v>
      </c>
      <c r="M84" s="28">
        <v>41974</v>
      </c>
      <c r="N84" s="3">
        <v>12</v>
      </c>
      <c r="O84" s="29" t="s">
        <v>25</v>
      </c>
      <c r="P84" s="3">
        <v>2014</v>
      </c>
      <c r="Q84" s="6">
        <f>New_Finance_Data[[#This Row],[ Profit ]]/New_Finance_Data[[#This Row],[  Sales ]]</f>
        <v>0.24963924963924963</v>
      </c>
      <c r="R84" t="str">
        <f>IF(New_Finance_Data[[#This Row],[  Sales ]]&gt;=100000,"High",IF(New_Finance_Data[[#This Row],[  Sales ]]&gt;=50000,"Medium","Low"))</f>
        <v>High</v>
      </c>
      <c r="S84" t="str">
        <f>IF(OR(ISBLANK(New_Finance_Data[[#This Row],[  Sales ]]),ISBLANK(New_Finance_Data[[#This Row],[ Profit ]])),"Missing","OK")</f>
        <v>OK</v>
      </c>
      <c r="T84" t="str">
        <f>TEXT(New_Finance_Data[[#This Row],[Date]],"MMM-YYYY")</f>
        <v>Dec-2014</v>
      </c>
      <c r="U84" t="str">
        <f>IF(New_Finance_Data[[#This Row],[ Profit ]]&gt;0,"Profit","Loss")</f>
        <v>Profit</v>
      </c>
      <c r="V84" t="str">
        <f>IF(New_Finance_Data[[#This Row],[  Sales ]]&gt;=50000,"High Sales","Low Sales")</f>
        <v>High Sales</v>
      </c>
      <c r="W84" t="b">
        <f>ISNUMBER(New_Finance_Data[[#This Row],[Date]])</f>
        <v>1</v>
      </c>
    </row>
    <row r="85" spans="1:23" x14ac:dyDescent="0.2">
      <c r="A85" t="s">
        <v>15</v>
      </c>
      <c r="B85" t="s">
        <v>22</v>
      </c>
      <c r="C85" t="s">
        <v>39</v>
      </c>
      <c r="D85" t="s">
        <v>43</v>
      </c>
      <c r="E85" s="27">
        <v>3864</v>
      </c>
      <c r="F85" s="27">
        <v>120</v>
      </c>
      <c r="G85" s="27">
        <v>20</v>
      </c>
      <c r="H85" s="27">
        <v>77280</v>
      </c>
      <c r="I85" s="5">
        <v>772.8</v>
      </c>
      <c r="J85" s="27">
        <v>76507.199999999997</v>
      </c>
      <c r="K85" s="27">
        <v>38640</v>
      </c>
      <c r="L85" s="5">
        <v>37867.199999999997</v>
      </c>
      <c r="M85" s="28">
        <v>41730</v>
      </c>
      <c r="N85" s="3">
        <v>4</v>
      </c>
      <c r="O85" s="29" t="s">
        <v>41</v>
      </c>
      <c r="P85" s="3">
        <v>2014</v>
      </c>
      <c r="Q85" s="6">
        <f>New_Finance_Data[[#This Row],[ Profit ]]/New_Finance_Data[[#This Row],[  Sales ]]</f>
        <v>0.49494949494949492</v>
      </c>
      <c r="R85" t="str">
        <f>IF(New_Finance_Data[[#This Row],[  Sales ]]&gt;=100000,"High",IF(New_Finance_Data[[#This Row],[  Sales ]]&gt;=50000,"Medium","Low"))</f>
        <v>Medium</v>
      </c>
      <c r="S85" t="str">
        <f>IF(OR(ISBLANK(New_Finance_Data[[#This Row],[  Sales ]]),ISBLANK(New_Finance_Data[[#This Row],[ Profit ]])),"Missing","OK")</f>
        <v>OK</v>
      </c>
      <c r="T85" t="str">
        <f>TEXT(New_Finance_Data[[#This Row],[Date]],"MMM-YYYY")</f>
        <v>Apr-2014</v>
      </c>
      <c r="U85" t="str">
        <f>IF(New_Finance_Data[[#This Row],[ Profit ]]&gt;0,"Profit","Loss")</f>
        <v>Profit</v>
      </c>
      <c r="V85" t="str">
        <f>IF(New_Finance_Data[[#This Row],[  Sales ]]&gt;=50000,"High Sales","Low Sales")</f>
        <v>High Sales</v>
      </c>
      <c r="W85" t="b">
        <f>ISNUMBER(New_Finance_Data[[#This Row],[Date]])</f>
        <v>1</v>
      </c>
    </row>
    <row r="86" spans="1:23" x14ac:dyDescent="0.2">
      <c r="A86" t="s">
        <v>15</v>
      </c>
      <c r="B86" t="s">
        <v>24</v>
      </c>
      <c r="C86" t="s">
        <v>39</v>
      </c>
      <c r="D86" t="s">
        <v>43</v>
      </c>
      <c r="E86" s="27">
        <v>362</v>
      </c>
      <c r="F86" s="27">
        <v>120</v>
      </c>
      <c r="G86" s="27">
        <v>7</v>
      </c>
      <c r="H86" s="27">
        <v>2534</v>
      </c>
      <c r="I86" s="5">
        <v>25.34</v>
      </c>
      <c r="J86" s="27">
        <v>2508.66</v>
      </c>
      <c r="K86" s="27">
        <v>1810</v>
      </c>
      <c r="L86" s="5">
        <v>698.66</v>
      </c>
      <c r="M86" s="28">
        <v>41760</v>
      </c>
      <c r="N86" s="3">
        <v>5</v>
      </c>
      <c r="O86" s="29" t="s">
        <v>44</v>
      </c>
      <c r="P86" s="3">
        <v>2014</v>
      </c>
      <c r="Q86" s="6">
        <f>New_Finance_Data[[#This Row],[ Profit ]]/New_Finance_Data[[#This Row],[  Sales ]]</f>
        <v>0.27849927849927852</v>
      </c>
      <c r="R86" t="str">
        <f>IF(New_Finance_Data[[#This Row],[  Sales ]]&gt;=100000,"High",IF(New_Finance_Data[[#This Row],[  Sales ]]&gt;=50000,"Medium","Low"))</f>
        <v>Low</v>
      </c>
      <c r="S86" t="str">
        <f>IF(OR(ISBLANK(New_Finance_Data[[#This Row],[  Sales ]]),ISBLANK(New_Finance_Data[[#This Row],[ Profit ]])),"Missing","OK")</f>
        <v>OK</v>
      </c>
      <c r="T86" t="str">
        <f>TEXT(New_Finance_Data[[#This Row],[Date]],"MMM-YYYY")</f>
        <v>May-2014</v>
      </c>
      <c r="U86" t="str">
        <f>IF(New_Finance_Data[[#This Row],[ Profit ]]&gt;0,"Profit","Loss")</f>
        <v>Profit</v>
      </c>
      <c r="V86" t="str">
        <f>IF(New_Finance_Data[[#This Row],[  Sales ]]&gt;=50000,"High Sales","Low Sales")</f>
        <v>Low Sales</v>
      </c>
      <c r="W86" t="b">
        <f>ISNUMBER(New_Finance_Data[[#This Row],[Date]])</f>
        <v>1</v>
      </c>
    </row>
    <row r="87" spans="1:23" x14ac:dyDescent="0.2">
      <c r="A87" t="s">
        <v>29</v>
      </c>
      <c r="B87" t="s">
        <v>16</v>
      </c>
      <c r="C87" t="s">
        <v>39</v>
      </c>
      <c r="D87" t="s">
        <v>43</v>
      </c>
      <c r="E87" s="27">
        <v>923</v>
      </c>
      <c r="F87" s="27">
        <v>120</v>
      </c>
      <c r="G87" s="27">
        <v>125</v>
      </c>
      <c r="H87" s="27">
        <v>115375</v>
      </c>
      <c r="I87" s="5">
        <v>1153.75</v>
      </c>
      <c r="J87" s="27">
        <v>114221.25</v>
      </c>
      <c r="K87" s="27">
        <v>110760</v>
      </c>
      <c r="L87" s="5">
        <v>3461.25</v>
      </c>
      <c r="M87" s="28">
        <v>41852</v>
      </c>
      <c r="N87" s="3">
        <v>8</v>
      </c>
      <c r="O87" s="29" t="s">
        <v>32</v>
      </c>
      <c r="P87" s="3">
        <v>2014</v>
      </c>
      <c r="Q87" s="6">
        <f>New_Finance_Data[[#This Row],[ Profit ]]/New_Finance_Data[[#This Row],[  Sales ]]</f>
        <v>3.0303030303030304E-2</v>
      </c>
      <c r="R87" t="str">
        <f>IF(New_Finance_Data[[#This Row],[  Sales ]]&gt;=100000,"High",IF(New_Finance_Data[[#This Row],[  Sales ]]&gt;=50000,"Medium","Low"))</f>
        <v>High</v>
      </c>
      <c r="S87" t="str">
        <f>IF(OR(ISBLANK(New_Finance_Data[[#This Row],[  Sales ]]),ISBLANK(New_Finance_Data[[#This Row],[ Profit ]])),"Missing","OK")</f>
        <v>OK</v>
      </c>
      <c r="T87" t="str">
        <f>TEXT(New_Finance_Data[[#This Row],[Date]],"MMM-YYYY")</f>
        <v>Aug-2014</v>
      </c>
      <c r="U87" t="str">
        <f>IF(New_Finance_Data[[#This Row],[ Profit ]]&gt;0,"Profit","Loss")</f>
        <v>Profit</v>
      </c>
      <c r="V87" t="str">
        <f>IF(New_Finance_Data[[#This Row],[  Sales ]]&gt;=50000,"High Sales","Low Sales")</f>
        <v>High Sales</v>
      </c>
      <c r="W87" t="b">
        <f>ISNUMBER(New_Finance_Data[[#This Row],[Date]])</f>
        <v>1</v>
      </c>
    </row>
    <row r="88" spans="1:23" x14ac:dyDescent="0.2">
      <c r="A88" t="s">
        <v>29</v>
      </c>
      <c r="B88" t="s">
        <v>35</v>
      </c>
      <c r="C88" t="s">
        <v>39</v>
      </c>
      <c r="D88" t="s">
        <v>43</v>
      </c>
      <c r="E88" s="27">
        <v>663</v>
      </c>
      <c r="F88" s="27">
        <v>120</v>
      </c>
      <c r="G88" s="27">
        <v>125</v>
      </c>
      <c r="H88" s="27">
        <v>82875</v>
      </c>
      <c r="I88" s="5">
        <v>828.75</v>
      </c>
      <c r="J88" s="27">
        <v>82046.25</v>
      </c>
      <c r="K88" s="27">
        <v>79560</v>
      </c>
      <c r="L88" s="5">
        <v>2486.25</v>
      </c>
      <c r="M88" s="28">
        <v>41548</v>
      </c>
      <c r="N88" s="3">
        <v>10</v>
      </c>
      <c r="O88" s="29" t="s">
        <v>34</v>
      </c>
      <c r="P88" s="3">
        <v>2013</v>
      </c>
      <c r="Q88" s="6">
        <f>New_Finance_Data[[#This Row],[ Profit ]]/New_Finance_Data[[#This Row],[  Sales ]]</f>
        <v>3.0303030303030304E-2</v>
      </c>
      <c r="R88" t="str">
        <f>IF(New_Finance_Data[[#This Row],[  Sales ]]&gt;=100000,"High",IF(New_Finance_Data[[#This Row],[  Sales ]]&gt;=50000,"Medium","Low"))</f>
        <v>Medium</v>
      </c>
      <c r="S88" t="str">
        <f>IF(OR(ISBLANK(New_Finance_Data[[#This Row],[  Sales ]]),ISBLANK(New_Finance_Data[[#This Row],[ Profit ]])),"Missing","OK")</f>
        <v>OK</v>
      </c>
      <c r="T88" t="str">
        <f>TEXT(New_Finance_Data[[#This Row],[Date]],"MMM-YYYY")</f>
        <v>Oct-2013</v>
      </c>
      <c r="U88" t="str">
        <f>IF(New_Finance_Data[[#This Row],[ Profit ]]&gt;0,"Profit","Loss")</f>
        <v>Profit</v>
      </c>
      <c r="V88" t="str">
        <f>IF(New_Finance_Data[[#This Row],[  Sales ]]&gt;=50000,"High Sales","Low Sales")</f>
        <v>High Sales</v>
      </c>
      <c r="W88" t="b">
        <f>ISNUMBER(New_Finance_Data[[#This Row],[Date]])</f>
        <v>1</v>
      </c>
    </row>
    <row r="89" spans="1:23" x14ac:dyDescent="0.2">
      <c r="A89" t="s">
        <v>15</v>
      </c>
      <c r="B89" t="s">
        <v>16</v>
      </c>
      <c r="C89" t="s">
        <v>39</v>
      </c>
      <c r="D89" t="s">
        <v>43</v>
      </c>
      <c r="E89" s="27">
        <v>2092</v>
      </c>
      <c r="F89" s="27">
        <v>120</v>
      </c>
      <c r="G89" s="27">
        <v>7</v>
      </c>
      <c r="H89" s="27">
        <v>14644</v>
      </c>
      <c r="I89" s="5">
        <v>146.44</v>
      </c>
      <c r="J89" s="27">
        <v>14497.56</v>
      </c>
      <c r="K89" s="27">
        <v>10460</v>
      </c>
      <c r="L89" s="5">
        <v>4037.56</v>
      </c>
      <c r="M89" s="28">
        <v>41579</v>
      </c>
      <c r="N89" s="3">
        <v>11</v>
      </c>
      <c r="O89" s="29" t="s">
        <v>38</v>
      </c>
      <c r="P89" s="3">
        <v>2013</v>
      </c>
      <c r="Q89" s="6">
        <f>New_Finance_Data[[#This Row],[ Profit ]]/New_Finance_Data[[#This Row],[  Sales ]]</f>
        <v>0.27849927849927852</v>
      </c>
      <c r="R89" t="str">
        <f>IF(New_Finance_Data[[#This Row],[  Sales ]]&gt;=100000,"High",IF(New_Finance_Data[[#This Row],[  Sales ]]&gt;=50000,"Medium","Low"))</f>
        <v>Low</v>
      </c>
      <c r="S89" t="str">
        <f>IF(OR(ISBLANK(New_Finance_Data[[#This Row],[  Sales ]]),ISBLANK(New_Finance_Data[[#This Row],[ Profit ]])),"Missing","OK")</f>
        <v>OK</v>
      </c>
      <c r="T89" t="str">
        <f>TEXT(New_Finance_Data[[#This Row],[Date]],"MMM-YYYY")</f>
        <v>Nov-2013</v>
      </c>
      <c r="U89" t="str">
        <f>IF(New_Finance_Data[[#This Row],[ Profit ]]&gt;0,"Profit","Loss")</f>
        <v>Profit</v>
      </c>
      <c r="V89" t="str">
        <f>IF(New_Finance_Data[[#This Row],[  Sales ]]&gt;=50000,"High Sales","Low Sales")</f>
        <v>Low Sales</v>
      </c>
      <c r="W89" t="b">
        <f>ISNUMBER(New_Finance_Data[[#This Row],[Date]])</f>
        <v>1</v>
      </c>
    </row>
    <row r="90" spans="1:23" x14ac:dyDescent="0.2">
      <c r="A90" t="s">
        <v>15</v>
      </c>
      <c r="B90" t="s">
        <v>20</v>
      </c>
      <c r="C90" t="s">
        <v>40</v>
      </c>
      <c r="D90" t="s">
        <v>43</v>
      </c>
      <c r="E90" s="27">
        <v>263</v>
      </c>
      <c r="F90" s="27">
        <v>250</v>
      </c>
      <c r="G90" s="27">
        <v>7</v>
      </c>
      <c r="H90" s="27">
        <v>1841</v>
      </c>
      <c r="I90" s="5">
        <v>18.41</v>
      </c>
      <c r="J90" s="27">
        <v>1822.59</v>
      </c>
      <c r="K90" s="27">
        <v>1315</v>
      </c>
      <c r="L90" s="5">
        <v>507.59</v>
      </c>
      <c r="M90" s="28">
        <v>41699</v>
      </c>
      <c r="N90" s="3">
        <v>3</v>
      </c>
      <c r="O90" s="29" t="s">
        <v>27</v>
      </c>
      <c r="P90" s="3">
        <v>2014</v>
      </c>
      <c r="Q90" s="6">
        <f>New_Finance_Data[[#This Row],[ Profit ]]/New_Finance_Data[[#This Row],[  Sales ]]</f>
        <v>0.27849927849927852</v>
      </c>
      <c r="R90" t="str">
        <f>IF(New_Finance_Data[[#This Row],[  Sales ]]&gt;=100000,"High",IF(New_Finance_Data[[#This Row],[  Sales ]]&gt;=50000,"Medium","Low"))</f>
        <v>Low</v>
      </c>
      <c r="S90" t="str">
        <f>IF(OR(ISBLANK(New_Finance_Data[[#This Row],[  Sales ]]),ISBLANK(New_Finance_Data[[#This Row],[ Profit ]])),"Missing","OK")</f>
        <v>OK</v>
      </c>
      <c r="T90" t="str">
        <f>TEXT(New_Finance_Data[[#This Row],[Date]],"MMM-YYYY")</f>
        <v>Mar-2014</v>
      </c>
      <c r="U90" t="str">
        <f>IF(New_Finance_Data[[#This Row],[ Profit ]]&gt;0,"Profit","Loss")</f>
        <v>Profit</v>
      </c>
      <c r="V90" t="str">
        <f>IF(New_Finance_Data[[#This Row],[  Sales ]]&gt;=50000,"High Sales","Low Sales")</f>
        <v>Low Sales</v>
      </c>
      <c r="W90" t="b">
        <f>ISNUMBER(New_Finance_Data[[#This Row],[Date]])</f>
        <v>1</v>
      </c>
    </row>
    <row r="91" spans="1:23" x14ac:dyDescent="0.2">
      <c r="A91" t="s">
        <v>15</v>
      </c>
      <c r="B91" t="s">
        <v>16</v>
      </c>
      <c r="C91" t="s">
        <v>40</v>
      </c>
      <c r="D91" t="s">
        <v>43</v>
      </c>
      <c r="E91" s="27">
        <v>943.5</v>
      </c>
      <c r="F91" s="27">
        <v>250</v>
      </c>
      <c r="G91" s="27">
        <v>350</v>
      </c>
      <c r="H91" s="27">
        <v>330225</v>
      </c>
      <c r="I91" s="5">
        <v>3302.25</v>
      </c>
      <c r="J91" s="27">
        <v>326922.75</v>
      </c>
      <c r="K91" s="27">
        <v>245310</v>
      </c>
      <c r="L91" s="5">
        <v>81612.75</v>
      </c>
      <c r="M91" s="28">
        <v>41730</v>
      </c>
      <c r="N91" s="3">
        <v>4</v>
      </c>
      <c r="O91" s="29" t="s">
        <v>41</v>
      </c>
      <c r="P91" s="3">
        <v>2014</v>
      </c>
      <c r="Q91" s="6">
        <f>New_Finance_Data[[#This Row],[ Profit ]]/New_Finance_Data[[#This Row],[  Sales ]]</f>
        <v>0.24963924963924963</v>
      </c>
      <c r="R91" t="str">
        <f>IF(New_Finance_Data[[#This Row],[  Sales ]]&gt;=100000,"High",IF(New_Finance_Data[[#This Row],[  Sales ]]&gt;=50000,"Medium","Low"))</f>
        <v>High</v>
      </c>
      <c r="S91" t="str">
        <f>IF(OR(ISBLANK(New_Finance_Data[[#This Row],[  Sales ]]),ISBLANK(New_Finance_Data[[#This Row],[ Profit ]])),"Missing","OK")</f>
        <v>OK</v>
      </c>
      <c r="T91" t="str">
        <f>TEXT(New_Finance_Data[[#This Row],[Date]],"MMM-YYYY")</f>
        <v>Apr-2014</v>
      </c>
      <c r="U91" t="str">
        <f>IF(New_Finance_Data[[#This Row],[ Profit ]]&gt;0,"Profit","Loss")</f>
        <v>Profit</v>
      </c>
      <c r="V91" t="str">
        <f>IF(New_Finance_Data[[#This Row],[  Sales ]]&gt;=50000,"High Sales","Low Sales")</f>
        <v>High Sales</v>
      </c>
      <c r="W91" t="b">
        <f>ISNUMBER(New_Finance_Data[[#This Row],[Date]])</f>
        <v>1</v>
      </c>
    </row>
    <row r="92" spans="1:23" x14ac:dyDescent="0.2">
      <c r="A92" t="s">
        <v>29</v>
      </c>
      <c r="B92" t="s">
        <v>35</v>
      </c>
      <c r="C92" t="s">
        <v>40</v>
      </c>
      <c r="D92" t="s">
        <v>43</v>
      </c>
      <c r="E92" s="27">
        <v>727</v>
      </c>
      <c r="F92" s="27">
        <v>250</v>
      </c>
      <c r="G92" s="27">
        <v>125</v>
      </c>
      <c r="H92" s="27">
        <v>90875</v>
      </c>
      <c r="I92" s="5">
        <v>908.75</v>
      </c>
      <c r="J92" s="27">
        <v>89966.25</v>
      </c>
      <c r="K92" s="27">
        <v>87240</v>
      </c>
      <c r="L92" s="5">
        <v>2726.25</v>
      </c>
      <c r="M92" s="28">
        <v>41791</v>
      </c>
      <c r="N92" s="3">
        <v>6</v>
      </c>
      <c r="O92" s="29" t="s">
        <v>23</v>
      </c>
      <c r="P92" s="3">
        <v>2014</v>
      </c>
      <c r="Q92" s="6">
        <f>New_Finance_Data[[#This Row],[ Profit ]]/New_Finance_Data[[#This Row],[  Sales ]]</f>
        <v>3.0303030303030304E-2</v>
      </c>
      <c r="R92" t="str">
        <f>IF(New_Finance_Data[[#This Row],[  Sales ]]&gt;=100000,"High",IF(New_Finance_Data[[#This Row],[  Sales ]]&gt;=50000,"Medium","Low"))</f>
        <v>Medium</v>
      </c>
      <c r="S92" t="str">
        <f>IF(OR(ISBLANK(New_Finance_Data[[#This Row],[  Sales ]]),ISBLANK(New_Finance_Data[[#This Row],[ Profit ]])),"Missing","OK")</f>
        <v>OK</v>
      </c>
      <c r="T92" t="str">
        <f>TEXT(New_Finance_Data[[#This Row],[Date]],"MMM-YYYY")</f>
        <v>Jun-2014</v>
      </c>
      <c r="U92" t="str">
        <f>IF(New_Finance_Data[[#This Row],[ Profit ]]&gt;0,"Profit","Loss")</f>
        <v>Profit</v>
      </c>
      <c r="V92" t="str">
        <f>IF(New_Finance_Data[[#This Row],[  Sales ]]&gt;=50000,"High Sales","Low Sales")</f>
        <v>High Sales</v>
      </c>
      <c r="W92" t="b">
        <f>ISNUMBER(New_Finance_Data[[#This Row],[Date]])</f>
        <v>1</v>
      </c>
    </row>
    <row r="93" spans="1:23" x14ac:dyDescent="0.2">
      <c r="A93" t="s">
        <v>29</v>
      </c>
      <c r="B93" t="s">
        <v>22</v>
      </c>
      <c r="C93" t="s">
        <v>40</v>
      </c>
      <c r="D93" t="s">
        <v>43</v>
      </c>
      <c r="E93" s="27">
        <v>787</v>
      </c>
      <c r="F93" s="27">
        <v>250</v>
      </c>
      <c r="G93" s="27">
        <v>125</v>
      </c>
      <c r="H93" s="27">
        <v>98375</v>
      </c>
      <c r="I93" s="5">
        <v>983.75</v>
      </c>
      <c r="J93" s="27">
        <v>97391.25</v>
      </c>
      <c r="K93" s="27">
        <v>94440</v>
      </c>
      <c r="L93" s="5">
        <v>2951.25</v>
      </c>
      <c r="M93" s="28">
        <v>41791</v>
      </c>
      <c r="N93" s="3">
        <v>6</v>
      </c>
      <c r="O93" s="29" t="s">
        <v>23</v>
      </c>
      <c r="P93" s="3">
        <v>2014</v>
      </c>
      <c r="Q93" s="6">
        <f>New_Finance_Data[[#This Row],[ Profit ]]/New_Finance_Data[[#This Row],[  Sales ]]</f>
        <v>3.0303030303030304E-2</v>
      </c>
      <c r="R93" t="str">
        <f>IF(New_Finance_Data[[#This Row],[  Sales ]]&gt;=100000,"High",IF(New_Finance_Data[[#This Row],[  Sales ]]&gt;=50000,"Medium","Low"))</f>
        <v>Medium</v>
      </c>
      <c r="S93" t="str">
        <f>IF(OR(ISBLANK(New_Finance_Data[[#This Row],[  Sales ]]),ISBLANK(New_Finance_Data[[#This Row],[ Profit ]])),"Missing","OK")</f>
        <v>OK</v>
      </c>
      <c r="T93" t="str">
        <f>TEXT(New_Finance_Data[[#This Row],[Date]],"MMM-YYYY")</f>
        <v>Jun-2014</v>
      </c>
      <c r="U93" t="str">
        <f>IF(New_Finance_Data[[#This Row],[ Profit ]]&gt;0,"Profit","Loss")</f>
        <v>Profit</v>
      </c>
      <c r="V93" t="str">
        <f>IF(New_Finance_Data[[#This Row],[  Sales ]]&gt;=50000,"High Sales","Low Sales")</f>
        <v>High Sales</v>
      </c>
      <c r="W93" t="b">
        <f>ISNUMBER(New_Finance_Data[[#This Row],[Date]])</f>
        <v>1</v>
      </c>
    </row>
    <row r="94" spans="1:23" x14ac:dyDescent="0.2">
      <c r="A94" t="s">
        <v>31</v>
      </c>
      <c r="B94" t="s">
        <v>20</v>
      </c>
      <c r="C94" t="s">
        <v>40</v>
      </c>
      <c r="D94" t="s">
        <v>43</v>
      </c>
      <c r="E94" s="27">
        <v>986</v>
      </c>
      <c r="F94" s="27">
        <v>250</v>
      </c>
      <c r="G94" s="27">
        <v>300</v>
      </c>
      <c r="H94" s="27">
        <v>295800</v>
      </c>
      <c r="I94" s="5">
        <v>2958</v>
      </c>
      <c r="J94" s="27">
        <v>292842</v>
      </c>
      <c r="K94" s="27">
        <v>246500</v>
      </c>
      <c r="L94" s="5">
        <v>46342</v>
      </c>
      <c r="M94" s="28">
        <v>41883</v>
      </c>
      <c r="N94" s="3">
        <v>9</v>
      </c>
      <c r="O94" s="29" t="s">
        <v>33</v>
      </c>
      <c r="P94" s="3">
        <v>2014</v>
      </c>
      <c r="Q94" s="6">
        <f>New_Finance_Data[[#This Row],[ Profit ]]/New_Finance_Data[[#This Row],[  Sales ]]</f>
        <v>0.15824915824915825</v>
      </c>
      <c r="R94" t="str">
        <f>IF(New_Finance_Data[[#This Row],[  Sales ]]&gt;=100000,"High",IF(New_Finance_Data[[#This Row],[  Sales ]]&gt;=50000,"Medium","Low"))</f>
        <v>High</v>
      </c>
      <c r="S94" t="str">
        <f>IF(OR(ISBLANK(New_Finance_Data[[#This Row],[  Sales ]]),ISBLANK(New_Finance_Data[[#This Row],[ Profit ]])),"Missing","OK")</f>
        <v>OK</v>
      </c>
      <c r="T94" t="str">
        <f>TEXT(New_Finance_Data[[#This Row],[Date]],"MMM-YYYY")</f>
        <v>Sep-2014</v>
      </c>
      <c r="U94" t="str">
        <f>IF(New_Finance_Data[[#This Row],[ Profit ]]&gt;0,"Profit","Loss")</f>
        <v>Profit</v>
      </c>
      <c r="V94" t="str">
        <f>IF(New_Finance_Data[[#This Row],[  Sales ]]&gt;=50000,"High Sales","Low Sales")</f>
        <v>High Sales</v>
      </c>
      <c r="W94" t="b">
        <f>ISNUMBER(New_Finance_Data[[#This Row],[Date]])</f>
        <v>1</v>
      </c>
    </row>
    <row r="95" spans="1:23" x14ac:dyDescent="0.2">
      <c r="A95" t="s">
        <v>31</v>
      </c>
      <c r="B95" t="s">
        <v>24</v>
      </c>
      <c r="C95" t="s">
        <v>40</v>
      </c>
      <c r="D95" t="s">
        <v>43</v>
      </c>
      <c r="E95" s="27">
        <v>494</v>
      </c>
      <c r="F95" s="27">
        <v>250</v>
      </c>
      <c r="G95" s="27">
        <v>300</v>
      </c>
      <c r="H95" s="27">
        <v>148200</v>
      </c>
      <c r="I95" s="5">
        <v>1482</v>
      </c>
      <c r="J95" s="27">
        <v>146718</v>
      </c>
      <c r="K95" s="27">
        <v>123500</v>
      </c>
      <c r="L95" s="5">
        <v>23218</v>
      </c>
      <c r="M95" s="28">
        <v>41548</v>
      </c>
      <c r="N95" s="3">
        <v>10</v>
      </c>
      <c r="O95" s="29" t="s">
        <v>34</v>
      </c>
      <c r="P95" s="3">
        <v>2013</v>
      </c>
      <c r="Q95" s="6">
        <f>New_Finance_Data[[#This Row],[ Profit ]]/New_Finance_Data[[#This Row],[  Sales ]]</f>
        <v>0.15824915824915825</v>
      </c>
      <c r="R95" t="str">
        <f>IF(New_Finance_Data[[#This Row],[  Sales ]]&gt;=100000,"High",IF(New_Finance_Data[[#This Row],[  Sales ]]&gt;=50000,"Medium","Low"))</f>
        <v>High</v>
      </c>
      <c r="S95" t="str">
        <f>IF(OR(ISBLANK(New_Finance_Data[[#This Row],[  Sales ]]),ISBLANK(New_Finance_Data[[#This Row],[ Profit ]])),"Missing","OK")</f>
        <v>OK</v>
      </c>
      <c r="T95" t="str">
        <f>TEXT(New_Finance_Data[[#This Row],[Date]],"MMM-YYYY")</f>
        <v>Oct-2013</v>
      </c>
      <c r="U95" t="str">
        <f>IF(New_Finance_Data[[#This Row],[ Profit ]]&gt;0,"Profit","Loss")</f>
        <v>Profit</v>
      </c>
      <c r="V95" t="str">
        <f>IF(New_Finance_Data[[#This Row],[  Sales ]]&gt;=50000,"High Sales","Low Sales")</f>
        <v>High Sales</v>
      </c>
      <c r="W95" t="b">
        <f>ISNUMBER(New_Finance_Data[[#This Row],[Date]])</f>
        <v>1</v>
      </c>
    </row>
    <row r="96" spans="1:23" x14ac:dyDescent="0.2">
      <c r="A96" t="s">
        <v>15</v>
      </c>
      <c r="B96" t="s">
        <v>24</v>
      </c>
      <c r="C96" t="s">
        <v>40</v>
      </c>
      <c r="D96" t="s">
        <v>43</v>
      </c>
      <c r="E96" s="27">
        <v>1397</v>
      </c>
      <c r="F96" s="27">
        <v>250</v>
      </c>
      <c r="G96" s="27">
        <v>350</v>
      </c>
      <c r="H96" s="27">
        <v>488950</v>
      </c>
      <c r="I96" s="5">
        <v>4889.5</v>
      </c>
      <c r="J96" s="27">
        <v>484060.5</v>
      </c>
      <c r="K96" s="27">
        <v>363220</v>
      </c>
      <c r="L96" s="5">
        <v>120840.5</v>
      </c>
      <c r="M96" s="28">
        <v>41913</v>
      </c>
      <c r="N96" s="3">
        <v>10</v>
      </c>
      <c r="O96" s="29" t="s">
        <v>34</v>
      </c>
      <c r="P96" s="3">
        <v>2014</v>
      </c>
      <c r="Q96" s="6">
        <f>New_Finance_Data[[#This Row],[ Profit ]]/New_Finance_Data[[#This Row],[  Sales ]]</f>
        <v>0.24963924963924963</v>
      </c>
      <c r="R96" t="str">
        <f>IF(New_Finance_Data[[#This Row],[  Sales ]]&gt;=100000,"High",IF(New_Finance_Data[[#This Row],[  Sales ]]&gt;=50000,"Medium","Low"))</f>
        <v>High</v>
      </c>
      <c r="S96" t="str">
        <f>IF(OR(ISBLANK(New_Finance_Data[[#This Row],[  Sales ]]),ISBLANK(New_Finance_Data[[#This Row],[ Profit ]])),"Missing","OK")</f>
        <v>OK</v>
      </c>
      <c r="T96" t="str">
        <f>TEXT(New_Finance_Data[[#This Row],[Date]],"MMM-YYYY")</f>
        <v>Oct-2014</v>
      </c>
      <c r="U96" t="str">
        <f>IF(New_Finance_Data[[#This Row],[ Profit ]]&gt;0,"Profit","Loss")</f>
        <v>Profit</v>
      </c>
      <c r="V96" t="str">
        <f>IF(New_Finance_Data[[#This Row],[  Sales ]]&gt;=50000,"High Sales","Low Sales")</f>
        <v>High Sales</v>
      </c>
      <c r="W96" t="b">
        <f>ISNUMBER(New_Finance_Data[[#This Row],[Date]])</f>
        <v>1</v>
      </c>
    </row>
    <row r="97" spans="1:23" x14ac:dyDescent="0.2">
      <c r="A97" t="s">
        <v>29</v>
      </c>
      <c r="B97" t="s">
        <v>22</v>
      </c>
      <c r="C97" t="s">
        <v>40</v>
      </c>
      <c r="D97" t="s">
        <v>43</v>
      </c>
      <c r="E97" s="27">
        <v>1744</v>
      </c>
      <c r="F97" s="27">
        <v>250</v>
      </c>
      <c r="G97" s="27">
        <v>125</v>
      </c>
      <c r="H97" s="27">
        <v>218000</v>
      </c>
      <c r="I97" s="5">
        <v>2180</v>
      </c>
      <c r="J97" s="27">
        <v>215820</v>
      </c>
      <c r="K97" s="27">
        <v>209280</v>
      </c>
      <c r="L97" s="5">
        <v>6540</v>
      </c>
      <c r="M97" s="28">
        <v>41944</v>
      </c>
      <c r="N97" s="3">
        <v>11</v>
      </c>
      <c r="O97" s="29" t="s">
        <v>38</v>
      </c>
      <c r="P97" s="3">
        <v>2014</v>
      </c>
      <c r="Q97" s="6">
        <f>New_Finance_Data[[#This Row],[ Profit ]]/New_Finance_Data[[#This Row],[  Sales ]]</f>
        <v>3.0303030303030304E-2</v>
      </c>
      <c r="R97" t="str">
        <f>IF(New_Finance_Data[[#This Row],[  Sales ]]&gt;=100000,"High",IF(New_Finance_Data[[#This Row],[  Sales ]]&gt;=50000,"Medium","Low"))</f>
        <v>High</v>
      </c>
      <c r="S97" t="str">
        <f>IF(OR(ISBLANK(New_Finance_Data[[#This Row],[  Sales ]]),ISBLANK(New_Finance_Data[[#This Row],[ Profit ]])),"Missing","OK")</f>
        <v>OK</v>
      </c>
      <c r="T97" t="str">
        <f>TEXT(New_Finance_Data[[#This Row],[Date]],"MMM-YYYY")</f>
        <v>Nov-2014</v>
      </c>
      <c r="U97" t="str">
        <f>IF(New_Finance_Data[[#This Row],[ Profit ]]&gt;0,"Profit","Loss")</f>
        <v>Profit</v>
      </c>
      <c r="V97" t="str">
        <f>IF(New_Finance_Data[[#This Row],[  Sales ]]&gt;=50000,"High Sales","Low Sales")</f>
        <v>High Sales</v>
      </c>
      <c r="W97" t="b">
        <f>ISNUMBER(New_Finance_Data[[#This Row],[Date]])</f>
        <v>1</v>
      </c>
    </row>
    <row r="98" spans="1:23" x14ac:dyDescent="0.2">
      <c r="A98" t="s">
        <v>28</v>
      </c>
      <c r="B98" t="s">
        <v>35</v>
      </c>
      <c r="C98" t="s">
        <v>42</v>
      </c>
      <c r="D98" t="s">
        <v>43</v>
      </c>
      <c r="E98" s="27">
        <v>1989</v>
      </c>
      <c r="F98" s="27">
        <v>260</v>
      </c>
      <c r="G98" s="27">
        <v>12</v>
      </c>
      <c r="H98" s="27">
        <v>23868</v>
      </c>
      <c r="I98" s="5">
        <v>238.68</v>
      </c>
      <c r="J98" s="27">
        <v>23629.32</v>
      </c>
      <c r="K98" s="27">
        <v>5967</v>
      </c>
      <c r="L98" s="5">
        <v>17662.32</v>
      </c>
      <c r="M98" s="28">
        <v>41518</v>
      </c>
      <c r="N98" s="3">
        <v>9</v>
      </c>
      <c r="O98" s="29" t="s">
        <v>33</v>
      </c>
      <c r="P98" s="3">
        <v>2013</v>
      </c>
      <c r="Q98" s="6">
        <f>New_Finance_Data[[#This Row],[ Profit ]]/New_Finance_Data[[#This Row],[  Sales ]]</f>
        <v>0.74747474747474751</v>
      </c>
      <c r="R98" t="str">
        <f>IF(New_Finance_Data[[#This Row],[  Sales ]]&gt;=100000,"High",IF(New_Finance_Data[[#This Row],[  Sales ]]&gt;=50000,"Medium","Low"))</f>
        <v>Low</v>
      </c>
      <c r="S98" t="str">
        <f>IF(OR(ISBLANK(New_Finance_Data[[#This Row],[  Sales ]]),ISBLANK(New_Finance_Data[[#This Row],[ Profit ]])),"Missing","OK")</f>
        <v>OK</v>
      </c>
      <c r="T98" t="str">
        <f>TEXT(New_Finance_Data[[#This Row],[Date]],"MMM-YYYY")</f>
        <v>Sep-2013</v>
      </c>
      <c r="U98" t="str">
        <f>IF(New_Finance_Data[[#This Row],[ Profit ]]&gt;0,"Profit","Loss")</f>
        <v>Profit</v>
      </c>
      <c r="V98" t="str">
        <f>IF(New_Finance_Data[[#This Row],[  Sales ]]&gt;=50000,"High Sales","Low Sales")</f>
        <v>Low Sales</v>
      </c>
      <c r="W98" t="b">
        <f>ISNUMBER(New_Finance_Data[[#This Row],[Date]])</f>
        <v>1</v>
      </c>
    </row>
    <row r="99" spans="1:23" x14ac:dyDescent="0.2">
      <c r="A99" t="s">
        <v>21</v>
      </c>
      <c r="B99" t="s">
        <v>22</v>
      </c>
      <c r="C99" t="s">
        <v>42</v>
      </c>
      <c r="D99" t="s">
        <v>43</v>
      </c>
      <c r="E99" s="27">
        <v>321</v>
      </c>
      <c r="F99" s="27">
        <v>260</v>
      </c>
      <c r="G99" s="27">
        <v>15</v>
      </c>
      <c r="H99" s="27">
        <v>4815</v>
      </c>
      <c r="I99" s="5">
        <v>48.15</v>
      </c>
      <c r="J99" s="27">
        <v>4766.8500000000004</v>
      </c>
      <c r="K99" s="27">
        <v>3210</v>
      </c>
      <c r="L99" s="5">
        <v>1556.85</v>
      </c>
      <c r="M99" s="28">
        <v>41579</v>
      </c>
      <c r="N99" s="3">
        <v>11</v>
      </c>
      <c r="O99" s="29" t="s">
        <v>38</v>
      </c>
      <c r="P99" s="3">
        <v>2013</v>
      </c>
      <c r="Q99" s="6">
        <f>New_Finance_Data[[#This Row],[ Profit ]]/New_Finance_Data[[#This Row],[  Sales ]]</f>
        <v>0.32659932659932656</v>
      </c>
      <c r="R99" t="str">
        <f>IF(New_Finance_Data[[#This Row],[  Sales ]]&gt;=100000,"High",IF(New_Finance_Data[[#This Row],[  Sales ]]&gt;=50000,"Medium","Low"))</f>
        <v>Low</v>
      </c>
      <c r="S99" t="str">
        <f>IF(OR(ISBLANK(New_Finance_Data[[#This Row],[  Sales ]]),ISBLANK(New_Finance_Data[[#This Row],[ Profit ]])),"Missing","OK")</f>
        <v>OK</v>
      </c>
      <c r="T99" t="str">
        <f>TEXT(New_Finance_Data[[#This Row],[Date]],"MMM-YYYY")</f>
        <v>Nov-2013</v>
      </c>
      <c r="U99" t="str">
        <f>IF(New_Finance_Data[[#This Row],[ Profit ]]&gt;0,"Profit","Loss")</f>
        <v>Profit</v>
      </c>
      <c r="V99" t="str">
        <f>IF(New_Finance_Data[[#This Row],[  Sales ]]&gt;=50000,"High Sales","Low Sales")</f>
        <v>Low Sales</v>
      </c>
      <c r="W99" t="b">
        <f>ISNUMBER(New_Finance_Data[[#This Row],[Date]])</f>
        <v>1</v>
      </c>
    </row>
    <row r="100" spans="1:23" x14ac:dyDescent="0.2">
      <c r="A100" t="s">
        <v>29</v>
      </c>
      <c r="B100" t="s">
        <v>16</v>
      </c>
      <c r="C100" t="s">
        <v>17</v>
      </c>
      <c r="D100" t="s">
        <v>43</v>
      </c>
      <c r="E100" s="27">
        <v>742.5</v>
      </c>
      <c r="F100" s="27">
        <v>3</v>
      </c>
      <c r="G100" s="27">
        <v>125</v>
      </c>
      <c r="H100" s="27">
        <v>92812.5</v>
      </c>
      <c r="I100" s="5">
        <v>1856.25</v>
      </c>
      <c r="J100" s="27">
        <v>90956.25</v>
      </c>
      <c r="K100" s="27">
        <v>89100</v>
      </c>
      <c r="L100" s="5">
        <v>1856.25</v>
      </c>
      <c r="M100" s="28">
        <v>41730</v>
      </c>
      <c r="N100" s="3">
        <v>4</v>
      </c>
      <c r="O100" s="29" t="s">
        <v>41</v>
      </c>
      <c r="P100" s="3">
        <v>2014</v>
      </c>
      <c r="Q100" s="6">
        <f>New_Finance_Data[[#This Row],[ Profit ]]/New_Finance_Data[[#This Row],[  Sales ]]</f>
        <v>2.0408163265306121E-2</v>
      </c>
      <c r="R100" t="str">
        <f>IF(New_Finance_Data[[#This Row],[  Sales ]]&gt;=100000,"High",IF(New_Finance_Data[[#This Row],[  Sales ]]&gt;=50000,"Medium","Low"))</f>
        <v>Medium</v>
      </c>
      <c r="S100" t="str">
        <f>IF(OR(ISBLANK(New_Finance_Data[[#This Row],[  Sales ]]),ISBLANK(New_Finance_Data[[#This Row],[ Profit ]])),"Missing","OK")</f>
        <v>OK</v>
      </c>
      <c r="T100" t="str">
        <f>TEXT(New_Finance_Data[[#This Row],[Date]],"MMM-YYYY")</f>
        <v>Apr-2014</v>
      </c>
      <c r="U100" t="str">
        <f>IF(New_Finance_Data[[#This Row],[ Profit ]]&gt;0,"Profit","Loss")</f>
        <v>Profit</v>
      </c>
      <c r="V100" t="str">
        <f>IF(New_Finance_Data[[#This Row],[  Sales ]]&gt;=50000,"High Sales","Low Sales")</f>
        <v>High Sales</v>
      </c>
      <c r="W100" t="b">
        <f>ISNUMBER(New_Finance_Data[[#This Row],[Date]])</f>
        <v>1</v>
      </c>
    </row>
    <row r="101" spans="1:23" x14ac:dyDescent="0.2">
      <c r="A101" t="s">
        <v>28</v>
      </c>
      <c r="B101" t="s">
        <v>16</v>
      </c>
      <c r="C101" t="s">
        <v>17</v>
      </c>
      <c r="D101" t="s">
        <v>43</v>
      </c>
      <c r="E101" s="27">
        <v>1295</v>
      </c>
      <c r="F101" s="27">
        <v>3</v>
      </c>
      <c r="G101" s="27">
        <v>12</v>
      </c>
      <c r="H101" s="27">
        <v>15540</v>
      </c>
      <c r="I101" s="5">
        <v>310.8</v>
      </c>
      <c r="J101" s="27">
        <v>15229.2</v>
      </c>
      <c r="K101" s="27">
        <v>3885</v>
      </c>
      <c r="L101" s="5">
        <v>11344.2</v>
      </c>
      <c r="M101" s="28">
        <v>41913</v>
      </c>
      <c r="N101" s="3">
        <v>10</v>
      </c>
      <c r="O101" s="29" t="s">
        <v>34</v>
      </c>
      <c r="P101" s="3">
        <v>2014</v>
      </c>
      <c r="Q101" s="6">
        <f>New_Finance_Data[[#This Row],[ Profit ]]/New_Finance_Data[[#This Row],[  Sales ]]</f>
        <v>0.74489795918367352</v>
      </c>
      <c r="R101" t="str">
        <f>IF(New_Finance_Data[[#This Row],[  Sales ]]&gt;=100000,"High",IF(New_Finance_Data[[#This Row],[  Sales ]]&gt;=50000,"Medium","Low"))</f>
        <v>Low</v>
      </c>
      <c r="S101" t="str">
        <f>IF(OR(ISBLANK(New_Finance_Data[[#This Row],[  Sales ]]),ISBLANK(New_Finance_Data[[#This Row],[ Profit ]])),"Missing","OK")</f>
        <v>OK</v>
      </c>
      <c r="T101" t="str">
        <f>TEXT(New_Finance_Data[[#This Row],[Date]],"MMM-YYYY")</f>
        <v>Oct-2014</v>
      </c>
      <c r="U101" t="str">
        <f>IF(New_Finance_Data[[#This Row],[ Profit ]]&gt;0,"Profit","Loss")</f>
        <v>Profit</v>
      </c>
      <c r="V101" t="str">
        <f>IF(New_Finance_Data[[#This Row],[  Sales ]]&gt;=50000,"High Sales","Low Sales")</f>
        <v>Low Sales</v>
      </c>
      <c r="W101" t="b">
        <f>ISNUMBER(New_Finance_Data[[#This Row],[Date]])</f>
        <v>1</v>
      </c>
    </row>
    <row r="102" spans="1:23" x14ac:dyDescent="0.2">
      <c r="A102" t="s">
        <v>31</v>
      </c>
      <c r="B102" t="s">
        <v>20</v>
      </c>
      <c r="C102" t="s">
        <v>17</v>
      </c>
      <c r="D102" t="s">
        <v>43</v>
      </c>
      <c r="E102" s="27">
        <v>214</v>
      </c>
      <c r="F102" s="27">
        <v>3</v>
      </c>
      <c r="G102" s="27">
        <v>300</v>
      </c>
      <c r="H102" s="27">
        <v>64200</v>
      </c>
      <c r="I102" s="5">
        <v>1284</v>
      </c>
      <c r="J102" s="27">
        <v>62916</v>
      </c>
      <c r="K102" s="27">
        <v>53500</v>
      </c>
      <c r="L102" s="5">
        <v>9416</v>
      </c>
      <c r="M102" s="28">
        <v>41548</v>
      </c>
      <c r="N102" s="3">
        <v>10</v>
      </c>
      <c r="O102" s="29" t="s">
        <v>34</v>
      </c>
      <c r="P102" s="3">
        <v>2013</v>
      </c>
      <c r="Q102" s="6">
        <f>New_Finance_Data[[#This Row],[ Profit ]]/New_Finance_Data[[#This Row],[  Sales ]]</f>
        <v>0.14965986394557823</v>
      </c>
      <c r="R102" t="str">
        <f>IF(New_Finance_Data[[#This Row],[  Sales ]]&gt;=100000,"High",IF(New_Finance_Data[[#This Row],[  Sales ]]&gt;=50000,"Medium","Low"))</f>
        <v>Medium</v>
      </c>
      <c r="S102" t="str">
        <f>IF(OR(ISBLANK(New_Finance_Data[[#This Row],[  Sales ]]),ISBLANK(New_Finance_Data[[#This Row],[ Profit ]])),"Missing","OK")</f>
        <v>OK</v>
      </c>
      <c r="T102" t="str">
        <f>TEXT(New_Finance_Data[[#This Row],[Date]],"MMM-YYYY")</f>
        <v>Oct-2013</v>
      </c>
      <c r="U102" t="str">
        <f>IF(New_Finance_Data[[#This Row],[ Profit ]]&gt;0,"Profit","Loss")</f>
        <v>Profit</v>
      </c>
      <c r="V102" t="str">
        <f>IF(New_Finance_Data[[#This Row],[  Sales ]]&gt;=50000,"High Sales","Low Sales")</f>
        <v>High Sales</v>
      </c>
      <c r="W102" t="b">
        <f>ISNUMBER(New_Finance_Data[[#This Row],[Date]])</f>
        <v>1</v>
      </c>
    </row>
    <row r="103" spans="1:23" x14ac:dyDescent="0.2">
      <c r="A103" t="s">
        <v>15</v>
      </c>
      <c r="B103" t="s">
        <v>22</v>
      </c>
      <c r="C103" t="s">
        <v>17</v>
      </c>
      <c r="D103" t="s">
        <v>43</v>
      </c>
      <c r="E103" s="27">
        <v>2145</v>
      </c>
      <c r="F103" s="27">
        <v>3</v>
      </c>
      <c r="G103" s="27">
        <v>7</v>
      </c>
      <c r="H103" s="27">
        <v>15015</v>
      </c>
      <c r="I103" s="5">
        <v>300.3</v>
      </c>
      <c r="J103" s="27">
        <v>14714.7</v>
      </c>
      <c r="K103" s="27">
        <v>10725</v>
      </c>
      <c r="L103" s="5">
        <v>3989.7</v>
      </c>
      <c r="M103" s="28">
        <v>41579</v>
      </c>
      <c r="N103" s="3">
        <v>11</v>
      </c>
      <c r="O103" s="29" t="s">
        <v>38</v>
      </c>
      <c r="P103" s="3">
        <v>2013</v>
      </c>
      <c r="Q103" s="6">
        <f>New_Finance_Data[[#This Row],[ Profit ]]/New_Finance_Data[[#This Row],[  Sales ]]</f>
        <v>0.27113702623906705</v>
      </c>
      <c r="R103" t="str">
        <f>IF(New_Finance_Data[[#This Row],[  Sales ]]&gt;=100000,"High",IF(New_Finance_Data[[#This Row],[  Sales ]]&gt;=50000,"Medium","Low"))</f>
        <v>Low</v>
      </c>
      <c r="S103" t="str">
        <f>IF(OR(ISBLANK(New_Finance_Data[[#This Row],[  Sales ]]),ISBLANK(New_Finance_Data[[#This Row],[ Profit ]])),"Missing","OK")</f>
        <v>OK</v>
      </c>
      <c r="T103" t="str">
        <f>TEXT(New_Finance_Data[[#This Row],[Date]],"MMM-YYYY")</f>
        <v>Nov-2013</v>
      </c>
      <c r="U103" t="str">
        <f>IF(New_Finance_Data[[#This Row],[ Profit ]]&gt;0,"Profit","Loss")</f>
        <v>Profit</v>
      </c>
      <c r="V103" t="str">
        <f>IF(New_Finance_Data[[#This Row],[  Sales ]]&gt;=50000,"High Sales","Low Sales")</f>
        <v>Low Sales</v>
      </c>
      <c r="W103" t="b">
        <f>ISNUMBER(New_Finance_Data[[#This Row],[Date]])</f>
        <v>1</v>
      </c>
    </row>
    <row r="104" spans="1:23" x14ac:dyDescent="0.2">
      <c r="A104" t="s">
        <v>15</v>
      </c>
      <c r="B104" t="s">
        <v>16</v>
      </c>
      <c r="C104" t="s">
        <v>17</v>
      </c>
      <c r="D104" t="s">
        <v>43</v>
      </c>
      <c r="E104" s="27">
        <v>2852</v>
      </c>
      <c r="F104" s="27">
        <v>3</v>
      </c>
      <c r="G104" s="27">
        <v>350</v>
      </c>
      <c r="H104" s="27">
        <v>998200</v>
      </c>
      <c r="I104" s="5">
        <v>19964</v>
      </c>
      <c r="J104" s="27">
        <v>978236</v>
      </c>
      <c r="K104" s="27">
        <v>741520</v>
      </c>
      <c r="L104" s="5">
        <v>236716</v>
      </c>
      <c r="M104" s="28">
        <v>41974</v>
      </c>
      <c r="N104" s="3">
        <v>12</v>
      </c>
      <c r="O104" s="29" t="s">
        <v>25</v>
      </c>
      <c r="P104" s="3">
        <v>2014</v>
      </c>
      <c r="Q104" s="6">
        <f>New_Finance_Data[[#This Row],[ Profit ]]/New_Finance_Data[[#This Row],[  Sales ]]</f>
        <v>0.24198250728862974</v>
      </c>
      <c r="R104" t="str">
        <f>IF(New_Finance_Data[[#This Row],[  Sales ]]&gt;=100000,"High",IF(New_Finance_Data[[#This Row],[  Sales ]]&gt;=50000,"Medium","Low"))</f>
        <v>High</v>
      </c>
      <c r="S104" t="str">
        <f>IF(OR(ISBLANK(New_Finance_Data[[#This Row],[  Sales ]]),ISBLANK(New_Finance_Data[[#This Row],[ Profit ]])),"Missing","OK")</f>
        <v>OK</v>
      </c>
      <c r="T104" t="str">
        <f>TEXT(New_Finance_Data[[#This Row],[Date]],"MMM-YYYY")</f>
        <v>Dec-2014</v>
      </c>
      <c r="U104" t="str">
        <f>IF(New_Finance_Data[[#This Row],[ Profit ]]&gt;0,"Profit","Loss")</f>
        <v>Profit</v>
      </c>
      <c r="V104" t="str">
        <f>IF(New_Finance_Data[[#This Row],[  Sales ]]&gt;=50000,"High Sales","Low Sales")</f>
        <v>High Sales</v>
      </c>
      <c r="W104" t="b">
        <f>ISNUMBER(New_Finance_Data[[#This Row],[Date]])</f>
        <v>1</v>
      </c>
    </row>
    <row r="105" spans="1:23" x14ac:dyDescent="0.2">
      <c r="A105" t="s">
        <v>28</v>
      </c>
      <c r="B105" t="s">
        <v>35</v>
      </c>
      <c r="C105" t="s">
        <v>26</v>
      </c>
      <c r="D105" t="s">
        <v>43</v>
      </c>
      <c r="E105" s="27">
        <v>1142</v>
      </c>
      <c r="F105" s="27">
        <v>5</v>
      </c>
      <c r="G105" s="27">
        <v>12</v>
      </c>
      <c r="H105" s="27">
        <v>13704</v>
      </c>
      <c r="I105" s="5">
        <v>274.08</v>
      </c>
      <c r="J105" s="27">
        <v>13429.92</v>
      </c>
      <c r="K105" s="27">
        <v>3426</v>
      </c>
      <c r="L105" s="5">
        <v>10003.92</v>
      </c>
      <c r="M105" s="28">
        <v>41791</v>
      </c>
      <c r="N105" s="3">
        <v>6</v>
      </c>
      <c r="O105" s="29" t="s">
        <v>23</v>
      </c>
      <c r="P105" s="3">
        <v>2014</v>
      </c>
      <c r="Q105" s="6">
        <f>New_Finance_Data[[#This Row],[ Profit ]]/New_Finance_Data[[#This Row],[  Sales ]]</f>
        <v>0.74489795918367352</v>
      </c>
      <c r="R105" t="str">
        <f>IF(New_Finance_Data[[#This Row],[  Sales ]]&gt;=100000,"High",IF(New_Finance_Data[[#This Row],[  Sales ]]&gt;=50000,"Medium","Low"))</f>
        <v>Low</v>
      </c>
      <c r="S105" t="str">
        <f>IF(OR(ISBLANK(New_Finance_Data[[#This Row],[  Sales ]]),ISBLANK(New_Finance_Data[[#This Row],[ Profit ]])),"Missing","OK")</f>
        <v>OK</v>
      </c>
      <c r="T105" t="str">
        <f>TEXT(New_Finance_Data[[#This Row],[Date]],"MMM-YYYY")</f>
        <v>Jun-2014</v>
      </c>
      <c r="U105" t="str">
        <f>IF(New_Finance_Data[[#This Row],[ Profit ]]&gt;0,"Profit","Loss")</f>
        <v>Profit</v>
      </c>
      <c r="V105" t="str">
        <f>IF(New_Finance_Data[[#This Row],[  Sales ]]&gt;=50000,"High Sales","Low Sales")</f>
        <v>Low Sales</v>
      </c>
      <c r="W105" t="b">
        <f>ISNUMBER(New_Finance_Data[[#This Row],[Date]])</f>
        <v>1</v>
      </c>
    </row>
    <row r="106" spans="1:23" x14ac:dyDescent="0.2">
      <c r="A106" t="s">
        <v>15</v>
      </c>
      <c r="B106" t="s">
        <v>35</v>
      </c>
      <c r="C106" t="s">
        <v>26</v>
      </c>
      <c r="D106" t="s">
        <v>43</v>
      </c>
      <c r="E106" s="27">
        <v>1566</v>
      </c>
      <c r="F106" s="27">
        <v>5</v>
      </c>
      <c r="G106" s="27">
        <v>20</v>
      </c>
      <c r="H106" s="27">
        <v>31320</v>
      </c>
      <c r="I106" s="5">
        <v>626.4</v>
      </c>
      <c r="J106" s="27">
        <v>30693.599999999999</v>
      </c>
      <c r="K106" s="27">
        <v>15660</v>
      </c>
      <c r="L106" s="5">
        <v>15033.6</v>
      </c>
      <c r="M106" s="28">
        <v>41913</v>
      </c>
      <c r="N106" s="3">
        <v>10</v>
      </c>
      <c r="O106" s="29" t="s">
        <v>34</v>
      </c>
      <c r="P106" s="3">
        <v>2014</v>
      </c>
      <c r="Q106" s="6">
        <f>New_Finance_Data[[#This Row],[ Profit ]]/New_Finance_Data[[#This Row],[  Sales ]]</f>
        <v>0.48979591836734698</v>
      </c>
      <c r="R106" t="str">
        <f>IF(New_Finance_Data[[#This Row],[  Sales ]]&gt;=100000,"High",IF(New_Finance_Data[[#This Row],[  Sales ]]&gt;=50000,"Medium","Low"))</f>
        <v>Low</v>
      </c>
      <c r="S106" t="str">
        <f>IF(OR(ISBLANK(New_Finance_Data[[#This Row],[  Sales ]]),ISBLANK(New_Finance_Data[[#This Row],[ Profit ]])),"Missing","OK")</f>
        <v>OK</v>
      </c>
      <c r="T106" t="str">
        <f>TEXT(New_Finance_Data[[#This Row],[Date]],"MMM-YYYY")</f>
        <v>Oct-2014</v>
      </c>
      <c r="U106" t="str">
        <f>IF(New_Finance_Data[[#This Row],[ Profit ]]&gt;0,"Profit","Loss")</f>
        <v>Profit</v>
      </c>
      <c r="V106" t="str">
        <f>IF(New_Finance_Data[[#This Row],[  Sales ]]&gt;=50000,"High Sales","Low Sales")</f>
        <v>Low Sales</v>
      </c>
      <c r="W106" t="b">
        <f>ISNUMBER(New_Finance_Data[[#This Row],[Date]])</f>
        <v>1</v>
      </c>
    </row>
    <row r="107" spans="1:23" x14ac:dyDescent="0.2">
      <c r="A107" t="s">
        <v>28</v>
      </c>
      <c r="B107" t="s">
        <v>24</v>
      </c>
      <c r="C107" t="s">
        <v>26</v>
      </c>
      <c r="D107" t="s">
        <v>43</v>
      </c>
      <c r="E107" s="27">
        <v>690</v>
      </c>
      <c r="F107" s="27">
        <v>5</v>
      </c>
      <c r="G107" s="27">
        <v>12</v>
      </c>
      <c r="H107" s="27">
        <v>8280</v>
      </c>
      <c r="I107" s="5">
        <v>165.6</v>
      </c>
      <c r="J107" s="27">
        <v>8114.4</v>
      </c>
      <c r="K107" s="27">
        <v>2070</v>
      </c>
      <c r="L107" s="5">
        <v>6044.4</v>
      </c>
      <c r="M107" s="28">
        <v>41944</v>
      </c>
      <c r="N107" s="3">
        <v>11</v>
      </c>
      <c r="O107" s="29" t="s">
        <v>38</v>
      </c>
      <c r="P107" s="3">
        <v>2014</v>
      </c>
      <c r="Q107" s="6">
        <f>New_Finance_Data[[#This Row],[ Profit ]]/New_Finance_Data[[#This Row],[  Sales ]]</f>
        <v>0.74489795918367341</v>
      </c>
      <c r="R107" t="str">
        <f>IF(New_Finance_Data[[#This Row],[  Sales ]]&gt;=100000,"High",IF(New_Finance_Data[[#This Row],[  Sales ]]&gt;=50000,"Medium","Low"))</f>
        <v>Low</v>
      </c>
      <c r="S107" t="str">
        <f>IF(OR(ISBLANK(New_Finance_Data[[#This Row],[  Sales ]]),ISBLANK(New_Finance_Data[[#This Row],[ Profit ]])),"Missing","OK")</f>
        <v>OK</v>
      </c>
      <c r="T107" t="str">
        <f>TEXT(New_Finance_Data[[#This Row],[Date]],"MMM-YYYY")</f>
        <v>Nov-2014</v>
      </c>
      <c r="U107" t="str">
        <f>IF(New_Finance_Data[[#This Row],[ Profit ]]&gt;0,"Profit","Loss")</f>
        <v>Profit</v>
      </c>
      <c r="V107" t="str">
        <f>IF(New_Finance_Data[[#This Row],[  Sales ]]&gt;=50000,"High Sales","Low Sales")</f>
        <v>Low Sales</v>
      </c>
      <c r="W107" t="b">
        <f>ISNUMBER(New_Finance_Data[[#This Row],[Date]])</f>
        <v>1</v>
      </c>
    </row>
    <row r="108" spans="1:23" x14ac:dyDescent="0.2">
      <c r="A108" t="s">
        <v>29</v>
      </c>
      <c r="B108" t="s">
        <v>24</v>
      </c>
      <c r="C108" t="s">
        <v>26</v>
      </c>
      <c r="D108" t="s">
        <v>43</v>
      </c>
      <c r="E108" s="27">
        <v>1660</v>
      </c>
      <c r="F108" s="27">
        <v>5</v>
      </c>
      <c r="G108" s="27">
        <v>125</v>
      </c>
      <c r="H108" s="27">
        <v>207500</v>
      </c>
      <c r="I108" s="5">
        <v>4150</v>
      </c>
      <c r="J108" s="27">
        <v>203350</v>
      </c>
      <c r="K108" s="27">
        <v>199200</v>
      </c>
      <c r="L108" s="5">
        <v>4150</v>
      </c>
      <c r="M108" s="28">
        <v>41579</v>
      </c>
      <c r="N108" s="3">
        <v>11</v>
      </c>
      <c r="O108" s="29" t="s">
        <v>38</v>
      </c>
      <c r="P108" s="3">
        <v>2013</v>
      </c>
      <c r="Q108" s="6">
        <f>New_Finance_Data[[#This Row],[ Profit ]]/New_Finance_Data[[#This Row],[  Sales ]]</f>
        <v>2.0408163265306121E-2</v>
      </c>
      <c r="R108" t="str">
        <f>IF(New_Finance_Data[[#This Row],[  Sales ]]&gt;=100000,"High",IF(New_Finance_Data[[#This Row],[  Sales ]]&gt;=50000,"Medium","Low"))</f>
        <v>High</v>
      </c>
      <c r="S108" t="str">
        <f>IF(OR(ISBLANK(New_Finance_Data[[#This Row],[  Sales ]]),ISBLANK(New_Finance_Data[[#This Row],[ Profit ]])),"Missing","OK")</f>
        <v>OK</v>
      </c>
      <c r="T108" t="str">
        <f>TEXT(New_Finance_Data[[#This Row],[Date]],"MMM-YYYY")</f>
        <v>Nov-2013</v>
      </c>
      <c r="U108" t="str">
        <f>IF(New_Finance_Data[[#This Row],[ Profit ]]&gt;0,"Profit","Loss")</f>
        <v>Profit</v>
      </c>
      <c r="V108" t="str">
        <f>IF(New_Finance_Data[[#This Row],[  Sales ]]&gt;=50000,"High Sales","Low Sales")</f>
        <v>High Sales</v>
      </c>
      <c r="W108" t="b">
        <f>ISNUMBER(New_Finance_Data[[#This Row],[Date]])</f>
        <v>1</v>
      </c>
    </row>
    <row r="109" spans="1:23" x14ac:dyDescent="0.2">
      <c r="A109" t="s">
        <v>21</v>
      </c>
      <c r="B109" t="s">
        <v>16</v>
      </c>
      <c r="C109" t="s">
        <v>36</v>
      </c>
      <c r="D109" t="s">
        <v>43</v>
      </c>
      <c r="E109" s="27">
        <v>2363</v>
      </c>
      <c r="F109" s="27">
        <v>10</v>
      </c>
      <c r="G109" s="27">
        <v>15</v>
      </c>
      <c r="H109" s="27">
        <v>35445</v>
      </c>
      <c r="I109" s="5">
        <v>708.9</v>
      </c>
      <c r="J109" s="27">
        <v>34736.1</v>
      </c>
      <c r="K109" s="27">
        <v>23630</v>
      </c>
      <c r="L109" s="5">
        <v>11106.1</v>
      </c>
      <c r="M109" s="28">
        <v>41671</v>
      </c>
      <c r="N109" s="3">
        <v>2</v>
      </c>
      <c r="O109" s="29" t="s">
        <v>37</v>
      </c>
      <c r="P109" s="3">
        <v>2014</v>
      </c>
      <c r="Q109" s="6">
        <f>New_Finance_Data[[#This Row],[ Profit ]]/New_Finance_Data[[#This Row],[  Sales ]]</f>
        <v>0.31972789115646261</v>
      </c>
      <c r="R109" t="str">
        <f>IF(New_Finance_Data[[#This Row],[  Sales ]]&gt;=100000,"High",IF(New_Finance_Data[[#This Row],[  Sales ]]&gt;=50000,"Medium","Low"))</f>
        <v>Low</v>
      </c>
      <c r="S109" t="str">
        <f>IF(OR(ISBLANK(New_Finance_Data[[#This Row],[  Sales ]]),ISBLANK(New_Finance_Data[[#This Row],[ Profit ]])),"Missing","OK")</f>
        <v>OK</v>
      </c>
      <c r="T109" t="str">
        <f>TEXT(New_Finance_Data[[#This Row],[Date]],"MMM-YYYY")</f>
        <v>Feb-2014</v>
      </c>
      <c r="U109" t="str">
        <f>IF(New_Finance_Data[[#This Row],[ Profit ]]&gt;0,"Profit","Loss")</f>
        <v>Profit</v>
      </c>
      <c r="V109" t="str">
        <f>IF(New_Finance_Data[[#This Row],[  Sales ]]&gt;=50000,"High Sales","Low Sales")</f>
        <v>Low Sales</v>
      </c>
      <c r="W109" t="b">
        <f>ISNUMBER(New_Finance_Data[[#This Row],[Date]])</f>
        <v>1</v>
      </c>
    </row>
    <row r="110" spans="1:23" x14ac:dyDescent="0.2">
      <c r="A110" t="s">
        <v>31</v>
      </c>
      <c r="B110" t="s">
        <v>22</v>
      </c>
      <c r="C110" t="s">
        <v>36</v>
      </c>
      <c r="D110" t="s">
        <v>43</v>
      </c>
      <c r="E110" s="27">
        <v>918</v>
      </c>
      <c r="F110" s="27">
        <v>10</v>
      </c>
      <c r="G110" s="27">
        <v>300</v>
      </c>
      <c r="H110" s="27">
        <v>275400</v>
      </c>
      <c r="I110" s="5">
        <v>5508</v>
      </c>
      <c r="J110" s="27">
        <v>269892</v>
      </c>
      <c r="K110" s="27">
        <v>229500</v>
      </c>
      <c r="L110" s="5">
        <v>40392</v>
      </c>
      <c r="M110" s="28">
        <v>41760</v>
      </c>
      <c r="N110" s="3">
        <v>5</v>
      </c>
      <c r="O110" s="29" t="s">
        <v>44</v>
      </c>
      <c r="P110" s="3">
        <v>2014</v>
      </c>
      <c r="Q110" s="6">
        <f>New_Finance_Data[[#This Row],[ Profit ]]/New_Finance_Data[[#This Row],[  Sales ]]</f>
        <v>0.14965986394557823</v>
      </c>
      <c r="R110" t="str">
        <f>IF(New_Finance_Data[[#This Row],[  Sales ]]&gt;=100000,"High",IF(New_Finance_Data[[#This Row],[  Sales ]]&gt;=50000,"Medium","Low"))</f>
        <v>High</v>
      </c>
      <c r="S110" t="str">
        <f>IF(OR(ISBLANK(New_Finance_Data[[#This Row],[  Sales ]]),ISBLANK(New_Finance_Data[[#This Row],[ Profit ]])),"Missing","OK")</f>
        <v>OK</v>
      </c>
      <c r="T110" t="str">
        <f>TEXT(New_Finance_Data[[#This Row],[Date]],"MMM-YYYY")</f>
        <v>May-2014</v>
      </c>
      <c r="U110" t="str">
        <f>IF(New_Finance_Data[[#This Row],[ Profit ]]&gt;0,"Profit","Loss")</f>
        <v>Profit</v>
      </c>
      <c r="V110" t="str">
        <f>IF(New_Finance_Data[[#This Row],[  Sales ]]&gt;=50000,"High Sales","Low Sales")</f>
        <v>High Sales</v>
      </c>
      <c r="W110" t="b">
        <f>ISNUMBER(New_Finance_Data[[#This Row],[Date]])</f>
        <v>1</v>
      </c>
    </row>
    <row r="111" spans="1:23" x14ac:dyDescent="0.2">
      <c r="A111" t="s">
        <v>31</v>
      </c>
      <c r="B111" t="s">
        <v>20</v>
      </c>
      <c r="C111" t="s">
        <v>36</v>
      </c>
      <c r="D111" t="s">
        <v>43</v>
      </c>
      <c r="E111" s="27">
        <v>1728</v>
      </c>
      <c r="F111" s="27">
        <v>10</v>
      </c>
      <c r="G111" s="27">
        <v>300</v>
      </c>
      <c r="H111" s="27">
        <v>518400</v>
      </c>
      <c r="I111" s="5">
        <v>10368</v>
      </c>
      <c r="J111" s="27">
        <v>508032</v>
      </c>
      <c r="K111" s="27">
        <v>432000</v>
      </c>
      <c r="L111" s="5">
        <v>76032</v>
      </c>
      <c r="M111" s="28">
        <v>41760</v>
      </c>
      <c r="N111" s="3">
        <v>5</v>
      </c>
      <c r="O111" s="29" t="s">
        <v>44</v>
      </c>
      <c r="P111" s="3">
        <v>2014</v>
      </c>
      <c r="Q111" s="6">
        <f>New_Finance_Data[[#This Row],[ Profit ]]/New_Finance_Data[[#This Row],[  Sales ]]</f>
        <v>0.14965986394557823</v>
      </c>
      <c r="R111" t="str">
        <f>IF(New_Finance_Data[[#This Row],[  Sales ]]&gt;=100000,"High",IF(New_Finance_Data[[#This Row],[  Sales ]]&gt;=50000,"Medium","Low"))</f>
        <v>High</v>
      </c>
      <c r="S111" t="str">
        <f>IF(OR(ISBLANK(New_Finance_Data[[#This Row],[  Sales ]]),ISBLANK(New_Finance_Data[[#This Row],[ Profit ]])),"Missing","OK")</f>
        <v>OK</v>
      </c>
      <c r="T111" t="str">
        <f>TEXT(New_Finance_Data[[#This Row],[Date]],"MMM-YYYY")</f>
        <v>May-2014</v>
      </c>
      <c r="U111" t="str">
        <f>IF(New_Finance_Data[[#This Row],[ Profit ]]&gt;0,"Profit","Loss")</f>
        <v>Profit</v>
      </c>
      <c r="V111" t="str">
        <f>IF(New_Finance_Data[[#This Row],[  Sales ]]&gt;=50000,"High Sales","Low Sales")</f>
        <v>High Sales</v>
      </c>
      <c r="W111" t="b">
        <f>ISNUMBER(New_Finance_Data[[#This Row],[Date]])</f>
        <v>1</v>
      </c>
    </row>
    <row r="112" spans="1:23" x14ac:dyDescent="0.2">
      <c r="A112" t="s">
        <v>28</v>
      </c>
      <c r="B112" t="s">
        <v>35</v>
      </c>
      <c r="C112" t="s">
        <v>36</v>
      </c>
      <c r="D112" t="s">
        <v>43</v>
      </c>
      <c r="E112" s="27">
        <v>1142</v>
      </c>
      <c r="F112" s="27">
        <v>10</v>
      </c>
      <c r="G112" s="27">
        <v>12</v>
      </c>
      <c r="H112" s="27">
        <v>13704</v>
      </c>
      <c r="I112" s="5">
        <v>274.08</v>
      </c>
      <c r="J112" s="27">
        <v>13429.92</v>
      </c>
      <c r="K112" s="27">
        <v>3426</v>
      </c>
      <c r="L112" s="5">
        <v>10003.92</v>
      </c>
      <c r="M112" s="28">
        <v>41791</v>
      </c>
      <c r="N112" s="3">
        <v>6</v>
      </c>
      <c r="O112" s="29" t="s">
        <v>23</v>
      </c>
      <c r="P112" s="3">
        <v>2014</v>
      </c>
      <c r="Q112" s="6">
        <f>New_Finance_Data[[#This Row],[ Profit ]]/New_Finance_Data[[#This Row],[  Sales ]]</f>
        <v>0.74489795918367352</v>
      </c>
      <c r="R112" t="str">
        <f>IF(New_Finance_Data[[#This Row],[  Sales ]]&gt;=100000,"High",IF(New_Finance_Data[[#This Row],[  Sales ]]&gt;=50000,"Medium","Low"))</f>
        <v>Low</v>
      </c>
      <c r="S112" t="str">
        <f>IF(OR(ISBLANK(New_Finance_Data[[#This Row],[  Sales ]]),ISBLANK(New_Finance_Data[[#This Row],[ Profit ]])),"Missing","OK")</f>
        <v>OK</v>
      </c>
      <c r="T112" t="str">
        <f>TEXT(New_Finance_Data[[#This Row],[Date]],"MMM-YYYY")</f>
        <v>Jun-2014</v>
      </c>
      <c r="U112" t="str">
        <f>IF(New_Finance_Data[[#This Row],[ Profit ]]&gt;0,"Profit","Loss")</f>
        <v>Profit</v>
      </c>
      <c r="V112" t="str">
        <f>IF(New_Finance_Data[[#This Row],[  Sales ]]&gt;=50000,"High Sales","Low Sales")</f>
        <v>Low Sales</v>
      </c>
      <c r="W112" t="b">
        <f>ISNUMBER(New_Finance_Data[[#This Row],[Date]])</f>
        <v>1</v>
      </c>
    </row>
    <row r="113" spans="1:23" x14ac:dyDescent="0.2">
      <c r="A113" t="s">
        <v>29</v>
      </c>
      <c r="B113" t="s">
        <v>24</v>
      </c>
      <c r="C113" t="s">
        <v>36</v>
      </c>
      <c r="D113" t="s">
        <v>43</v>
      </c>
      <c r="E113" s="27">
        <v>662</v>
      </c>
      <c r="F113" s="27">
        <v>10</v>
      </c>
      <c r="G113" s="27">
        <v>125</v>
      </c>
      <c r="H113" s="27">
        <v>82750</v>
      </c>
      <c r="I113" s="5">
        <v>1655</v>
      </c>
      <c r="J113" s="27">
        <v>81095</v>
      </c>
      <c r="K113" s="27">
        <v>79440</v>
      </c>
      <c r="L113" s="5">
        <v>1655</v>
      </c>
      <c r="M113" s="28">
        <v>41791</v>
      </c>
      <c r="N113" s="3">
        <v>6</v>
      </c>
      <c r="O113" s="29" t="s">
        <v>23</v>
      </c>
      <c r="P113" s="3">
        <v>2014</v>
      </c>
      <c r="Q113" s="6">
        <f>New_Finance_Data[[#This Row],[ Profit ]]/New_Finance_Data[[#This Row],[  Sales ]]</f>
        <v>2.0408163265306121E-2</v>
      </c>
      <c r="R113" t="str">
        <f>IF(New_Finance_Data[[#This Row],[  Sales ]]&gt;=100000,"High",IF(New_Finance_Data[[#This Row],[  Sales ]]&gt;=50000,"Medium","Low"))</f>
        <v>Medium</v>
      </c>
      <c r="S113" t="str">
        <f>IF(OR(ISBLANK(New_Finance_Data[[#This Row],[  Sales ]]),ISBLANK(New_Finance_Data[[#This Row],[ Profit ]])),"Missing","OK")</f>
        <v>OK</v>
      </c>
      <c r="T113" t="str">
        <f>TEXT(New_Finance_Data[[#This Row],[Date]],"MMM-YYYY")</f>
        <v>Jun-2014</v>
      </c>
      <c r="U113" t="str">
        <f>IF(New_Finance_Data[[#This Row],[ Profit ]]&gt;0,"Profit","Loss")</f>
        <v>Profit</v>
      </c>
      <c r="V113" t="str">
        <f>IF(New_Finance_Data[[#This Row],[  Sales ]]&gt;=50000,"High Sales","Low Sales")</f>
        <v>High Sales</v>
      </c>
      <c r="W113" t="b">
        <f>ISNUMBER(New_Finance_Data[[#This Row],[Date]])</f>
        <v>1</v>
      </c>
    </row>
    <row r="114" spans="1:23" x14ac:dyDescent="0.2">
      <c r="A114" t="s">
        <v>28</v>
      </c>
      <c r="B114" t="s">
        <v>16</v>
      </c>
      <c r="C114" t="s">
        <v>36</v>
      </c>
      <c r="D114" t="s">
        <v>43</v>
      </c>
      <c r="E114" s="27">
        <v>1295</v>
      </c>
      <c r="F114" s="27">
        <v>10</v>
      </c>
      <c r="G114" s="27">
        <v>12</v>
      </c>
      <c r="H114" s="27">
        <v>15540</v>
      </c>
      <c r="I114" s="5">
        <v>310.8</v>
      </c>
      <c r="J114" s="27">
        <v>15229.2</v>
      </c>
      <c r="K114" s="27">
        <v>3885</v>
      </c>
      <c r="L114" s="5">
        <v>11344.2</v>
      </c>
      <c r="M114" s="28">
        <v>41913</v>
      </c>
      <c r="N114" s="3">
        <v>10</v>
      </c>
      <c r="O114" s="29" t="s">
        <v>34</v>
      </c>
      <c r="P114" s="3">
        <v>2014</v>
      </c>
      <c r="Q114" s="6">
        <f>New_Finance_Data[[#This Row],[ Profit ]]/New_Finance_Data[[#This Row],[  Sales ]]</f>
        <v>0.74489795918367352</v>
      </c>
      <c r="R114" t="str">
        <f>IF(New_Finance_Data[[#This Row],[  Sales ]]&gt;=100000,"High",IF(New_Finance_Data[[#This Row],[  Sales ]]&gt;=50000,"Medium","Low"))</f>
        <v>Low</v>
      </c>
      <c r="S114" t="str">
        <f>IF(OR(ISBLANK(New_Finance_Data[[#This Row],[  Sales ]]),ISBLANK(New_Finance_Data[[#This Row],[ Profit ]])),"Missing","OK")</f>
        <v>OK</v>
      </c>
      <c r="T114" t="str">
        <f>TEXT(New_Finance_Data[[#This Row],[Date]],"MMM-YYYY")</f>
        <v>Oct-2014</v>
      </c>
      <c r="U114" t="str">
        <f>IF(New_Finance_Data[[#This Row],[ Profit ]]&gt;0,"Profit","Loss")</f>
        <v>Profit</v>
      </c>
      <c r="V114" t="str">
        <f>IF(New_Finance_Data[[#This Row],[  Sales ]]&gt;=50000,"High Sales","Low Sales")</f>
        <v>Low Sales</v>
      </c>
      <c r="W114" t="b">
        <f>ISNUMBER(New_Finance_Data[[#This Row],[Date]])</f>
        <v>1</v>
      </c>
    </row>
    <row r="115" spans="1:23" x14ac:dyDescent="0.2">
      <c r="A115" t="s">
        <v>29</v>
      </c>
      <c r="B115" t="s">
        <v>20</v>
      </c>
      <c r="C115" t="s">
        <v>36</v>
      </c>
      <c r="D115" t="s">
        <v>43</v>
      </c>
      <c r="E115" s="27">
        <v>809</v>
      </c>
      <c r="F115" s="27">
        <v>10</v>
      </c>
      <c r="G115" s="27">
        <v>125</v>
      </c>
      <c r="H115" s="27">
        <v>101125</v>
      </c>
      <c r="I115" s="5">
        <v>2022.5</v>
      </c>
      <c r="J115" s="27">
        <v>99102.5</v>
      </c>
      <c r="K115" s="27">
        <v>97080</v>
      </c>
      <c r="L115" s="5">
        <v>2022.5</v>
      </c>
      <c r="M115" s="28">
        <v>41548</v>
      </c>
      <c r="N115" s="3">
        <v>10</v>
      </c>
      <c r="O115" s="29" t="s">
        <v>34</v>
      </c>
      <c r="P115" s="3">
        <v>2013</v>
      </c>
      <c r="Q115" s="6">
        <f>New_Finance_Data[[#This Row],[ Profit ]]/New_Finance_Data[[#This Row],[  Sales ]]</f>
        <v>2.0408163265306121E-2</v>
      </c>
      <c r="R115" t="str">
        <f>IF(New_Finance_Data[[#This Row],[  Sales ]]&gt;=100000,"High",IF(New_Finance_Data[[#This Row],[  Sales ]]&gt;=50000,"Medium","Low"))</f>
        <v>Medium</v>
      </c>
      <c r="S115" t="str">
        <f>IF(OR(ISBLANK(New_Finance_Data[[#This Row],[  Sales ]]),ISBLANK(New_Finance_Data[[#This Row],[ Profit ]])),"Missing","OK")</f>
        <v>OK</v>
      </c>
      <c r="T115" t="str">
        <f>TEXT(New_Finance_Data[[#This Row],[Date]],"MMM-YYYY")</f>
        <v>Oct-2013</v>
      </c>
      <c r="U115" t="str">
        <f>IF(New_Finance_Data[[#This Row],[ Profit ]]&gt;0,"Profit","Loss")</f>
        <v>Profit</v>
      </c>
      <c r="V115" t="str">
        <f>IF(New_Finance_Data[[#This Row],[  Sales ]]&gt;=50000,"High Sales","Low Sales")</f>
        <v>High Sales</v>
      </c>
      <c r="W115" t="b">
        <f>ISNUMBER(New_Finance_Data[[#This Row],[Date]])</f>
        <v>1</v>
      </c>
    </row>
    <row r="116" spans="1:23" x14ac:dyDescent="0.2">
      <c r="A116" t="s">
        <v>29</v>
      </c>
      <c r="B116" t="s">
        <v>24</v>
      </c>
      <c r="C116" t="s">
        <v>36</v>
      </c>
      <c r="D116" t="s">
        <v>43</v>
      </c>
      <c r="E116" s="27">
        <v>2145</v>
      </c>
      <c r="F116" s="27">
        <v>10</v>
      </c>
      <c r="G116" s="27">
        <v>125</v>
      </c>
      <c r="H116" s="27">
        <v>268125</v>
      </c>
      <c r="I116" s="5">
        <v>5362.5</v>
      </c>
      <c r="J116" s="27">
        <v>262762.5</v>
      </c>
      <c r="K116" s="27">
        <v>257400</v>
      </c>
      <c r="L116" s="5">
        <v>5362.5</v>
      </c>
      <c r="M116" s="28">
        <v>41548</v>
      </c>
      <c r="N116" s="3">
        <v>10</v>
      </c>
      <c r="O116" s="29" t="s">
        <v>34</v>
      </c>
      <c r="P116" s="3">
        <v>2013</v>
      </c>
      <c r="Q116" s="6">
        <f>New_Finance_Data[[#This Row],[ Profit ]]/New_Finance_Data[[#This Row],[  Sales ]]</f>
        <v>2.0408163265306121E-2</v>
      </c>
      <c r="R116" t="str">
        <f>IF(New_Finance_Data[[#This Row],[  Sales ]]&gt;=100000,"High",IF(New_Finance_Data[[#This Row],[  Sales ]]&gt;=50000,"Medium","Low"))</f>
        <v>High</v>
      </c>
      <c r="S116" t="str">
        <f>IF(OR(ISBLANK(New_Finance_Data[[#This Row],[  Sales ]]),ISBLANK(New_Finance_Data[[#This Row],[ Profit ]])),"Missing","OK")</f>
        <v>OK</v>
      </c>
      <c r="T116" t="str">
        <f>TEXT(New_Finance_Data[[#This Row],[Date]],"MMM-YYYY")</f>
        <v>Oct-2013</v>
      </c>
      <c r="U116" t="str">
        <f>IF(New_Finance_Data[[#This Row],[ Profit ]]&gt;0,"Profit","Loss")</f>
        <v>Profit</v>
      </c>
      <c r="V116" t="str">
        <f>IF(New_Finance_Data[[#This Row],[  Sales ]]&gt;=50000,"High Sales","Low Sales")</f>
        <v>High Sales</v>
      </c>
      <c r="W116" t="b">
        <f>ISNUMBER(New_Finance_Data[[#This Row],[Date]])</f>
        <v>1</v>
      </c>
    </row>
    <row r="117" spans="1:23" x14ac:dyDescent="0.2">
      <c r="A117" t="s">
        <v>28</v>
      </c>
      <c r="B117" t="s">
        <v>22</v>
      </c>
      <c r="C117" t="s">
        <v>36</v>
      </c>
      <c r="D117" t="s">
        <v>43</v>
      </c>
      <c r="E117" s="27">
        <v>1785</v>
      </c>
      <c r="F117" s="27">
        <v>10</v>
      </c>
      <c r="G117" s="27">
        <v>12</v>
      </c>
      <c r="H117" s="27">
        <v>21420</v>
      </c>
      <c r="I117" s="5">
        <v>428.4</v>
      </c>
      <c r="J117" s="27">
        <v>20991.599999999999</v>
      </c>
      <c r="K117" s="27">
        <v>5355</v>
      </c>
      <c r="L117" s="5">
        <v>15636.6</v>
      </c>
      <c r="M117" s="28">
        <v>41579</v>
      </c>
      <c r="N117" s="3">
        <v>11</v>
      </c>
      <c r="O117" s="29" t="s">
        <v>38</v>
      </c>
      <c r="P117" s="3">
        <v>2013</v>
      </c>
      <c r="Q117" s="6">
        <f>New_Finance_Data[[#This Row],[ Profit ]]/New_Finance_Data[[#This Row],[  Sales ]]</f>
        <v>0.74489795918367352</v>
      </c>
      <c r="R117" t="str">
        <f>IF(New_Finance_Data[[#This Row],[  Sales ]]&gt;=100000,"High",IF(New_Finance_Data[[#This Row],[  Sales ]]&gt;=50000,"Medium","Low"))</f>
        <v>Low</v>
      </c>
      <c r="S117" t="str">
        <f>IF(OR(ISBLANK(New_Finance_Data[[#This Row],[  Sales ]]),ISBLANK(New_Finance_Data[[#This Row],[ Profit ]])),"Missing","OK")</f>
        <v>OK</v>
      </c>
      <c r="T117" t="str">
        <f>TEXT(New_Finance_Data[[#This Row],[Date]],"MMM-YYYY")</f>
        <v>Nov-2013</v>
      </c>
      <c r="U117" t="str">
        <f>IF(New_Finance_Data[[#This Row],[ Profit ]]&gt;0,"Profit","Loss")</f>
        <v>Profit</v>
      </c>
      <c r="V117" t="str">
        <f>IF(New_Finance_Data[[#This Row],[  Sales ]]&gt;=50000,"High Sales","Low Sales")</f>
        <v>Low Sales</v>
      </c>
      <c r="W117" t="b">
        <f>ISNUMBER(New_Finance_Data[[#This Row],[Date]])</f>
        <v>1</v>
      </c>
    </row>
    <row r="118" spans="1:23" x14ac:dyDescent="0.2">
      <c r="A118" t="s">
        <v>31</v>
      </c>
      <c r="B118" t="s">
        <v>16</v>
      </c>
      <c r="C118" t="s">
        <v>36</v>
      </c>
      <c r="D118" t="s">
        <v>43</v>
      </c>
      <c r="E118" s="27">
        <v>1916</v>
      </c>
      <c r="F118" s="27">
        <v>10</v>
      </c>
      <c r="G118" s="27">
        <v>300</v>
      </c>
      <c r="H118" s="27">
        <v>574800</v>
      </c>
      <c r="I118" s="5">
        <v>11496</v>
      </c>
      <c r="J118" s="27">
        <v>563304</v>
      </c>
      <c r="K118" s="27">
        <v>479000</v>
      </c>
      <c r="L118" s="5">
        <v>84304</v>
      </c>
      <c r="M118" s="28">
        <v>41974</v>
      </c>
      <c r="N118" s="3">
        <v>12</v>
      </c>
      <c r="O118" s="29" t="s">
        <v>25</v>
      </c>
      <c r="P118" s="3">
        <v>2014</v>
      </c>
      <c r="Q118" s="6">
        <f>New_Finance_Data[[#This Row],[ Profit ]]/New_Finance_Data[[#This Row],[  Sales ]]</f>
        <v>0.14965986394557823</v>
      </c>
      <c r="R118" t="str">
        <f>IF(New_Finance_Data[[#This Row],[  Sales ]]&gt;=100000,"High",IF(New_Finance_Data[[#This Row],[  Sales ]]&gt;=50000,"Medium","Low"))</f>
        <v>High</v>
      </c>
      <c r="S118" t="str">
        <f>IF(OR(ISBLANK(New_Finance_Data[[#This Row],[  Sales ]]),ISBLANK(New_Finance_Data[[#This Row],[ Profit ]])),"Missing","OK")</f>
        <v>OK</v>
      </c>
      <c r="T118" t="str">
        <f>TEXT(New_Finance_Data[[#This Row],[Date]],"MMM-YYYY")</f>
        <v>Dec-2014</v>
      </c>
      <c r="U118" t="str">
        <f>IF(New_Finance_Data[[#This Row],[ Profit ]]&gt;0,"Profit","Loss")</f>
        <v>Profit</v>
      </c>
      <c r="V118" t="str">
        <f>IF(New_Finance_Data[[#This Row],[  Sales ]]&gt;=50000,"High Sales","Low Sales")</f>
        <v>High Sales</v>
      </c>
      <c r="W118" t="b">
        <f>ISNUMBER(New_Finance_Data[[#This Row],[Date]])</f>
        <v>1</v>
      </c>
    </row>
    <row r="119" spans="1:23" x14ac:dyDescent="0.2">
      <c r="A119" t="s">
        <v>15</v>
      </c>
      <c r="B119" t="s">
        <v>16</v>
      </c>
      <c r="C119" t="s">
        <v>36</v>
      </c>
      <c r="D119" t="s">
        <v>43</v>
      </c>
      <c r="E119" s="27">
        <v>2852</v>
      </c>
      <c r="F119" s="27">
        <v>10</v>
      </c>
      <c r="G119" s="27">
        <v>350</v>
      </c>
      <c r="H119" s="27">
        <v>998200</v>
      </c>
      <c r="I119" s="5">
        <v>19964</v>
      </c>
      <c r="J119" s="27">
        <v>978236</v>
      </c>
      <c r="K119" s="27">
        <v>741520</v>
      </c>
      <c r="L119" s="5">
        <v>236716</v>
      </c>
      <c r="M119" s="28">
        <v>41974</v>
      </c>
      <c r="N119" s="3">
        <v>12</v>
      </c>
      <c r="O119" s="29" t="s">
        <v>25</v>
      </c>
      <c r="P119" s="3">
        <v>2014</v>
      </c>
      <c r="Q119" s="6">
        <f>New_Finance_Data[[#This Row],[ Profit ]]/New_Finance_Data[[#This Row],[  Sales ]]</f>
        <v>0.24198250728862974</v>
      </c>
      <c r="R119" t="str">
        <f>IF(New_Finance_Data[[#This Row],[  Sales ]]&gt;=100000,"High",IF(New_Finance_Data[[#This Row],[  Sales ]]&gt;=50000,"Medium","Low"))</f>
        <v>High</v>
      </c>
      <c r="S119" t="str">
        <f>IF(OR(ISBLANK(New_Finance_Data[[#This Row],[  Sales ]]),ISBLANK(New_Finance_Data[[#This Row],[ Profit ]])),"Missing","OK")</f>
        <v>OK</v>
      </c>
      <c r="T119" t="str">
        <f>TEXT(New_Finance_Data[[#This Row],[Date]],"MMM-YYYY")</f>
        <v>Dec-2014</v>
      </c>
      <c r="U119" t="str">
        <f>IF(New_Finance_Data[[#This Row],[ Profit ]]&gt;0,"Profit","Loss")</f>
        <v>Profit</v>
      </c>
      <c r="V119" t="str">
        <f>IF(New_Finance_Data[[#This Row],[  Sales ]]&gt;=50000,"High Sales","Low Sales")</f>
        <v>High Sales</v>
      </c>
      <c r="W119" t="b">
        <f>ISNUMBER(New_Finance_Data[[#This Row],[Date]])</f>
        <v>1</v>
      </c>
    </row>
    <row r="120" spans="1:23" x14ac:dyDescent="0.2">
      <c r="A120" t="s">
        <v>29</v>
      </c>
      <c r="B120" t="s">
        <v>16</v>
      </c>
      <c r="C120" t="s">
        <v>36</v>
      </c>
      <c r="D120" t="s">
        <v>43</v>
      </c>
      <c r="E120" s="27">
        <v>2729</v>
      </c>
      <c r="F120" s="27">
        <v>10</v>
      </c>
      <c r="G120" s="27">
        <v>125</v>
      </c>
      <c r="H120" s="27">
        <v>341125</v>
      </c>
      <c r="I120" s="5">
        <v>6822.5</v>
      </c>
      <c r="J120" s="27">
        <v>334302.5</v>
      </c>
      <c r="K120" s="27">
        <v>327480</v>
      </c>
      <c r="L120" s="5">
        <v>6822.5</v>
      </c>
      <c r="M120" s="28">
        <v>41974</v>
      </c>
      <c r="N120" s="3">
        <v>12</v>
      </c>
      <c r="O120" s="29" t="s">
        <v>25</v>
      </c>
      <c r="P120" s="3">
        <v>2014</v>
      </c>
      <c r="Q120" s="6">
        <f>New_Finance_Data[[#This Row],[ Profit ]]/New_Finance_Data[[#This Row],[  Sales ]]</f>
        <v>2.0408163265306121E-2</v>
      </c>
      <c r="R120" t="str">
        <f>IF(New_Finance_Data[[#This Row],[  Sales ]]&gt;=100000,"High",IF(New_Finance_Data[[#This Row],[  Sales ]]&gt;=50000,"Medium","Low"))</f>
        <v>High</v>
      </c>
      <c r="S120" t="str">
        <f>IF(OR(ISBLANK(New_Finance_Data[[#This Row],[  Sales ]]),ISBLANK(New_Finance_Data[[#This Row],[ Profit ]])),"Missing","OK")</f>
        <v>OK</v>
      </c>
      <c r="T120" t="str">
        <f>TEXT(New_Finance_Data[[#This Row],[Date]],"MMM-YYYY")</f>
        <v>Dec-2014</v>
      </c>
      <c r="U120" t="str">
        <f>IF(New_Finance_Data[[#This Row],[ Profit ]]&gt;0,"Profit","Loss")</f>
        <v>Profit</v>
      </c>
      <c r="V120" t="str">
        <f>IF(New_Finance_Data[[#This Row],[  Sales ]]&gt;=50000,"High Sales","Low Sales")</f>
        <v>High Sales</v>
      </c>
      <c r="W120" t="b">
        <f>ISNUMBER(New_Finance_Data[[#This Row],[Date]])</f>
        <v>1</v>
      </c>
    </row>
    <row r="121" spans="1:23" x14ac:dyDescent="0.2">
      <c r="A121" t="s">
        <v>21</v>
      </c>
      <c r="B121" t="s">
        <v>35</v>
      </c>
      <c r="C121" t="s">
        <v>36</v>
      </c>
      <c r="D121" t="s">
        <v>43</v>
      </c>
      <c r="E121" s="27">
        <v>1925</v>
      </c>
      <c r="F121" s="27">
        <v>10</v>
      </c>
      <c r="G121" s="27">
        <v>15</v>
      </c>
      <c r="H121" s="27">
        <v>28875</v>
      </c>
      <c r="I121" s="5">
        <v>577.5</v>
      </c>
      <c r="J121" s="27">
        <v>28297.5</v>
      </c>
      <c r="K121" s="27">
        <v>19250</v>
      </c>
      <c r="L121" s="5">
        <v>9047.5</v>
      </c>
      <c r="M121" s="28">
        <v>41609</v>
      </c>
      <c r="N121" s="3">
        <v>12</v>
      </c>
      <c r="O121" s="29" t="s">
        <v>25</v>
      </c>
      <c r="P121" s="3">
        <v>2013</v>
      </c>
      <c r="Q121" s="6">
        <f>New_Finance_Data[[#This Row],[ Profit ]]/New_Finance_Data[[#This Row],[  Sales ]]</f>
        <v>0.31972789115646261</v>
      </c>
      <c r="R121" t="str">
        <f>IF(New_Finance_Data[[#This Row],[  Sales ]]&gt;=100000,"High",IF(New_Finance_Data[[#This Row],[  Sales ]]&gt;=50000,"Medium","Low"))</f>
        <v>Low</v>
      </c>
      <c r="S121" t="str">
        <f>IF(OR(ISBLANK(New_Finance_Data[[#This Row],[  Sales ]]),ISBLANK(New_Finance_Data[[#This Row],[ Profit ]])),"Missing","OK")</f>
        <v>OK</v>
      </c>
      <c r="T121" t="str">
        <f>TEXT(New_Finance_Data[[#This Row],[Date]],"MMM-YYYY")</f>
        <v>Dec-2013</v>
      </c>
      <c r="U121" t="str">
        <f>IF(New_Finance_Data[[#This Row],[ Profit ]]&gt;0,"Profit","Loss")</f>
        <v>Profit</v>
      </c>
      <c r="V121" t="str">
        <f>IF(New_Finance_Data[[#This Row],[  Sales ]]&gt;=50000,"High Sales","Low Sales")</f>
        <v>Low Sales</v>
      </c>
      <c r="W121" t="b">
        <f>ISNUMBER(New_Finance_Data[[#This Row],[Date]])</f>
        <v>1</v>
      </c>
    </row>
    <row r="122" spans="1:23" x14ac:dyDescent="0.2">
      <c r="A122" t="s">
        <v>15</v>
      </c>
      <c r="B122" t="s">
        <v>35</v>
      </c>
      <c r="C122" t="s">
        <v>36</v>
      </c>
      <c r="D122" t="s">
        <v>43</v>
      </c>
      <c r="E122" s="27">
        <v>2013</v>
      </c>
      <c r="F122" s="27">
        <v>10</v>
      </c>
      <c r="G122" s="27">
        <v>7</v>
      </c>
      <c r="H122" s="27">
        <v>14091</v>
      </c>
      <c r="I122" s="5">
        <v>281.82</v>
      </c>
      <c r="J122" s="27">
        <v>13809.18</v>
      </c>
      <c r="K122" s="27">
        <v>10065</v>
      </c>
      <c r="L122" s="5">
        <v>3744.18</v>
      </c>
      <c r="M122" s="28">
        <v>41609</v>
      </c>
      <c r="N122" s="3">
        <v>12</v>
      </c>
      <c r="O122" s="29" t="s">
        <v>25</v>
      </c>
      <c r="P122" s="3">
        <v>2013</v>
      </c>
      <c r="Q122" s="6">
        <f>New_Finance_Data[[#This Row],[ Profit ]]/New_Finance_Data[[#This Row],[  Sales ]]</f>
        <v>0.27113702623906705</v>
      </c>
      <c r="R122" t="str">
        <f>IF(New_Finance_Data[[#This Row],[  Sales ]]&gt;=100000,"High",IF(New_Finance_Data[[#This Row],[  Sales ]]&gt;=50000,"Medium","Low"))</f>
        <v>Low</v>
      </c>
      <c r="S122" t="str">
        <f>IF(OR(ISBLANK(New_Finance_Data[[#This Row],[  Sales ]]),ISBLANK(New_Finance_Data[[#This Row],[ Profit ]])),"Missing","OK")</f>
        <v>OK</v>
      </c>
      <c r="T122" t="str">
        <f>TEXT(New_Finance_Data[[#This Row],[Date]],"MMM-YYYY")</f>
        <v>Dec-2013</v>
      </c>
      <c r="U122" t="str">
        <f>IF(New_Finance_Data[[#This Row],[ Profit ]]&gt;0,"Profit","Loss")</f>
        <v>Profit</v>
      </c>
      <c r="V122" t="str">
        <f>IF(New_Finance_Data[[#This Row],[  Sales ]]&gt;=50000,"High Sales","Low Sales")</f>
        <v>Low Sales</v>
      </c>
      <c r="W122" t="b">
        <f>ISNUMBER(New_Finance_Data[[#This Row],[Date]])</f>
        <v>1</v>
      </c>
    </row>
    <row r="123" spans="1:23" x14ac:dyDescent="0.2">
      <c r="A123" t="s">
        <v>28</v>
      </c>
      <c r="B123" t="s">
        <v>22</v>
      </c>
      <c r="C123" t="s">
        <v>36</v>
      </c>
      <c r="D123" t="s">
        <v>43</v>
      </c>
      <c r="E123" s="27">
        <v>1055</v>
      </c>
      <c r="F123" s="27">
        <v>10</v>
      </c>
      <c r="G123" s="27">
        <v>12</v>
      </c>
      <c r="H123" s="27">
        <v>12660</v>
      </c>
      <c r="I123" s="5">
        <v>253.2</v>
      </c>
      <c r="J123" s="27">
        <v>12406.8</v>
      </c>
      <c r="K123" s="27">
        <v>3165</v>
      </c>
      <c r="L123" s="5">
        <v>9241.7999999999993</v>
      </c>
      <c r="M123" s="28">
        <v>41974</v>
      </c>
      <c r="N123" s="3">
        <v>12</v>
      </c>
      <c r="O123" s="29" t="s">
        <v>25</v>
      </c>
      <c r="P123" s="3">
        <v>2014</v>
      </c>
      <c r="Q123" s="6">
        <f>New_Finance_Data[[#This Row],[ Profit ]]/New_Finance_Data[[#This Row],[  Sales ]]</f>
        <v>0.74489795918367341</v>
      </c>
      <c r="R123" t="str">
        <f>IF(New_Finance_Data[[#This Row],[  Sales ]]&gt;=100000,"High",IF(New_Finance_Data[[#This Row],[  Sales ]]&gt;=50000,"Medium","Low"))</f>
        <v>Low</v>
      </c>
      <c r="S123" t="str">
        <f>IF(OR(ISBLANK(New_Finance_Data[[#This Row],[  Sales ]]),ISBLANK(New_Finance_Data[[#This Row],[ Profit ]])),"Missing","OK")</f>
        <v>OK</v>
      </c>
      <c r="T123" t="str">
        <f>TEXT(New_Finance_Data[[#This Row],[Date]],"MMM-YYYY")</f>
        <v>Dec-2014</v>
      </c>
      <c r="U123" t="str">
        <f>IF(New_Finance_Data[[#This Row],[ Profit ]]&gt;0,"Profit","Loss")</f>
        <v>Profit</v>
      </c>
      <c r="V123" t="str">
        <f>IF(New_Finance_Data[[#This Row],[  Sales ]]&gt;=50000,"High Sales","Low Sales")</f>
        <v>Low Sales</v>
      </c>
      <c r="W123" t="b">
        <f>ISNUMBER(New_Finance_Data[[#This Row],[Date]])</f>
        <v>1</v>
      </c>
    </row>
    <row r="124" spans="1:23" x14ac:dyDescent="0.2">
      <c r="A124" t="s">
        <v>28</v>
      </c>
      <c r="B124" t="s">
        <v>24</v>
      </c>
      <c r="C124" t="s">
        <v>36</v>
      </c>
      <c r="D124" t="s">
        <v>43</v>
      </c>
      <c r="E124" s="27">
        <v>1084</v>
      </c>
      <c r="F124" s="27">
        <v>10</v>
      </c>
      <c r="G124" s="27">
        <v>12</v>
      </c>
      <c r="H124" s="27">
        <v>13008</v>
      </c>
      <c r="I124" s="5">
        <v>260.16000000000003</v>
      </c>
      <c r="J124" s="27">
        <v>12747.84</v>
      </c>
      <c r="K124" s="27">
        <v>3252</v>
      </c>
      <c r="L124" s="5">
        <v>9495.84</v>
      </c>
      <c r="M124" s="28">
        <v>41974</v>
      </c>
      <c r="N124" s="3">
        <v>12</v>
      </c>
      <c r="O124" s="29" t="s">
        <v>25</v>
      </c>
      <c r="P124" s="3">
        <v>2014</v>
      </c>
      <c r="Q124" s="6">
        <f>New_Finance_Data[[#This Row],[ Profit ]]/New_Finance_Data[[#This Row],[  Sales ]]</f>
        <v>0.74489795918367352</v>
      </c>
      <c r="R124" t="str">
        <f>IF(New_Finance_Data[[#This Row],[  Sales ]]&gt;=100000,"High",IF(New_Finance_Data[[#This Row],[  Sales ]]&gt;=50000,"Medium","Low"))</f>
        <v>Low</v>
      </c>
      <c r="S124" t="str">
        <f>IF(OR(ISBLANK(New_Finance_Data[[#This Row],[  Sales ]]),ISBLANK(New_Finance_Data[[#This Row],[ Profit ]])),"Missing","OK")</f>
        <v>OK</v>
      </c>
      <c r="T124" t="str">
        <f>TEXT(New_Finance_Data[[#This Row],[Date]],"MMM-YYYY")</f>
        <v>Dec-2014</v>
      </c>
      <c r="U124" t="str">
        <f>IF(New_Finance_Data[[#This Row],[ Profit ]]&gt;0,"Profit","Loss")</f>
        <v>Profit</v>
      </c>
      <c r="V124" t="str">
        <f>IF(New_Finance_Data[[#This Row],[  Sales ]]&gt;=50000,"High Sales","Low Sales")</f>
        <v>Low Sales</v>
      </c>
      <c r="W124" t="b">
        <f>ISNUMBER(New_Finance_Data[[#This Row],[Date]])</f>
        <v>1</v>
      </c>
    </row>
    <row r="125" spans="1:23" x14ac:dyDescent="0.2">
      <c r="A125" t="s">
        <v>15</v>
      </c>
      <c r="B125" t="s">
        <v>35</v>
      </c>
      <c r="C125" t="s">
        <v>39</v>
      </c>
      <c r="D125" t="s">
        <v>43</v>
      </c>
      <c r="E125" s="27">
        <v>1566</v>
      </c>
      <c r="F125" s="27">
        <v>120</v>
      </c>
      <c r="G125" s="27">
        <v>20</v>
      </c>
      <c r="H125" s="27">
        <v>31320</v>
      </c>
      <c r="I125" s="5">
        <v>626.4</v>
      </c>
      <c r="J125" s="27">
        <v>30693.599999999999</v>
      </c>
      <c r="K125" s="27">
        <v>15660</v>
      </c>
      <c r="L125" s="5">
        <v>15033.6</v>
      </c>
      <c r="M125" s="28">
        <v>41913</v>
      </c>
      <c r="N125" s="3">
        <v>10</v>
      </c>
      <c r="O125" s="29" t="s">
        <v>34</v>
      </c>
      <c r="P125" s="3">
        <v>2014</v>
      </c>
      <c r="Q125" s="6">
        <f>New_Finance_Data[[#This Row],[ Profit ]]/New_Finance_Data[[#This Row],[  Sales ]]</f>
        <v>0.48979591836734698</v>
      </c>
      <c r="R125" t="str">
        <f>IF(New_Finance_Data[[#This Row],[  Sales ]]&gt;=100000,"High",IF(New_Finance_Data[[#This Row],[  Sales ]]&gt;=50000,"Medium","Low"))</f>
        <v>Low</v>
      </c>
      <c r="S125" t="str">
        <f>IF(OR(ISBLANK(New_Finance_Data[[#This Row],[  Sales ]]),ISBLANK(New_Finance_Data[[#This Row],[ Profit ]])),"Missing","OK")</f>
        <v>OK</v>
      </c>
      <c r="T125" t="str">
        <f>TEXT(New_Finance_Data[[#This Row],[Date]],"MMM-YYYY")</f>
        <v>Oct-2014</v>
      </c>
      <c r="U125" t="str">
        <f>IF(New_Finance_Data[[#This Row],[ Profit ]]&gt;0,"Profit","Loss")</f>
        <v>Profit</v>
      </c>
      <c r="V125" t="str">
        <f>IF(New_Finance_Data[[#This Row],[  Sales ]]&gt;=50000,"High Sales","Low Sales")</f>
        <v>Low Sales</v>
      </c>
      <c r="W125" t="b">
        <f>ISNUMBER(New_Finance_Data[[#This Row],[Date]])</f>
        <v>1</v>
      </c>
    </row>
    <row r="126" spans="1:23" x14ac:dyDescent="0.2">
      <c r="A126" t="s">
        <v>15</v>
      </c>
      <c r="B126" t="s">
        <v>20</v>
      </c>
      <c r="C126" t="s">
        <v>39</v>
      </c>
      <c r="D126" t="s">
        <v>43</v>
      </c>
      <c r="E126" s="27">
        <v>2966</v>
      </c>
      <c r="F126" s="27">
        <v>120</v>
      </c>
      <c r="G126" s="27">
        <v>350</v>
      </c>
      <c r="H126" s="27">
        <v>1038100</v>
      </c>
      <c r="I126" s="5">
        <v>20762</v>
      </c>
      <c r="J126" s="27">
        <v>1017338</v>
      </c>
      <c r="K126" s="27">
        <v>771160</v>
      </c>
      <c r="L126" s="5">
        <v>246178</v>
      </c>
      <c r="M126" s="28">
        <v>41548</v>
      </c>
      <c r="N126" s="3">
        <v>10</v>
      </c>
      <c r="O126" s="29" t="s">
        <v>34</v>
      </c>
      <c r="P126" s="3">
        <v>2013</v>
      </c>
      <c r="Q126" s="6">
        <f>New_Finance_Data[[#This Row],[ Profit ]]/New_Finance_Data[[#This Row],[  Sales ]]</f>
        <v>0.24198250728862974</v>
      </c>
      <c r="R126" t="str">
        <f>IF(New_Finance_Data[[#This Row],[  Sales ]]&gt;=100000,"High",IF(New_Finance_Data[[#This Row],[  Sales ]]&gt;=50000,"Medium","Low"))</f>
        <v>High</v>
      </c>
      <c r="S126" t="str">
        <f>IF(OR(ISBLANK(New_Finance_Data[[#This Row],[  Sales ]]),ISBLANK(New_Finance_Data[[#This Row],[ Profit ]])),"Missing","OK")</f>
        <v>OK</v>
      </c>
      <c r="T126" t="str">
        <f>TEXT(New_Finance_Data[[#This Row],[Date]],"MMM-YYYY")</f>
        <v>Oct-2013</v>
      </c>
      <c r="U126" t="str">
        <f>IF(New_Finance_Data[[#This Row],[ Profit ]]&gt;0,"Profit","Loss")</f>
        <v>Profit</v>
      </c>
      <c r="V126" t="str">
        <f>IF(New_Finance_Data[[#This Row],[  Sales ]]&gt;=50000,"High Sales","Low Sales")</f>
        <v>High Sales</v>
      </c>
      <c r="W126" t="b">
        <f>ISNUMBER(New_Finance_Data[[#This Row],[Date]])</f>
        <v>1</v>
      </c>
    </row>
    <row r="127" spans="1:23" x14ac:dyDescent="0.2">
      <c r="A127" t="s">
        <v>15</v>
      </c>
      <c r="B127" t="s">
        <v>20</v>
      </c>
      <c r="C127" t="s">
        <v>39</v>
      </c>
      <c r="D127" t="s">
        <v>43</v>
      </c>
      <c r="E127" s="27">
        <v>2877</v>
      </c>
      <c r="F127" s="27">
        <v>120</v>
      </c>
      <c r="G127" s="27">
        <v>350</v>
      </c>
      <c r="H127" s="27">
        <v>1006950</v>
      </c>
      <c r="I127" s="5">
        <v>20139</v>
      </c>
      <c r="J127" s="27">
        <v>986811</v>
      </c>
      <c r="K127" s="27">
        <v>748020</v>
      </c>
      <c r="L127" s="5">
        <v>238791</v>
      </c>
      <c r="M127" s="28">
        <v>41913</v>
      </c>
      <c r="N127" s="3">
        <v>10</v>
      </c>
      <c r="O127" s="29" t="s">
        <v>34</v>
      </c>
      <c r="P127" s="3">
        <v>2014</v>
      </c>
      <c r="Q127" s="6">
        <f>New_Finance_Data[[#This Row],[ Profit ]]/New_Finance_Data[[#This Row],[  Sales ]]</f>
        <v>0.24198250728862974</v>
      </c>
      <c r="R127" t="str">
        <f>IF(New_Finance_Data[[#This Row],[  Sales ]]&gt;=100000,"High",IF(New_Finance_Data[[#This Row],[  Sales ]]&gt;=50000,"Medium","Low"))</f>
        <v>High</v>
      </c>
      <c r="S127" t="str">
        <f>IF(OR(ISBLANK(New_Finance_Data[[#This Row],[  Sales ]]),ISBLANK(New_Finance_Data[[#This Row],[ Profit ]])),"Missing","OK")</f>
        <v>OK</v>
      </c>
      <c r="T127" t="str">
        <f>TEXT(New_Finance_Data[[#This Row],[Date]],"MMM-YYYY")</f>
        <v>Oct-2014</v>
      </c>
      <c r="U127" t="str">
        <f>IF(New_Finance_Data[[#This Row],[ Profit ]]&gt;0,"Profit","Loss")</f>
        <v>Profit</v>
      </c>
      <c r="V127" t="str">
        <f>IF(New_Finance_Data[[#This Row],[  Sales ]]&gt;=50000,"High Sales","Low Sales")</f>
        <v>High Sales</v>
      </c>
      <c r="W127" t="b">
        <f>ISNUMBER(New_Finance_Data[[#This Row],[Date]])</f>
        <v>1</v>
      </c>
    </row>
    <row r="128" spans="1:23" x14ac:dyDescent="0.2">
      <c r="A128" t="s">
        <v>29</v>
      </c>
      <c r="B128" t="s">
        <v>20</v>
      </c>
      <c r="C128" t="s">
        <v>39</v>
      </c>
      <c r="D128" t="s">
        <v>43</v>
      </c>
      <c r="E128" s="27">
        <v>809</v>
      </c>
      <c r="F128" s="27">
        <v>120</v>
      </c>
      <c r="G128" s="27">
        <v>125</v>
      </c>
      <c r="H128" s="27">
        <v>101125</v>
      </c>
      <c r="I128" s="5">
        <v>2022.5</v>
      </c>
      <c r="J128" s="27">
        <v>99102.5</v>
      </c>
      <c r="K128" s="27">
        <v>97080</v>
      </c>
      <c r="L128" s="5">
        <v>2022.5</v>
      </c>
      <c r="M128" s="28">
        <v>41548</v>
      </c>
      <c r="N128" s="3">
        <v>10</v>
      </c>
      <c r="O128" s="29" t="s">
        <v>34</v>
      </c>
      <c r="P128" s="3">
        <v>2013</v>
      </c>
      <c r="Q128" s="6">
        <f>New_Finance_Data[[#This Row],[ Profit ]]/New_Finance_Data[[#This Row],[  Sales ]]</f>
        <v>2.0408163265306121E-2</v>
      </c>
      <c r="R128" t="str">
        <f>IF(New_Finance_Data[[#This Row],[  Sales ]]&gt;=100000,"High",IF(New_Finance_Data[[#This Row],[  Sales ]]&gt;=50000,"Medium","Low"))</f>
        <v>Medium</v>
      </c>
      <c r="S128" t="str">
        <f>IF(OR(ISBLANK(New_Finance_Data[[#This Row],[  Sales ]]),ISBLANK(New_Finance_Data[[#This Row],[ Profit ]])),"Missing","OK")</f>
        <v>OK</v>
      </c>
      <c r="T128" t="str">
        <f>TEXT(New_Finance_Data[[#This Row],[Date]],"MMM-YYYY")</f>
        <v>Oct-2013</v>
      </c>
      <c r="U128" t="str">
        <f>IF(New_Finance_Data[[#This Row],[ Profit ]]&gt;0,"Profit","Loss")</f>
        <v>Profit</v>
      </c>
      <c r="V128" t="str">
        <f>IF(New_Finance_Data[[#This Row],[  Sales ]]&gt;=50000,"High Sales","Low Sales")</f>
        <v>High Sales</v>
      </c>
      <c r="W128" t="b">
        <f>ISNUMBER(New_Finance_Data[[#This Row],[Date]])</f>
        <v>1</v>
      </c>
    </row>
    <row r="129" spans="1:23" x14ac:dyDescent="0.2">
      <c r="A129" t="s">
        <v>29</v>
      </c>
      <c r="B129" t="s">
        <v>24</v>
      </c>
      <c r="C129" t="s">
        <v>39</v>
      </c>
      <c r="D129" t="s">
        <v>43</v>
      </c>
      <c r="E129" s="27">
        <v>2145</v>
      </c>
      <c r="F129" s="27">
        <v>120</v>
      </c>
      <c r="G129" s="27">
        <v>125</v>
      </c>
      <c r="H129" s="27">
        <v>268125</v>
      </c>
      <c r="I129" s="5">
        <v>5362.5</v>
      </c>
      <c r="J129" s="27">
        <v>262762.5</v>
      </c>
      <c r="K129" s="27">
        <v>257400</v>
      </c>
      <c r="L129" s="5">
        <v>5362.5</v>
      </c>
      <c r="M129" s="28">
        <v>41548</v>
      </c>
      <c r="N129" s="3">
        <v>10</v>
      </c>
      <c r="O129" s="29" t="s">
        <v>34</v>
      </c>
      <c r="P129" s="3">
        <v>2013</v>
      </c>
      <c r="Q129" s="6">
        <f>New_Finance_Data[[#This Row],[ Profit ]]/New_Finance_Data[[#This Row],[  Sales ]]</f>
        <v>2.0408163265306121E-2</v>
      </c>
      <c r="R129" t="str">
        <f>IF(New_Finance_Data[[#This Row],[  Sales ]]&gt;=100000,"High",IF(New_Finance_Data[[#This Row],[  Sales ]]&gt;=50000,"Medium","Low"))</f>
        <v>High</v>
      </c>
      <c r="S129" t="str">
        <f>IF(OR(ISBLANK(New_Finance_Data[[#This Row],[  Sales ]]),ISBLANK(New_Finance_Data[[#This Row],[ Profit ]])),"Missing","OK")</f>
        <v>OK</v>
      </c>
      <c r="T129" t="str">
        <f>TEXT(New_Finance_Data[[#This Row],[Date]],"MMM-YYYY")</f>
        <v>Oct-2013</v>
      </c>
      <c r="U129" t="str">
        <f>IF(New_Finance_Data[[#This Row],[ Profit ]]&gt;0,"Profit","Loss")</f>
        <v>Profit</v>
      </c>
      <c r="V129" t="str">
        <f>IF(New_Finance_Data[[#This Row],[  Sales ]]&gt;=50000,"High Sales","Low Sales")</f>
        <v>High Sales</v>
      </c>
      <c r="W129" t="b">
        <f>ISNUMBER(New_Finance_Data[[#This Row],[Date]])</f>
        <v>1</v>
      </c>
    </row>
    <row r="130" spans="1:23" x14ac:dyDescent="0.2">
      <c r="A130" t="s">
        <v>28</v>
      </c>
      <c r="B130" t="s">
        <v>22</v>
      </c>
      <c r="C130" t="s">
        <v>39</v>
      </c>
      <c r="D130" t="s">
        <v>43</v>
      </c>
      <c r="E130" s="27">
        <v>1055</v>
      </c>
      <c r="F130" s="27">
        <v>120</v>
      </c>
      <c r="G130" s="27">
        <v>12</v>
      </c>
      <c r="H130" s="27">
        <v>12660</v>
      </c>
      <c r="I130" s="5">
        <v>253.2</v>
      </c>
      <c r="J130" s="27">
        <v>12406.8</v>
      </c>
      <c r="K130" s="27">
        <v>3165</v>
      </c>
      <c r="L130" s="5">
        <v>9241.7999999999993</v>
      </c>
      <c r="M130" s="28">
        <v>41974</v>
      </c>
      <c r="N130" s="3">
        <v>12</v>
      </c>
      <c r="O130" s="29" t="s">
        <v>25</v>
      </c>
      <c r="P130" s="3">
        <v>2014</v>
      </c>
      <c r="Q130" s="6">
        <f>New_Finance_Data[[#This Row],[ Profit ]]/New_Finance_Data[[#This Row],[  Sales ]]</f>
        <v>0.74489795918367341</v>
      </c>
      <c r="R130" t="str">
        <f>IF(New_Finance_Data[[#This Row],[  Sales ]]&gt;=100000,"High",IF(New_Finance_Data[[#This Row],[  Sales ]]&gt;=50000,"Medium","Low"))</f>
        <v>Low</v>
      </c>
      <c r="S130" t="str">
        <f>IF(OR(ISBLANK(New_Finance_Data[[#This Row],[  Sales ]]),ISBLANK(New_Finance_Data[[#This Row],[ Profit ]])),"Missing","OK")</f>
        <v>OK</v>
      </c>
      <c r="T130" t="str">
        <f>TEXT(New_Finance_Data[[#This Row],[Date]],"MMM-YYYY")</f>
        <v>Dec-2014</v>
      </c>
      <c r="U130" t="str">
        <f>IF(New_Finance_Data[[#This Row],[ Profit ]]&gt;0,"Profit","Loss")</f>
        <v>Profit</v>
      </c>
      <c r="V130" t="str">
        <f>IF(New_Finance_Data[[#This Row],[  Sales ]]&gt;=50000,"High Sales","Low Sales")</f>
        <v>Low Sales</v>
      </c>
      <c r="W130" t="b">
        <f>ISNUMBER(New_Finance_Data[[#This Row],[Date]])</f>
        <v>1</v>
      </c>
    </row>
    <row r="131" spans="1:23" x14ac:dyDescent="0.2">
      <c r="A131" t="s">
        <v>15</v>
      </c>
      <c r="B131" t="s">
        <v>24</v>
      </c>
      <c r="C131" t="s">
        <v>39</v>
      </c>
      <c r="D131" t="s">
        <v>43</v>
      </c>
      <c r="E131" s="27">
        <v>544</v>
      </c>
      <c r="F131" s="27">
        <v>120</v>
      </c>
      <c r="G131" s="27">
        <v>20</v>
      </c>
      <c r="H131" s="27">
        <v>10880</v>
      </c>
      <c r="I131" s="5">
        <v>217.6</v>
      </c>
      <c r="J131" s="27">
        <v>10662.4</v>
      </c>
      <c r="K131" s="27">
        <v>5440</v>
      </c>
      <c r="L131" s="5">
        <v>5222.3999999999996</v>
      </c>
      <c r="M131" s="28">
        <v>41609</v>
      </c>
      <c r="N131" s="3">
        <v>12</v>
      </c>
      <c r="O131" s="29" t="s">
        <v>25</v>
      </c>
      <c r="P131" s="3">
        <v>2013</v>
      </c>
      <c r="Q131" s="6">
        <f>New_Finance_Data[[#This Row],[ Profit ]]/New_Finance_Data[[#This Row],[  Sales ]]</f>
        <v>0.48979591836734693</v>
      </c>
      <c r="R131" t="str">
        <f>IF(New_Finance_Data[[#This Row],[  Sales ]]&gt;=100000,"High",IF(New_Finance_Data[[#This Row],[  Sales ]]&gt;=50000,"Medium","Low"))</f>
        <v>Low</v>
      </c>
      <c r="S131" t="str">
        <f>IF(OR(ISBLANK(New_Finance_Data[[#This Row],[  Sales ]]),ISBLANK(New_Finance_Data[[#This Row],[ Profit ]])),"Missing","OK")</f>
        <v>OK</v>
      </c>
      <c r="T131" t="str">
        <f>TEXT(New_Finance_Data[[#This Row],[Date]],"MMM-YYYY")</f>
        <v>Dec-2013</v>
      </c>
      <c r="U131" t="str">
        <f>IF(New_Finance_Data[[#This Row],[ Profit ]]&gt;0,"Profit","Loss")</f>
        <v>Profit</v>
      </c>
      <c r="V131" t="str">
        <f>IF(New_Finance_Data[[#This Row],[  Sales ]]&gt;=50000,"High Sales","Low Sales")</f>
        <v>Low Sales</v>
      </c>
      <c r="W131" t="b">
        <f>ISNUMBER(New_Finance_Data[[#This Row],[Date]])</f>
        <v>1</v>
      </c>
    </row>
    <row r="132" spans="1:23" x14ac:dyDescent="0.2">
      <c r="A132" t="s">
        <v>28</v>
      </c>
      <c r="B132" t="s">
        <v>24</v>
      </c>
      <c r="C132" t="s">
        <v>39</v>
      </c>
      <c r="D132" t="s">
        <v>43</v>
      </c>
      <c r="E132" s="27">
        <v>1084</v>
      </c>
      <c r="F132" s="27">
        <v>120</v>
      </c>
      <c r="G132" s="27">
        <v>12</v>
      </c>
      <c r="H132" s="27">
        <v>13008</v>
      </c>
      <c r="I132" s="5">
        <v>260.16000000000003</v>
      </c>
      <c r="J132" s="27">
        <v>12747.84</v>
      </c>
      <c r="K132" s="27">
        <v>3252</v>
      </c>
      <c r="L132" s="5">
        <v>9495.84</v>
      </c>
      <c r="M132" s="28">
        <v>41974</v>
      </c>
      <c r="N132" s="3">
        <v>12</v>
      </c>
      <c r="O132" s="29" t="s">
        <v>25</v>
      </c>
      <c r="P132" s="3">
        <v>2014</v>
      </c>
      <c r="Q132" s="6">
        <f>New_Finance_Data[[#This Row],[ Profit ]]/New_Finance_Data[[#This Row],[  Sales ]]</f>
        <v>0.74489795918367352</v>
      </c>
      <c r="R132" t="str">
        <f>IF(New_Finance_Data[[#This Row],[  Sales ]]&gt;=100000,"High",IF(New_Finance_Data[[#This Row],[  Sales ]]&gt;=50000,"Medium","Low"))</f>
        <v>Low</v>
      </c>
      <c r="S132" t="str">
        <f>IF(OR(ISBLANK(New_Finance_Data[[#This Row],[  Sales ]]),ISBLANK(New_Finance_Data[[#This Row],[ Profit ]])),"Missing","OK")</f>
        <v>OK</v>
      </c>
      <c r="T132" t="str">
        <f>TEXT(New_Finance_Data[[#This Row],[Date]],"MMM-YYYY")</f>
        <v>Dec-2014</v>
      </c>
      <c r="U132" t="str">
        <f>IF(New_Finance_Data[[#This Row],[ Profit ]]&gt;0,"Profit","Loss")</f>
        <v>Profit</v>
      </c>
      <c r="V132" t="str">
        <f>IF(New_Finance_Data[[#This Row],[  Sales ]]&gt;=50000,"High Sales","Low Sales")</f>
        <v>Low Sales</v>
      </c>
      <c r="W132" t="b">
        <f>ISNUMBER(New_Finance_Data[[#This Row],[Date]])</f>
        <v>1</v>
      </c>
    </row>
    <row r="133" spans="1:23" x14ac:dyDescent="0.2">
      <c r="A133" t="s">
        <v>29</v>
      </c>
      <c r="B133" t="s">
        <v>24</v>
      </c>
      <c r="C133" t="s">
        <v>40</v>
      </c>
      <c r="D133" t="s">
        <v>43</v>
      </c>
      <c r="E133" s="27">
        <v>662</v>
      </c>
      <c r="F133" s="27">
        <v>250</v>
      </c>
      <c r="G133" s="27">
        <v>125</v>
      </c>
      <c r="H133" s="27">
        <v>82750</v>
      </c>
      <c r="I133" s="5">
        <v>1655</v>
      </c>
      <c r="J133" s="27">
        <v>81095</v>
      </c>
      <c r="K133" s="27">
        <v>79440</v>
      </c>
      <c r="L133" s="5">
        <v>1655</v>
      </c>
      <c r="M133" s="28">
        <v>41791</v>
      </c>
      <c r="N133" s="3">
        <v>6</v>
      </c>
      <c r="O133" s="29" t="s">
        <v>23</v>
      </c>
      <c r="P133" s="3">
        <v>2014</v>
      </c>
      <c r="Q133" s="6">
        <f>New_Finance_Data[[#This Row],[ Profit ]]/New_Finance_Data[[#This Row],[  Sales ]]</f>
        <v>2.0408163265306121E-2</v>
      </c>
      <c r="R133" t="str">
        <f>IF(New_Finance_Data[[#This Row],[  Sales ]]&gt;=100000,"High",IF(New_Finance_Data[[#This Row],[  Sales ]]&gt;=50000,"Medium","Low"))</f>
        <v>Medium</v>
      </c>
      <c r="S133" t="str">
        <f>IF(OR(ISBLANK(New_Finance_Data[[#This Row],[  Sales ]]),ISBLANK(New_Finance_Data[[#This Row],[ Profit ]])),"Missing","OK")</f>
        <v>OK</v>
      </c>
      <c r="T133" t="str">
        <f>TEXT(New_Finance_Data[[#This Row],[Date]],"MMM-YYYY")</f>
        <v>Jun-2014</v>
      </c>
      <c r="U133" t="str">
        <f>IF(New_Finance_Data[[#This Row],[ Profit ]]&gt;0,"Profit","Loss")</f>
        <v>Profit</v>
      </c>
      <c r="V133" t="str">
        <f>IF(New_Finance_Data[[#This Row],[  Sales ]]&gt;=50000,"High Sales","Low Sales")</f>
        <v>High Sales</v>
      </c>
      <c r="W133" t="b">
        <f>ISNUMBER(New_Finance_Data[[#This Row],[Date]])</f>
        <v>1</v>
      </c>
    </row>
    <row r="134" spans="1:23" x14ac:dyDescent="0.2">
      <c r="A134" t="s">
        <v>31</v>
      </c>
      <c r="B134" t="s">
        <v>20</v>
      </c>
      <c r="C134" t="s">
        <v>40</v>
      </c>
      <c r="D134" t="s">
        <v>43</v>
      </c>
      <c r="E134" s="27">
        <v>214</v>
      </c>
      <c r="F134" s="27">
        <v>250</v>
      </c>
      <c r="G134" s="27">
        <v>300</v>
      </c>
      <c r="H134" s="27">
        <v>64200</v>
      </c>
      <c r="I134" s="5">
        <v>1284</v>
      </c>
      <c r="J134" s="27">
        <v>62916</v>
      </c>
      <c r="K134" s="27">
        <v>53500</v>
      </c>
      <c r="L134" s="5">
        <v>9416</v>
      </c>
      <c r="M134" s="28">
        <v>41548</v>
      </c>
      <c r="N134" s="3">
        <v>10</v>
      </c>
      <c r="O134" s="29" t="s">
        <v>34</v>
      </c>
      <c r="P134" s="3">
        <v>2013</v>
      </c>
      <c r="Q134" s="6">
        <f>New_Finance_Data[[#This Row],[ Profit ]]/New_Finance_Data[[#This Row],[  Sales ]]</f>
        <v>0.14965986394557823</v>
      </c>
      <c r="R134" t="str">
        <f>IF(New_Finance_Data[[#This Row],[  Sales ]]&gt;=100000,"High",IF(New_Finance_Data[[#This Row],[  Sales ]]&gt;=50000,"Medium","Low"))</f>
        <v>Medium</v>
      </c>
      <c r="S134" t="str">
        <f>IF(OR(ISBLANK(New_Finance_Data[[#This Row],[  Sales ]]),ISBLANK(New_Finance_Data[[#This Row],[ Profit ]])),"Missing","OK")</f>
        <v>OK</v>
      </c>
      <c r="T134" t="str">
        <f>TEXT(New_Finance_Data[[#This Row],[Date]],"MMM-YYYY")</f>
        <v>Oct-2013</v>
      </c>
      <c r="U134" t="str">
        <f>IF(New_Finance_Data[[#This Row],[ Profit ]]&gt;0,"Profit","Loss")</f>
        <v>Profit</v>
      </c>
      <c r="V134" t="str">
        <f>IF(New_Finance_Data[[#This Row],[  Sales ]]&gt;=50000,"High Sales","Low Sales")</f>
        <v>High Sales</v>
      </c>
      <c r="W134" t="b">
        <f>ISNUMBER(New_Finance_Data[[#This Row],[Date]])</f>
        <v>1</v>
      </c>
    </row>
    <row r="135" spans="1:23" x14ac:dyDescent="0.2">
      <c r="A135" t="s">
        <v>15</v>
      </c>
      <c r="B135" t="s">
        <v>20</v>
      </c>
      <c r="C135" t="s">
        <v>40</v>
      </c>
      <c r="D135" t="s">
        <v>43</v>
      </c>
      <c r="E135" s="27">
        <v>2877</v>
      </c>
      <c r="F135" s="27">
        <v>250</v>
      </c>
      <c r="G135" s="27">
        <v>350</v>
      </c>
      <c r="H135" s="27">
        <v>1006950</v>
      </c>
      <c r="I135" s="5">
        <v>20139</v>
      </c>
      <c r="J135" s="27">
        <v>986811</v>
      </c>
      <c r="K135" s="27">
        <v>748020</v>
      </c>
      <c r="L135" s="5">
        <v>238791</v>
      </c>
      <c r="M135" s="28">
        <v>41913</v>
      </c>
      <c r="N135" s="3">
        <v>10</v>
      </c>
      <c r="O135" s="29" t="s">
        <v>34</v>
      </c>
      <c r="P135" s="3">
        <v>2014</v>
      </c>
      <c r="Q135" s="6">
        <f>New_Finance_Data[[#This Row],[ Profit ]]/New_Finance_Data[[#This Row],[  Sales ]]</f>
        <v>0.24198250728862974</v>
      </c>
      <c r="R135" t="str">
        <f>IF(New_Finance_Data[[#This Row],[  Sales ]]&gt;=100000,"High",IF(New_Finance_Data[[#This Row],[  Sales ]]&gt;=50000,"Medium","Low"))</f>
        <v>High</v>
      </c>
      <c r="S135" t="str">
        <f>IF(OR(ISBLANK(New_Finance_Data[[#This Row],[  Sales ]]),ISBLANK(New_Finance_Data[[#This Row],[ Profit ]])),"Missing","OK")</f>
        <v>OK</v>
      </c>
      <c r="T135" t="str">
        <f>TEXT(New_Finance_Data[[#This Row],[Date]],"MMM-YYYY")</f>
        <v>Oct-2014</v>
      </c>
      <c r="U135" t="str">
        <f>IF(New_Finance_Data[[#This Row],[ Profit ]]&gt;0,"Profit","Loss")</f>
        <v>Profit</v>
      </c>
      <c r="V135" t="str">
        <f>IF(New_Finance_Data[[#This Row],[  Sales ]]&gt;=50000,"High Sales","Low Sales")</f>
        <v>High Sales</v>
      </c>
      <c r="W135" t="b">
        <f>ISNUMBER(New_Finance_Data[[#This Row],[Date]])</f>
        <v>1</v>
      </c>
    </row>
    <row r="136" spans="1:23" x14ac:dyDescent="0.2">
      <c r="A136" t="s">
        <v>29</v>
      </c>
      <c r="B136" t="s">
        <v>16</v>
      </c>
      <c r="C136" t="s">
        <v>40</v>
      </c>
      <c r="D136" t="s">
        <v>43</v>
      </c>
      <c r="E136" s="27">
        <v>2729</v>
      </c>
      <c r="F136" s="27">
        <v>250</v>
      </c>
      <c r="G136" s="27">
        <v>125</v>
      </c>
      <c r="H136" s="27">
        <v>341125</v>
      </c>
      <c r="I136" s="5">
        <v>6822.5</v>
      </c>
      <c r="J136" s="27">
        <v>334302.5</v>
      </c>
      <c r="K136" s="27">
        <v>327480</v>
      </c>
      <c r="L136" s="5">
        <v>6822.5</v>
      </c>
      <c r="M136" s="28">
        <v>41974</v>
      </c>
      <c r="N136" s="3">
        <v>12</v>
      </c>
      <c r="O136" s="29" t="s">
        <v>25</v>
      </c>
      <c r="P136" s="3">
        <v>2014</v>
      </c>
      <c r="Q136" s="6">
        <f>New_Finance_Data[[#This Row],[ Profit ]]/New_Finance_Data[[#This Row],[  Sales ]]</f>
        <v>2.0408163265306121E-2</v>
      </c>
      <c r="R136" t="str">
        <f>IF(New_Finance_Data[[#This Row],[  Sales ]]&gt;=100000,"High",IF(New_Finance_Data[[#This Row],[  Sales ]]&gt;=50000,"Medium","Low"))</f>
        <v>High</v>
      </c>
      <c r="S136" t="str">
        <f>IF(OR(ISBLANK(New_Finance_Data[[#This Row],[  Sales ]]),ISBLANK(New_Finance_Data[[#This Row],[ Profit ]])),"Missing","OK")</f>
        <v>OK</v>
      </c>
      <c r="T136" t="str">
        <f>TEXT(New_Finance_Data[[#This Row],[Date]],"MMM-YYYY")</f>
        <v>Dec-2014</v>
      </c>
      <c r="U136" t="str">
        <f>IF(New_Finance_Data[[#This Row],[ Profit ]]&gt;0,"Profit","Loss")</f>
        <v>Profit</v>
      </c>
      <c r="V136" t="str">
        <f>IF(New_Finance_Data[[#This Row],[  Sales ]]&gt;=50000,"High Sales","Low Sales")</f>
        <v>High Sales</v>
      </c>
      <c r="W136" t="b">
        <f>ISNUMBER(New_Finance_Data[[#This Row],[Date]])</f>
        <v>1</v>
      </c>
    </row>
    <row r="137" spans="1:23" x14ac:dyDescent="0.2">
      <c r="A137" t="s">
        <v>15</v>
      </c>
      <c r="B137" t="s">
        <v>35</v>
      </c>
      <c r="C137" t="s">
        <v>40</v>
      </c>
      <c r="D137" t="s">
        <v>43</v>
      </c>
      <c r="E137" s="27">
        <v>266</v>
      </c>
      <c r="F137" s="27">
        <v>250</v>
      </c>
      <c r="G137" s="27">
        <v>350</v>
      </c>
      <c r="H137" s="27">
        <v>93100</v>
      </c>
      <c r="I137" s="5">
        <v>1862</v>
      </c>
      <c r="J137" s="27">
        <v>91238</v>
      </c>
      <c r="K137" s="27">
        <v>69160</v>
      </c>
      <c r="L137" s="5">
        <v>22078</v>
      </c>
      <c r="M137" s="28">
        <v>41609</v>
      </c>
      <c r="N137" s="3">
        <v>12</v>
      </c>
      <c r="O137" s="29" t="s">
        <v>25</v>
      </c>
      <c r="P137" s="3">
        <v>2013</v>
      </c>
      <c r="Q137" s="6">
        <f>New_Finance_Data[[#This Row],[ Profit ]]/New_Finance_Data[[#This Row],[  Sales ]]</f>
        <v>0.24198250728862974</v>
      </c>
      <c r="R137" t="str">
        <f>IF(New_Finance_Data[[#This Row],[  Sales ]]&gt;=100000,"High",IF(New_Finance_Data[[#This Row],[  Sales ]]&gt;=50000,"Medium","Low"))</f>
        <v>Medium</v>
      </c>
      <c r="S137" t="str">
        <f>IF(OR(ISBLANK(New_Finance_Data[[#This Row],[  Sales ]]),ISBLANK(New_Finance_Data[[#This Row],[ Profit ]])),"Missing","OK")</f>
        <v>OK</v>
      </c>
      <c r="T137" t="str">
        <f>TEXT(New_Finance_Data[[#This Row],[Date]],"MMM-YYYY")</f>
        <v>Dec-2013</v>
      </c>
      <c r="U137" t="str">
        <f>IF(New_Finance_Data[[#This Row],[ Profit ]]&gt;0,"Profit","Loss")</f>
        <v>Profit</v>
      </c>
      <c r="V137" t="str">
        <f>IF(New_Finance_Data[[#This Row],[  Sales ]]&gt;=50000,"High Sales","Low Sales")</f>
        <v>High Sales</v>
      </c>
      <c r="W137" t="b">
        <f>ISNUMBER(New_Finance_Data[[#This Row],[Date]])</f>
        <v>1</v>
      </c>
    </row>
    <row r="138" spans="1:23" x14ac:dyDescent="0.2">
      <c r="A138" t="s">
        <v>15</v>
      </c>
      <c r="B138" t="s">
        <v>24</v>
      </c>
      <c r="C138" t="s">
        <v>40</v>
      </c>
      <c r="D138" t="s">
        <v>43</v>
      </c>
      <c r="E138" s="27">
        <v>1940</v>
      </c>
      <c r="F138" s="27">
        <v>250</v>
      </c>
      <c r="G138" s="27">
        <v>350</v>
      </c>
      <c r="H138" s="27">
        <v>679000</v>
      </c>
      <c r="I138" s="5">
        <v>13580</v>
      </c>
      <c r="J138" s="27">
        <v>665420</v>
      </c>
      <c r="K138" s="27">
        <v>504400</v>
      </c>
      <c r="L138" s="5">
        <v>161020</v>
      </c>
      <c r="M138" s="28">
        <v>41609</v>
      </c>
      <c r="N138" s="3">
        <v>12</v>
      </c>
      <c r="O138" s="29" t="s">
        <v>25</v>
      </c>
      <c r="P138" s="3">
        <v>2013</v>
      </c>
      <c r="Q138" s="6">
        <f>New_Finance_Data[[#This Row],[ Profit ]]/New_Finance_Data[[#This Row],[  Sales ]]</f>
        <v>0.24198250728862974</v>
      </c>
      <c r="R138" t="str">
        <f>IF(New_Finance_Data[[#This Row],[  Sales ]]&gt;=100000,"High",IF(New_Finance_Data[[#This Row],[  Sales ]]&gt;=50000,"Medium","Low"))</f>
        <v>High</v>
      </c>
      <c r="S138" t="str">
        <f>IF(OR(ISBLANK(New_Finance_Data[[#This Row],[  Sales ]]),ISBLANK(New_Finance_Data[[#This Row],[ Profit ]])),"Missing","OK")</f>
        <v>OK</v>
      </c>
      <c r="T138" t="str">
        <f>TEXT(New_Finance_Data[[#This Row],[Date]],"MMM-YYYY")</f>
        <v>Dec-2013</v>
      </c>
      <c r="U138" t="str">
        <f>IF(New_Finance_Data[[#This Row],[ Profit ]]&gt;0,"Profit","Loss")</f>
        <v>Profit</v>
      </c>
      <c r="V138" t="str">
        <f>IF(New_Finance_Data[[#This Row],[  Sales ]]&gt;=50000,"High Sales","Low Sales")</f>
        <v>High Sales</v>
      </c>
      <c r="W138" t="b">
        <f>ISNUMBER(New_Finance_Data[[#This Row],[Date]])</f>
        <v>1</v>
      </c>
    </row>
    <row r="139" spans="1:23" x14ac:dyDescent="0.2">
      <c r="A139" t="s">
        <v>31</v>
      </c>
      <c r="B139" t="s">
        <v>20</v>
      </c>
      <c r="C139" t="s">
        <v>42</v>
      </c>
      <c r="D139" t="s">
        <v>43</v>
      </c>
      <c r="E139" s="27">
        <v>259</v>
      </c>
      <c r="F139" s="27">
        <v>260</v>
      </c>
      <c r="G139" s="27">
        <v>300</v>
      </c>
      <c r="H139" s="27">
        <v>77700</v>
      </c>
      <c r="I139" s="5">
        <v>1554</v>
      </c>
      <c r="J139" s="27">
        <v>76146</v>
      </c>
      <c r="K139" s="27">
        <v>64750</v>
      </c>
      <c r="L139" s="5">
        <v>11396</v>
      </c>
      <c r="M139" s="28">
        <v>41699</v>
      </c>
      <c r="N139" s="3">
        <v>3</v>
      </c>
      <c r="O139" s="29" t="s">
        <v>27</v>
      </c>
      <c r="P139" s="3">
        <v>2014</v>
      </c>
      <c r="Q139" s="6">
        <f>New_Finance_Data[[#This Row],[ Profit ]]/New_Finance_Data[[#This Row],[  Sales ]]</f>
        <v>0.14965986394557823</v>
      </c>
      <c r="R139" t="str">
        <f>IF(New_Finance_Data[[#This Row],[  Sales ]]&gt;=100000,"High",IF(New_Finance_Data[[#This Row],[  Sales ]]&gt;=50000,"Medium","Low"))</f>
        <v>Medium</v>
      </c>
      <c r="S139" t="str">
        <f>IF(OR(ISBLANK(New_Finance_Data[[#This Row],[  Sales ]]),ISBLANK(New_Finance_Data[[#This Row],[ Profit ]])),"Missing","OK")</f>
        <v>OK</v>
      </c>
      <c r="T139" t="str">
        <f>TEXT(New_Finance_Data[[#This Row],[Date]],"MMM-YYYY")</f>
        <v>Mar-2014</v>
      </c>
      <c r="U139" t="str">
        <f>IF(New_Finance_Data[[#This Row],[ Profit ]]&gt;0,"Profit","Loss")</f>
        <v>Profit</v>
      </c>
      <c r="V139" t="str">
        <f>IF(New_Finance_Data[[#This Row],[  Sales ]]&gt;=50000,"High Sales","Low Sales")</f>
        <v>High Sales</v>
      </c>
      <c r="W139" t="b">
        <f>ISNUMBER(New_Finance_Data[[#This Row],[Date]])</f>
        <v>1</v>
      </c>
    </row>
    <row r="140" spans="1:23" x14ac:dyDescent="0.2">
      <c r="A140" t="s">
        <v>31</v>
      </c>
      <c r="B140" t="s">
        <v>24</v>
      </c>
      <c r="C140" t="s">
        <v>42</v>
      </c>
      <c r="D140" t="s">
        <v>43</v>
      </c>
      <c r="E140" s="27">
        <v>1101</v>
      </c>
      <c r="F140" s="27">
        <v>260</v>
      </c>
      <c r="G140" s="27">
        <v>300</v>
      </c>
      <c r="H140" s="27">
        <v>330300</v>
      </c>
      <c r="I140" s="5">
        <v>6606</v>
      </c>
      <c r="J140" s="27">
        <v>323694</v>
      </c>
      <c r="K140" s="27">
        <v>275250</v>
      </c>
      <c r="L140" s="5">
        <v>48444</v>
      </c>
      <c r="M140" s="28">
        <v>41699</v>
      </c>
      <c r="N140" s="3">
        <v>3</v>
      </c>
      <c r="O140" s="29" t="s">
        <v>27</v>
      </c>
      <c r="P140" s="3">
        <v>2014</v>
      </c>
      <c r="Q140" s="6">
        <f>New_Finance_Data[[#This Row],[ Profit ]]/New_Finance_Data[[#This Row],[  Sales ]]</f>
        <v>0.14965986394557823</v>
      </c>
      <c r="R140" t="str">
        <f>IF(New_Finance_Data[[#This Row],[  Sales ]]&gt;=100000,"High",IF(New_Finance_Data[[#This Row],[  Sales ]]&gt;=50000,"Medium","Low"))</f>
        <v>High</v>
      </c>
      <c r="S140" t="str">
        <f>IF(OR(ISBLANK(New_Finance_Data[[#This Row],[  Sales ]]),ISBLANK(New_Finance_Data[[#This Row],[ Profit ]])),"Missing","OK")</f>
        <v>OK</v>
      </c>
      <c r="T140" t="str">
        <f>TEXT(New_Finance_Data[[#This Row],[Date]],"MMM-YYYY")</f>
        <v>Mar-2014</v>
      </c>
      <c r="U140" t="str">
        <f>IF(New_Finance_Data[[#This Row],[ Profit ]]&gt;0,"Profit","Loss")</f>
        <v>Profit</v>
      </c>
      <c r="V140" t="str">
        <f>IF(New_Finance_Data[[#This Row],[  Sales ]]&gt;=50000,"High Sales","Low Sales")</f>
        <v>High Sales</v>
      </c>
      <c r="W140" t="b">
        <f>ISNUMBER(New_Finance_Data[[#This Row],[Date]])</f>
        <v>1</v>
      </c>
    </row>
    <row r="141" spans="1:23" x14ac:dyDescent="0.2">
      <c r="A141" t="s">
        <v>29</v>
      </c>
      <c r="B141" t="s">
        <v>20</v>
      </c>
      <c r="C141" t="s">
        <v>42</v>
      </c>
      <c r="D141" t="s">
        <v>43</v>
      </c>
      <c r="E141" s="27">
        <v>2276</v>
      </c>
      <c r="F141" s="27">
        <v>260</v>
      </c>
      <c r="G141" s="27">
        <v>125</v>
      </c>
      <c r="H141" s="27">
        <v>284500</v>
      </c>
      <c r="I141" s="5">
        <v>5690</v>
      </c>
      <c r="J141" s="27">
        <v>278810</v>
      </c>
      <c r="K141" s="27">
        <v>273120</v>
      </c>
      <c r="L141" s="5">
        <v>5690</v>
      </c>
      <c r="M141" s="28">
        <v>41760</v>
      </c>
      <c r="N141" s="3">
        <v>5</v>
      </c>
      <c r="O141" s="29" t="s">
        <v>44</v>
      </c>
      <c r="P141" s="3">
        <v>2014</v>
      </c>
      <c r="Q141" s="6">
        <f>New_Finance_Data[[#This Row],[ Profit ]]/New_Finance_Data[[#This Row],[  Sales ]]</f>
        <v>2.0408163265306121E-2</v>
      </c>
      <c r="R141" t="str">
        <f>IF(New_Finance_Data[[#This Row],[  Sales ]]&gt;=100000,"High",IF(New_Finance_Data[[#This Row],[  Sales ]]&gt;=50000,"Medium","Low"))</f>
        <v>High</v>
      </c>
      <c r="S141" t="str">
        <f>IF(OR(ISBLANK(New_Finance_Data[[#This Row],[  Sales ]]),ISBLANK(New_Finance_Data[[#This Row],[ Profit ]])),"Missing","OK")</f>
        <v>OK</v>
      </c>
      <c r="T141" t="str">
        <f>TEXT(New_Finance_Data[[#This Row],[Date]],"MMM-YYYY")</f>
        <v>May-2014</v>
      </c>
      <c r="U141" t="str">
        <f>IF(New_Finance_Data[[#This Row],[ Profit ]]&gt;0,"Profit","Loss")</f>
        <v>Profit</v>
      </c>
      <c r="V141" t="str">
        <f>IF(New_Finance_Data[[#This Row],[  Sales ]]&gt;=50000,"High Sales","Low Sales")</f>
        <v>High Sales</v>
      </c>
      <c r="W141" t="b">
        <f>ISNUMBER(New_Finance_Data[[#This Row],[Date]])</f>
        <v>1</v>
      </c>
    </row>
    <row r="142" spans="1:23" x14ac:dyDescent="0.2">
      <c r="A142" t="s">
        <v>15</v>
      </c>
      <c r="B142" t="s">
        <v>20</v>
      </c>
      <c r="C142" t="s">
        <v>42</v>
      </c>
      <c r="D142" t="s">
        <v>43</v>
      </c>
      <c r="E142" s="27">
        <v>2966</v>
      </c>
      <c r="F142" s="27">
        <v>260</v>
      </c>
      <c r="G142" s="27">
        <v>350</v>
      </c>
      <c r="H142" s="27">
        <v>1038100</v>
      </c>
      <c r="I142" s="5">
        <v>20762</v>
      </c>
      <c r="J142" s="27">
        <v>1017338</v>
      </c>
      <c r="K142" s="27">
        <v>771160</v>
      </c>
      <c r="L142" s="5">
        <v>246178</v>
      </c>
      <c r="M142" s="28">
        <v>41548</v>
      </c>
      <c r="N142" s="3">
        <v>10</v>
      </c>
      <c r="O142" s="29" t="s">
        <v>34</v>
      </c>
      <c r="P142" s="3">
        <v>2013</v>
      </c>
      <c r="Q142" s="6">
        <f>New_Finance_Data[[#This Row],[ Profit ]]/New_Finance_Data[[#This Row],[  Sales ]]</f>
        <v>0.24198250728862974</v>
      </c>
      <c r="R142" t="str">
        <f>IF(New_Finance_Data[[#This Row],[  Sales ]]&gt;=100000,"High",IF(New_Finance_Data[[#This Row],[  Sales ]]&gt;=50000,"Medium","Low"))</f>
        <v>High</v>
      </c>
      <c r="S142" t="str">
        <f>IF(OR(ISBLANK(New_Finance_Data[[#This Row],[  Sales ]]),ISBLANK(New_Finance_Data[[#This Row],[ Profit ]])),"Missing","OK")</f>
        <v>OK</v>
      </c>
      <c r="T142" t="str">
        <f>TEXT(New_Finance_Data[[#This Row],[Date]],"MMM-YYYY")</f>
        <v>Oct-2013</v>
      </c>
      <c r="U142" t="str">
        <f>IF(New_Finance_Data[[#This Row],[ Profit ]]&gt;0,"Profit","Loss")</f>
        <v>Profit</v>
      </c>
      <c r="V142" t="str">
        <f>IF(New_Finance_Data[[#This Row],[  Sales ]]&gt;=50000,"High Sales","Low Sales")</f>
        <v>High Sales</v>
      </c>
      <c r="W142" t="b">
        <f>ISNUMBER(New_Finance_Data[[#This Row],[Date]])</f>
        <v>1</v>
      </c>
    </row>
    <row r="143" spans="1:23" x14ac:dyDescent="0.2">
      <c r="A143" t="s">
        <v>15</v>
      </c>
      <c r="B143" t="s">
        <v>35</v>
      </c>
      <c r="C143" t="s">
        <v>42</v>
      </c>
      <c r="D143" t="s">
        <v>43</v>
      </c>
      <c r="E143" s="27">
        <v>1236</v>
      </c>
      <c r="F143" s="27">
        <v>260</v>
      </c>
      <c r="G143" s="27">
        <v>20</v>
      </c>
      <c r="H143" s="27">
        <v>24720</v>
      </c>
      <c r="I143" s="5">
        <v>494.4</v>
      </c>
      <c r="J143" s="27">
        <v>24225.599999999999</v>
      </c>
      <c r="K143" s="27">
        <v>12360</v>
      </c>
      <c r="L143" s="5">
        <v>11865.6</v>
      </c>
      <c r="M143" s="28">
        <v>41944</v>
      </c>
      <c r="N143" s="3">
        <v>11</v>
      </c>
      <c r="O143" s="29" t="s">
        <v>38</v>
      </c>
      <c r="P143" s="3">
        <v>2014</v>
      </c>
      <c r="Q143" s="6">
        <f>New_Finance_Data[[#This Row],[ Profit ]]/New_Finance_Data[[#This Row],[  Sales ]]</f>
        <v>0.48979591836734698</v>
      </c>
      <c r="R143" t="str">
        <f>IF(New_Finance_Data[[#This Row],[  Sales ]]&gt;=100000,"High",IF(New_Finance_Data[[#This Row],[  Sales ]]&gt;=50000,"Medium","Low"))</f>
        <v>Low</v>
      </c>
      <c r="S143" t="str">
        <f>IF(OR(ISBLANK(New_Finance_Data[[#This Row],[  Sales ]]),ISBLANK(New_Finance_Data[[#This Row],[ Profit ]])),"Missing","OK")</f>
        <v>OK</v>
      </c>
      <c r="T143" t="str">
        <f>TEXT(New_Finance_Data[[#This Row],[Date]],"MMM-YYYY")</f>
        <v>Nov-2014</v>
      </c>
      <c r="U143" t="str">
        <f>IF(New_Finance_Data[[#This Row],[ Profit ]]&gt;0,"Profit","Loss")</f>
        <v>Profit</v>
      </c>
      <c r="V143" t="str">
        <f>IF(New_Finance_Data[[#This Row],[  Sales ]]&gt;=50000,"High Sales","Low Sales")</f>
        <v>Low Sales</v>
      </c>
      <c r="W143" t="b">
        <f>ISNUMBER(New_Finance_Data[[#This Row],[Date]])</f>
        <v>1</v>
      </c>
    </row>
    <row r="144" spans="1:23" x14ac:dyDescent="0.2">
      <c r="A144" t="s">
        <v>15</v>
      </c>
      <c r="B144" t="s">
        <v>22</v>
      </c>
      <c r="C144" t="s">
        <v>42</v>
      </c>
      <c r="D144" t="s">
        <v>43</v>
      </c>
      <c r="E144" s="27">
        <v>941</v>
      </c>
      <c r="F144" s="27">
        <v>260</v>
      </c>
      <c r="G144" s="27">
        <v>20</v>
      </c>
      <c r="H144" s="27">
        <v>18820</v>
      </c>
      <c r="I144" s="5">
        <v>376.4</v>
      </c>
      <c r="J144" s="27">
        <v>18443.599999999999</v>
      </c>
      <c r="K144" s="27">
        <v>9410</v>
      </c>
      <c r="L144" s="5">
        <v>9033.6</v>
      </c>
      <c r="M144" s="28">
        <v>41944</v>
      </c>
      <c r="N144" s="3">
        <v>11</v>
      </c>
      <c r="O144" s="29" t="s">
        <v>38</v>
      </c>
      <c r="P144" s="3">
        <v>2014</v>
      </c>
      <c r="Q144" s="6">
        <f>New_Finance_Data[[#This Row],[ Profit ]]/New_Finance_Data[[#This Row],[  Sales ]]</f>
        <v>0.48979591836734698</v>
      </c>
      <c r="R144" t="str">
        <f>IF(New_Finance_Data[[#This Row],[  Sales ]]&gt;=100000,"High",IF(New_Finance_Data[[#This Row],[  Sales ]]&gt;=50000,"Medium","Low"))</f>
        <v>Low</v>
      </c>
      <c r="S144" t="str">
        <f>IF(OR(ISBLANK(New_Finance_Data[[#This Row],[  Sales ]]),ISBLANK(New_Finance_Data[[#This Row],[ Profit ]])),"Missing","OK")</f>
        <v>OK</v>
      </c>
      <c r="T144" t="str">
        <f>TEXT(New_Finance_Data[[#This Row],[Date]],"MMM-YYYY")</f>
        <v>Nov-2014</v>
      </c>
      <c r="U144" t="str">
        <f>IF(New_Finance_Data[[#This Row],[ Profit ]]&gt;0,"Profit","Loss")</f>
        <v>Profit</v>
      </c>
      <c r="V144" t="str">
        <f>IF(New_Finance_Data[[#This Row],[  Sales ]]&gt;=50000,"High Sales","Low Sales")</f>
        <v>Low Sales</v>
      </c>
      <c r="W144" t="b">
        <f>ISNUMBER(New_Finance_Data[[#This Row],[Date]])</f>
        <v>1</v>
      </c>
    </row>
    <row r="145" spans="1:23" x14ac:dyDescent="0.2">
      <c r="A145" t="s">
        <v>31</v>
      </c>
      <c r="B145" t="s">
        <v>16</v>
      </c>
      <c r="C145" t="s">
        <v>42</v>
      </c>
      <c r="D145" t="s">
        <v>43</v>
      </c>
      <c r="E145" s="27">
        <v>1916</v>
      </c>
      <c r="F145" s="27">
        <v>260</v>
      </c>
      <c r="G145" s="27">
        <v>300</v>
      </c>
      <c r="H145" s="27">
        <v>574800</v>
      </c>
      <c r="I145" s="5">
        <v>11496</v>
      </c>
      <c r="J145" s="27">
        <v>563304</v>
      </c>
      <c r="K145" s="27">
        <v>479000</v>
      </c>
      <c r="L145" s="5">
        <v>84304</v>
      </c>
      <c r="M145" s="28">
        <v>41974</v>
      </c>
      <c r="N145" s="3">
        <v>12</v>
      </c>
      <c r="O145" s="29" t="s">
        <v>25</v>
      </c>
      <c r="P145" s="3">
        <v>2014</v>
      </c>
      <c r="Q145" s="6">
        <f>New_Finance_Data[[#This Row],[ Profit ]]/New_Finance_Data[[#This Row],[  Sales ]]</f>
        <v>0.14965986394557823</v>
      </c>
      <c r="R145" t="str">
        <f>IF(New_Finance_Data[[#This Row],[  Sales ]]&gt;=100000,"High",IF(New_Finance_Data[[#This Row],[  Sales ]]&gt;=50000,"Medium","Low"))</f>
        <v>High</v>
      </c>
      <c r="S145" t="str">
        <f>IF(OR(ISBLANK(New_Finance_Data[[#This Row],[  Sales ]]),ISBLANK(New_Finance_Data[[#This Row],[ Profit ]])),"Missing","OK")</f>
        <v>OK</v>
      </c>
      <c r="T145" t="str">
        <f>TEXT(New_Finance_Data[[#This Row],[Date]],"MMM-YYYY")</f>
        <v>Dec-2014</v>
      </c>
      <c r="U145" t="str">
        <f>IF(New_Finance_Data[[#This Row],[ Profit ]]&gt;0,"Profit","Loss")</f>
        <v>Profit</v>
      </c>
      <c r="V145" t="str">
        <f>IF(New_Finance_Data[[#This Row],[  Sales ]]&gt;=50000,"High Sales","Low Sales")</f>
        <v>High Sales</v>
      </c>
      <c r="W145" t="b">
        <f>ISNUMBER(New_Finance_Data[[#This Row],[Date]])</f>
        <v>1</v>
      </c>
    </row>
    <row r="146" spans="1:23" x14ac:dyDescent="0.2">
      <c r="A146" t="s">
        <v>29</v>
      </c>
      <c r="B146" t="s">
        <v>22</v>
      </c>
      <c r="C146" t="s">
        <v>17</v>
      </c>
      <c r="D146" t="s">
        <v>43</v>
      </c>
      <c r="E146" s="27">
        <v>4243.5</v>
      </c>
      <c r="F146" s="27">
        <v>3</v>
      </c>
      <c r="G146" s="27">
        <v>125</v>
      </c>
      <c r="H146" s="27">
        <v>530437.5</v>
      </c>
      <c r="I146" s="5">
        <v>15913.13</v>
      </c>
      <c r="J146" s="27">
        <v>514524.38</v>
      </c>
      <c r="K146" s="27">
        <v>509220</v>
      </c>
      <c r="L146" s="5">
        <v>5304.38</v>
      </c>
      <c r="M146" s="28">
        <v>41730</v>
      </c>
      <c r="N146" s="3">
        <v>4</v>
      </c>
      <c r="O146" s="29" t="s">
        <v>41</v>
      </c>
      <c r="P146" s="3">
        <v>2014</v>
      </c>
      <c r="Q146" s="6">
        <f>New_Finance_Data[[#This Row],[ Profit ]]/New_Finance_Data[[#This Row],[  Sales ]]</f>
        <v>1.0309287968045363E-2</v>
      </c>
      <c r="R146" t="str">
        <f>IF(New_Finance_Data[[#This Row],[  Sales ]]&gt;=100000,"High",IF(New_Finance_Data[[#This Row],[  Sales ]]&gt;=50000,"Medium","Low"))</f>
        <v>High</v>
      </c>
      <c r="S146" t="str">
        <f>IF(OR(ISBLANK(New_Finance_Data[[#This Row],[  Sales ]]),ISBLANK(New_Finance_Data[[#This Row],[ Profit ]])),"Missing","OK")</f>
        <v>OK</v>
      </c>
      <c r="T146" t="str">
        <f>TEXT(New_Finance_Data[[#This Row],[Date]],"MMM-YYYY")</f>
        <v>Apr-2014</v>
      </c>
      <c r="U146" t="str">
        <f>IF(New_Finance_Data[[#This Row],[ Profit ]]&gt;0,"Profit","Loss")</f>
        <v>Profit</v>
      </c>
      <c r="V146" t="str">
        <f>IF(New_Finance_Data[[#This Row],[  Sales ]]&gt;=50000,"High Sales","Low Sales")</f>
        <v>High Sales</v>
      </c>
      <c r="W146" t="b">
        <f>ISNUMBER(New_Finance_Data[[#This Row],[Date]])</f>
        <v>1</v>
      </c>
    </row>
    <row r="147" spans="1:23" x14ac:dyDescent="0.2">
      <c r="A147" t="s">
        <v>15</v>
      </c>
      <c r="B147" t="s">
        <v>20</v>
      </c>
      <c r="C147" t="s">
        <v>17</v>
      </c>
      <c r="D147" t="s">
        <v>43</v>
      </c>
      <c r="E147" s="27">
        <v>2580</v>
      </c>
      <c r="F147" s="27">
        <v>3</v>
      </c>
      <c r="G147" s="27">
        <v>20</v>
      </c>
      <c r="H147" s="27">
        <v>51600</v>
      </c>
      <c r="I147" s="5">
        <v>1548</v>
      </c>
      <c r="J147" s="27">
        <v>50052</v>
      </c>
      <c r="K147" s="27">
        <v>25800</v>
      </c>
      <c r="L147" s="5">
        <v>24252</v>
      </c>
      <c r="M147" s="28">
        <v>41730</v>
      </c>
      <c r="N147" s="3">
        <v>4</v>
      </c>
      <c r="O147" s="29" t="s">
        <v>41</v>
      </c>
      <c r="P147" s="3">
        <v>2014</v>
      </c>
      <c r="Q147" s="6">
        <f>New_Finance_Data[[#This Row],[ Profit ]]/New_Finance_Data[[#This Row],[  Sales ]]</f>
        <v>0.4845360824742268</v>
      </c>
      <c r="R147" t="str">
        <f>IF(New_Finance_Data[[#This Row],[  Sales ]]&gt;=100000,"High",IF(New_Finance_Data[[#This Row],[  Sales ]]&gt;=50000,"Medium","Low"))</f>
        <v>Medium</v>
      </c>
      <c r="S147" t="str">
        <f>IF(OR(ISBLANK(New_Finance_Data[[#This Row],[  Sales ]]),ISBLANK(New_Finance_Data[[#This Row],[ Profit ]])),"Missing","OK")</f>
        <v>OK</v>
      </c>
      <c r="T147" t="str">
        <f>TEXT(New_Finance_Data[[#This Row],[Date]],"MMM-YYYY")</f>
        <v>Apr-2014</v>
      </c>
      <c r="U147" t="str">
        <f>IF(New_Finance_Data[[#This Row],[ Profit ]]&gt;0,"Profit","Loss")</f>
        <v>Profit</v>
      </c>
      <c r="V147" t="str">
        <f>IF(New_Finance_Data[[#This Row],[  Sales ]]&gt;=50000,"High Sales","Low Sales")</f>
        <v>High Sales</v>
      </c>
      <c r="W147" t="b">
        <f>ISNUMBER(New_Finance_Data[[#This Row],[Date]])</f>
        <v>1</v>
      </c>
    </row>
    <row r="148" spans="1:23" x14ac:dyDescent="0.2">
      <c r="A148" t="s">
        <v>31</v>
      </c>
      <c r="B148" t="s">
        <v>20</v>
      </c>
      <c r="C148" t="s">
        <v>17</v>
      </c>
      <c r="D148" t="s">
        <v>43</v>
      </c>
      <c r="E148" s="27">
        <v>689</v>
      </c>
      <c r="F148" s="27">
        <v>3</v>
      </c>
      <c r="G148" s="27">
        <v>300</v>
      </c>
      <c r="H148" s="27">
        <v>206700</v>
      </c>
      <c r="I148" s="5">
        <v>6201</v>
      </c>
      <c r="J148" s="27">
        <v>200499</v>
      </c>
      <c r="K148" s="27">
        <v>172250</v>
      </c>
      <c r="L148" s="5">
        <v>28249</v>
      </c>
      <c r="M148" s="28">
        <v>41791</v>
      </c>
      <c r="N148" s="3">
        <v>6</v>
      </c>
      <c r="O148" s="29" t="s">
        <v>23</v>
      </c>
      <c r="P148" s="3">
        <v>2014</v>
      </c>
      <c r="Q148" s="6">
        <f>New_Finance_Data[[#This Row],[ Profit ]]/New_Finance_Data[[#This Row],[  Sales ]]</f>
        <v>0.14089347079037801</v>
      </c>
      <c r="R148" t="str">
        <f>IF(New_Finance_Data[[#This Row],[  Sales ]]&gt;=100000,"High",IF(New_Finance_Data[[#This Row],[  Sales ]]&gt;=50000,"Medium","Low"))</f>
        <v>High</v>
      </c>
      <c r="S148" t="str">
        <f>IF(OR(ISBLANK(New_Finance_Data[[#This Row],[  Sales ]]),ISBLANK(New_Finance_Data[[#This Row],[ Profit ]])),"Missing","OK")</f>
        <v>OK</v>
      </c>
      <c r="T148" t="str">
        <f>TEXT(New_Finance_Data[[#This Row],[Date]],"MMM-YYYY")</f>
        <v>Jun-2014</v>
      </c>
      <c r="U148" t="str">
        <f>IF(New_Finance_Data[[#This Row],[ Profit ]]&gt;0,"Profit","Loss")</f>
        <v>Profit</v>
      </c>
      <c r="V148" t="str">
        <f>IF(New_Finance_Data[[#This Row],[  Sales ]]&gt;=50000,"High Sales","Low Sales")</f>
        <v>High Sales</v>
      </c>
      <c r="W148" t="b">
        <f>ISNUMBER(New_Finance_Data[[#This Row],[Date]])</f>
        <v>1</v>
      </c>
    </row>
    <row r="149" spans="1:23" x14ac:dyDescent="0.2">
      <c r="A149" t="s">
        <v>28</v>
      </c>
      <c r="B149" t="s">
        <v>35</v>
      </c>
      <c r="C149" t="s">
        <v>17</v>
      </c>
      <c r="D149" t="s">
        <v>43</v>
      </c>
      <c r="E149" s="27">
        <v>1947</v>
      </c>
      <c r="F149" s="27">
        <v>3</v>
      </c>
      <c r="G149" s="27">
        <v>12</v>
      </c>
      <c r="H149" s="27">
        <v>23364</v>
      </c>
      <c r="I149" s="5">
        <v>700.92</v>
      </c>
      <c r="J149" s="27">
        <v>22663.08</v>
      </c>
      <c r="K149" s="27">
        <v>5841</v>
      </c>
      <c r="L149" s="5">
        <v>16822.080000000002</v>
      </c>
      <c r="M149" s="28">
        <v>41883</v>
      </c>
      <c r="N149" s="3">
        <v>9</v>
      </c>
      <c r="O149" s="29" t="s">
        <v>33</v>
      </c>
      <c r="P149" s="3">
        <v>2014</v>
      </c>
      <c r="Q149" s="6">
        <f>New_Finance_Data[[#This Row],[ Profit ]]/New_Finance_Data[[#This Row],[  Sales ]]</f>
        <v>0.74226804123711343</v>
      </c>
      <c r="R149" t="str">
        <f>IF(New_Finance_Data[[#This Row],[  Sales ]]&gt;=100000,"High",IF(New_Finance_Data[[#This Row],[  Sales ]]&gt;=50000,"Medium","Low"))</f>
        <v>Low</v>
      </c>
      <c r="S149" t="str">
        <f>IF(OR(ISBLANK(New_Finance_Data[[#This Row],[  Sales ]]),ISBLANK(New_Finance_Data[[#This Row],[ Profit ]])),"Missing","OK")</f>
        <v>OK</v>
      </c>
      <c r="T149" t="str">
        <f>TEXT(New_Finance_Data[[#This Row],[Date]],"MMM-YYYY")</f>
        <v>Sep-2014</v>
      </c>
      <c r="U149" t="str">
        <f>IF(New_Finance_Data[[#This Row],[ Profit ]]&gt;0,"Profit","Loss")</f>
        <v>Profit</v>
      </c>
      <c r="V149" t="str">
        <f>IF(New_Finance_Data[[#This Row],[  Sales ]]&gt;=50000,"High Sales","Low Sales")</f>
        <v>Low Sales</v>
      </c>
      <c r="W149" t="b">
        <f>ISNUMBER(New_Finance_Data[[#This Row],[Date]])</f>
        <v>1</v>
      </c>
    </row>
    <row r="150" spans="1:23" x14ac:dyDescent="0.2">
      <c r="A150" t="s">
        <v>28</v>
      </c>
      <c r="B150" t="s">
        <v>16</v>
      </c>
      <c r="C150" t="s">
        <v>17</v>
      </c>
      <c r="D150" t="s">
        <v>43</v>
      </c>
      <c r="E150" s="27">
        <v>908</v>
      </c>
      <c r="F150" s="27">
        <v>3</v>
      </c>
      <c r="G150" s="27">
        <v>12</v>
      </c>
      <c r="H150" s="27">
        <v>10896</v>
      </c>
      <c r="I150" s="5">
        <v>326.88</v>
      </c>
      <c r="J150" s="27">
        <v>10569.12</v>
      </c>
      <c r="K150" s="27">
        <v>2724</v>
      </c>
      <c r="L150" s="5">
        <v>7845.12</v>
      </c>
      <c r="M150" s="28">
        <v>41609</v>
      </c>
      <c r="N150" s="3">
        <v>12</v>
      </c>
      <c r="O150" s="29" t="s">
        <v>25</v>
      </c>
      <c r="P150" s="3">
        <v>2013</v>
      </c>
      <c r="Q150" s="6">
        <f>New_Finance_Data[[#This Row],[ Profit ]]/New_Finance_Data[[#This Row],[  Sales ]]</f>
        <v>0.74226804123711332</v>
      </c>
      <c r="R150" t="str">
        <f>IF(New_Finance_Data[[#This Row],[  Sales ]]&gt;=100000,"High",IF(New_Finance_Data[[#This Row],[  Sales ]]&gt;=50000,"Medium","Low"))</f>
        <v>Low</v>
      </c>
      <c r="S150" t="str">
        <f>IF(OR(ISBLANK(New_Finance_Data[[#This Row],[  Sales ]]),ISBLANK(New_Finance_Data[[#This Row],[ Profit ]])),"Missing","OK")</f>
        <v>OK</v>
      </c>
      <c r="T150" t="str">
        <f>TEXT(New_Finance_Data[[#This Row],[Date]],"MMM-YYYY")</f>
        <v>Dec-2013</v>
      </c>
      <c r="U150" t="str">
        <f>IF(New_Finance_Data[[#This Row],[ Profit ]]&gt;0,"Profit","Loss")</f>
        <v>Profit</v>
      </c>
      <c r="V150" t="str">
        <f>IF(New_Finance_Data[[#This Row],[  Sales ]]&gt;=50000,"High Sales","Low Sales")</f>
        <v>Low Sales</v>
      </c>
      <c r="W150" t="b">
        <f>ISNUMBER(New_Finance_Data[[#This Row],[Date]])</f>
        <v>1</v>
      </c>
    </row>
    <row r="151" spans="1:23" x14ac:dyDescent="0.2">
      <c r="A151" t="s">
        <v>15</v>
      </c>
      <c r="B151" t="s">
        <v>20</v>
      </c>
      <c r="C151" t="s">
        <v>26</v>
      </c>
      <c r="D151" t="s">
        <v>43</v>
      </c>
      <c r="E151" s="27">
        <v>1958</v>
      </c>
      <c r="F151" s="27">
        <v>5</v>
      </c>
      <c r="G151" s="27">
        <v>7</v>
      </c>
      <c r="H151" s="27">
        <v>13706</v>
      </c>
      <c r="I151" s="5">
        <v>411.18</v>
      </c>
      <c r="J151" s="27">
        <v>13294.82</v>
      </c>
      <c r="K151" s="27">
        <v>9790</v>
      </c>
      <c r="L151" s="5">
        <v>3504.82</v>
      </c>
      <c r="M151" s="28">
        <v>41671</v>
      </c>
      <c r="N151" s="3">
        <v>2</v>
      </c>
      <c r="O151" s="29" t="s">
        <v>37</v>
      </c>
      <c r="P151" s="3">
        <v>2014</v>
      </c>
      <c r="Q151" s="6">
        <f>New_Finance_Data[[#This Row],[ Profit ]]/New_Finance_Data[[#This Row],[  Sales ]]</f>
        <v>0.26362297496318116</v>
      </c>
      <c r="R151" t="str">
        <f>IF(New_Finance_Data[[#This Row],[  Sales ]]&gt;=100000,"High",IF(New_Finance_Data[[#This Row],[  Sales ]]&gt;=50000,"Medium","Low"))</f>
        <v>Low</v>
      </c>
      <c r="S151" t="str">
        <f>IF(OR(ISBLANK(New_Finance_Data[[#This Row],[  Sales ]]),ISBLANK(New_Finance_Data[[#This Row],[ Profit ]])),"Missing","OK")</f>
        <v>OK</v>
      </c>
      <c r="T151" t="str">
        <f>TEXT(New_Finance_Data[[#This Row],[Date]],"MMM-YYYY")</f>
        <v>Feb-2014</v>
      </c>
      <c r="U151" t="str">
        <f>IF(New_Finance_Data[[#This Row],[ Profit ]]&gt;0,"Profit","Loss")</f>
        <v>Profit</v>
      </c>
      <c r="V151" t="str">
        <f>IF(New_Finance_Data[[#This Row],[  Sales ]]&gt;=50000,"High Sales","Low Sales")</f>
        <v>Low Sales</v>
      </c>
      <c r="W151" t="b">
        <f>ISNUMBER(New_Finance_Data[[#This Row],[Date]])</f>
        <v>1</v>
      </c>
    </row>
    <row r="152" spans="1:23" x14ac:dyDescent="0.2">
      <c r="A152" t="s">
        <v>28</v>
      </c>
      <c r="B152" t="s">
        <v>22</v>
      </c>
      <c r="C152" t="s">
        <v>26</v>
      </c>
      <c r="D152" t="s">
        <v>43</v>
      </c>
      <c r="E152" s="27">
        <v>1901</v>
      </c>
      <c r="F152" s="27">
        <v>5</v>
      </c>
      <c r="G152" s="27">
        <v>12</v>
      </c>
      <c r="H152" s="27">
        <v>22812</v>
      </c>
      <c r="I152" s="5">
        <v>684.36</v>
      </c>
      <c r="J152" s="27">
        <v>22127.64</v>
      </c>
      <c r="K152" s="27">
        <v>5703</v>
      </c>
      <c r="L152" s="5">
        <v>16424.64</v>
      </c>
      <c r="M152" s="28">
        <v>41791</v>
      </c>
      <c r="N152" s="3">
        <v>6</v>
      </c>
      <c r="O152" s="29" t="s">
        <v>23</v>
      </c>
      <c r="P152" s="3">
        <v>2014</v>
      </c>
      <c r="Q152" s="6">
        <f>New_Finance_Data[[#This Row],[ Profit ]]/New_Finance_Data[[#This Row],[  Sales ]]</f>
        <v>0.74226804123711343</v>
      </c>
      <c r="R152" t="str">
        <f>IF(New_Finance_Data[[#This Row],[  Sales ]]&gt;=100000,"High",IF(New_Finance_Data[[#This Row],[  Sales ]]&gt;=50000,"Medium","Low"))</f>
        <v>Low</v>
      </c>
      <c r="S152" t="str">
        <f>IF(OR(ISBLANK(New_Finance_Data[[#This Row],[  Sales ]]),ISBLANK(New_Finance_Data[[#This Row],[ Profit ]])),"Missing","OK")</f>
        <v>OK</v>
      </c>
      <c r="T152" t="str">
        <f>TEXT(New_Finance_Data[[#This Row],[Date]],"MMM-YYYY")</f>
        <v>Jun-2014</v>
      </c>
      <c r="U152" t="str">
        <f>IF(New_Finance_Data[[#This Row],[ Profit ]]&gt;0,"Profit","Loss")</f>
        <v>Profit</v>
      </c>
      <c r="V152" t="str">
        <f>IF(New_Finance_Data[[#This Row],[  Sales ]]&gt;=50000,"High Sales","Low Sales")</f>
        <v>Low Sales</v>
      </c>
      <c r="W152" t="b">
        <f>ISNUMBER(New_Finance_Data[[#This Row],[Date]])</f>
        <v>1</v>
      </c>
    </row>
    <row r="153" spans="1:23" x14ac:dyDescent="0.2">
      <c r="A153" t="s">
        <v>15</v>
      </c>
      <c r="B153" t="s">
        <v>22</v>
      </c>
      <c r="C153" t="s">
        <v>26</v>
      </c>
      <c r="D153" t="s">
        <v>43</v>
      </c>
      <c r="E153" s="27">
        <v>544</v>
      </c>
      <c r="F153" s="27">
        <v>5</v>
      </c>
      <c r="G153" s="27">
        <v>7</v>
      </c>
      <c r="H153" s="27">
        <v>3808</v>
      </c>
      <c r="I153" s="5">
        <v>114.24</v>
      </c>
      <c r="J153" s="27">
        <v>3693.76</v>
      </c>
      <c r="K153" s="27">
        <v>2720</v>
      </c>
      <c r="L153" s="5">
        <v>973.76</v>
      </c>
      <c r="M153" s="28">
        <v>41883</v>
      </c>
      <c r="N153" s="3">
        <v>9</v>
      </c>
      <c r="O153" s="29" t="s">
        <v>33</v>
      </c>
      <c r="P153" s="3">
        <v>2014</v>
      </c>
      <c r="Q153" s="6">
        <f>New_Finance_Data[[#This Row],[ Profit ]]/New_Finance_Data[[#This Row],[  Sales ]]</f>
        <v>0.26362297496318116</v>
      </c>
      <c r="R153" t="str">
        <f>IF(New_Finance_Data[[#This Row],[  Sales ]]&gt;=100000,"High",IF(New_Finance_Data[[#This Row],[  Sales ]]&gt;=50000,"Medium","Low"))</f>
        <v>Low</v>
      </c>
      <c r="S153" t="str">
        <f>IF(OR(ISBLANK(New_Finance_Data[[#This Row],[  Sales ]]),ISBLANK(New_Finance_Data[[#This Row],[ Profit ]])),"Missing","OK")</f>
        <v>OK</v>
      </c>
      <c r="T153" t="str">
        <f>TEXT(New_Finance_Data[[#This Row],[Date]],"MMM-YYYY")</f>
        <v>Sep-2014</v>
      </c>
      <c r="U153" t="str">
        <f>IF(New_Finance_Data[[#This Row],[ Profit ]]&gt;0,"Profit","Loss")</f>
        <v>Profit</v>
      </c>
      <c r="V153" t="str">
        <f>IF(New_Finance_Data[[#This Row],[  Sales ]]&gt;=50000,"High Sales","Low Sales")</f>
        <v>Low Sales</v>
      </c>
      <c r="W153" t="b">
        <f>ISNUMBER(New_Finance_Data[[#This Row],[Date]])</f>
        <v>1</v>
      </c>
    </row>
    <row r="154" spans="1:23" x14ac:dyDescent="0.2">
      <c r="A154" t="s">
        <v>15</v>
      </c>
      <c r="B154" t="s">
        <v>20</v>
      </c>
      <c r="C154" t="s">
        <v>26</v>
      </c>
      <c r="D154" t="s">
        <v>43</v>
      </c>
      <c r="E154" s="27">
        <v>1797</v>
      </c>
      <c r="F154" s="27">
        <v>5</v>
      </c>
      <c r="G154" s="27">
        <v>350</v>
      </c>
      <c r="H154" s="27">
        <v>628950</v>
      </c>
      <c r="I154" s="5">
        <v>18868.5</v>
      </c>
      <c r="J154" s="27">
        <v>610081.5</v>
      </c>
      <c r="K154" s="27">
        <v>467220</v>
      </c>
      <c r="L154" s="5">
        <v>142861.5</v>
      </c>
      <c r="M154" s="28">
        <v>41518</v>
      </c>
      <c r="N154" s="3">
        <v>9</v>
      </c>
      <c r="O154" s="29" t="s">
        <v>33</v>
      </c>
      <c r="P154" s="3">
        <v>2013</v>
      </c>
      <c r="Q154" s="6">
        <f>New_Finance_Data[[#This Row],[ Profit ]]/New_Finance_Data[[#This Row],[  Sales ]]</f>
        <v>0.2341678939617084</v>
      </c>
      <c r="R154" t="str">
        <f>IF(New_Finance_Data[[#This Row],[  Sales ]]&gt;=100000,"High",IF(New_Finance_Data[[#This Row],[  Sales ]]&gt;=50000,"Medium","Low"))</f>
        <v>High</v>
      </c>
      <c r="S154" t="str">
        <f>IF(OR(ISBLANK(New_Finance_Data[[#This Row],[  Sales ]]),ISBLANK(New_Finance_Data[[#This Row],[ Profit ]])),"Missing","OK")</f>
        <v>OK</v>
      </c>
      <c r="T154" t="str">
        <f>TEXT(New_Finance_Data[[#This Row],[Date]],"MMM-YYYY")</f>
        <v>Sep-2013</v>
      </c>
      <c r="U154" t="str">
        <f>IF(New_Finance_Data[[#This Row],[ Profit ]]&gt;0,"Profit","Loss")</f>
        <v>Profit</v>
      </c>
      <c r="V154" t="str">
        <f>IF(New_Finance_Data[[#This Row],[  Sales ]]&gt;=50000,"High Sales","Low Sales")</f>
        <v>High Sales</v>
      </c>
      <c r="W154" t="b">
        <f>ISNUMBER(New_Finance_Data[[#This Row],[Date]])</f>
        <v>1</v>
      </c>
    </row>
    <row r="155" spans="1:23" x14ac:dyDescent="0.2">
      <c r="A155" t="s">
        <v>29</v>
      </c>
      <c r="B155" t="s">
        <v>22</v>
      </c>
      <c r="C155" t="s">
        <v>26</v>
      </c>
      <c r="D155" t="s">
        <v>43</v>
      </c>
      <c r="E155" s="27">
        <v>1287</v>
      </c>
      <c r="F155" s="27">
        <v>5</v>
      </c>
      <c r="G155" s="27">
        <v>125</v>
      </c>
      <c r="H155" s="27">
        <v>160875</v>
      </c>
      <c r="I155" s="5">
        <v>4826.25</v>
      </c>
      <c r="J155" s="27">
        <v>156048.75</v>
      </c>
      <c r="K155" s="27">
        <v>154440</v>
      </c>
      <c r="L155" s="5">
        <v>1608.75</v>
      </c>
      <c r="M155" s="28">
        <v>41974</v>
      </c>
      <c r="N155" s="3">
        <v>12</v>
      </c>
      <c r="O155" s="29" t="s">
        <v>25</v>
      </c>
      <c r="P155" s="3">
        <v>2014</v>
      </c>
      <c r="Q155" s="6">
        <f>New_Finance_Data[[#This Row],[ Profit ]]/New_Finance_Data[[#This Row],[  Sales ]]</f>
        <v>1.0309278350515464E-2</v>
      </c>
      <c r="R155" t="str">
        <f>IF(New_Finance_Data[[#This Row],[  Sales ]]&gt;=100000,"High",IF(New_Finance_Data[[#This Row],[  Sales ]]&gt;=50000,"Medium","Low"))</f>
        <v>High</v>
      </c>
      <c r="S155" t="str">
        <f>IF(OR(ISBLANK(New_Finance_Data[[#This Row],[  Sales ]]),ISBLANK(New_Finance_Data[[#This Row],[ Profit ]])),"Missing","OK")</f>
        <v>OK</v>
      </c>
      <c r="T155" t="str">
        <f>TEXT(New_Finance_Data[[#This Row],[Date]],"MMM-YYYY")</f>
        <v>Dec-2014</v>
      </c>
      <c r="U155" t="str">
        <f>IF(New_Finance_Data[[#This Row],[ Profit ]]&gt;0,"Profit","Loss")</f>
        <v>Profit</v>
      </c>
      <c r="V155" t="str">
        <f>IF(New_Finance_Data[[#This Row],[  Sales ]]&gt;=50000,"High Sales","Low Sales")</f>
        <v>High Sales</v>
      </c>
      <c r="W155" t="b">
        <f>ISNUMBER(New_Finance_Data[[#This Row],[Date]])</f>
        <v>1</v>
      </c>
    </row>
    <row r="156" spans="1:23" x14ac:dyDescent="0.2">
      <c r="A156" t="s">
        <v>29</v>
      </c>
      <c r="B156" t="s">
        <v>20</v>
      </c>
      <c r="C156" t="s">
        <v>26</v>
      </c>
      <c r="D156" t="s">
        <v>43</v>
      </c>
      <c r="E156" s="27">
        <v>1706</v>
      </c>
      <c r="F156" s="27">
        <v>5</v>
      </c>
      <c r="G156" s="27">
        <v>125</v>
      </c>
      <c r="H156" s="27">
        <v>213250</v>
      </c>
      <c r="I156" s="5">
        <v>6397.5</v>
      </c>
      <c r="J156" s="27">
        <v>206852.5</v>
      </c>
      <c r="K156" s="27">
        <v>204720</v>
      </c>
      <c r="L156" s="5">
        <v>2132.5</v>
      </c>
      <c r="M156" s="28">
        <v>41974</v>
      </c>
      <c r="N156" s="3">
        <v>12</v>
      </c>
      <c r="O156" s="29" t="s">
        <v>25</v>
      </c>
      <c r="P156" s="3">
        <v>2014</v>
      </c>
      <c r="Q156" s="6">
        <f>New_Finance_Data[[#This Row],[ Profit ]]/New_Finance_Data[[#This Row],[  Sales ]]</f>
        <v>1.0309278350515464E-2</v>
      </c>
      <c r="R156" t="str">
        <f>IF(New_Finance_Data[[#This Row],[  Sales ]]&gt;=100000,"High",IF(New_Finance_Data[[#This Row],[  Sales ]]&gt;=50000,"Medium","Low"))</f>
        <v>High</v>
      </c>
      <c r="S156" t="str">
        <f>IF(OR(ISBLANK(New_Finance_Data[[#This Row],[  Sales ]]),ISBLANK(New_Finance_Data[[#This Row],[ Profit ]])),"Missing","OK")</f>
        <v>OK</v>
      </c>
      <c r="T156" t="str">
        <f>TEXT(New_Finance_Data[[#This Row],[Date]],"MMM-YYYY")</f>
        <v>Dec-2014</v>
      </c>
      <c r="U156" t="str">
        <f>IF(New_Finance_Data[[#This Row],[ Profit ]]&gt;0,"Profit","Loss")</f>
        <v>Profit</v>
      </c>
      <c r="V156" t="str">
        <f>IF(New_Finance_Data[[#This Row],[  Sales ]]&gt;=50000,"High Sales","Low Sales")</f>
        <v>High Sales</v>
      </c>
      <c r="W156" t="b">
        <f>ISNUMBER(New_Finance_Data[[#This Row],[Date]])</f>
        <v>1</v>
      </c>
    </row>
    <row r="157" spans="1:23" x14ac:dyDescent="0.2">
      <c r="A157" t="s">
        <v>31</v>
      </c>
      <c r="B157" t="s">
        <v>22</v>
      </c>
      <c r="C157" t="s">
        <v>36</v>
      </c>
      <c r="D157" t="s">
        <v>43</v>
      </c>
      <c r="E157" s="27">
        <v>2434.5</v>
      </c>
      <c r="F157" s="27">
        <v>10</v>
      </c>
      <c r="G157" s="27">
        <v>300</v>
      </c>
      <c r="H157" s="27">
        <v>730350</v>
      </c>
      <c r="I157" s="5">
        <v>21910.5</v>
      </c>
      <c r="J157" s="27">
        <v>708439.5</v>
      </c>
      <c r="K157" s="27">
        <v>608625</v>
      </c>
      <c r="L157" s="5">
        <v>99814.5</v>
      </c>
      <c r="M157" s="28">
        <v>41640</v>
      </c>
      <c r="N157" s="3">
        <v>1</v>
      </c>
      <c r="O157" s="29" t="s">
        <v>19</v>
      </c>
      <c r="P157" s="3">
        <v>2014</v>
      </c>
      <c r="Q157" s="6">
        <f>New_Finance_Data[[#This Row],[ Profit ]]/New_Finance_Data[[#This Row],[  Sales ]]</f>
        <v>0.14089347079037801</v>
      </c>
      <c r="R157" t="str">
        <f>IF(New_Finance_Data[[#This Row],[  Sales ]]&gt;=100000,"High",IF(New_Finance_Data[[#This Row],[  Sales ]]&gt;=50000,"Medium","Low"))</f>
        <v>High</v>
      </c>
      <c r="S157" t="str">
        <f>IF(OR(ISBLANK(New_Finance_Data[[#This Row],[  Sales ]]),ISBLANK(New_Finance_Data[[#This Row],[ Profit ]])),"Missing","OK")</f>
        <v>OK</v>
      </c>
      <c r="T157" t="str">
        <f>TEXT(New_Finance_Data[[#This Row],[Date]],"MMM-YYYY")</f>
        <v>Jan-2014</v>
      </c>
      <c r="U157" t="str">
        <f>IF(New_Finance_Data[[#This Row],[ Profit ]]&gt;0,"Profit","Loss")</f>
        <v>Profit</v>
      </c>
      <c r="V157" t="str">
        <f>IF(New_Finance_Data[[#This Row],[  Sales ]]&gt;=50000,"High Sales","Low Sales")</f>
        <v>High Sales</v>
      </c>
      <c r="W157" t="b">
        <f>ISNUMBER(New_Finance_Data[[#This Row],[Date]])</f>
        <v>1</v>
      </c>
    </row>
    <row r="158" spans="1:23" x14ac:dyDescent="0.2">
      <c r="A158" t="s">
        <v>29</v>
      </c>
      <c r="B158" t="s">
        <v>16</v>
      </c>
      <c r="C158" t="s">
        <v>36</v>
      </c>
      <c r="D158" t="s">
        <v>43</v>
      </c>
      <c r="E158" s="27">
        <v>1774</v>
      </c>
      <c r="F158" s="27">
        <v>10</v>
      </c>
      <c r="G158" s="27">
        <v>125</v>
      </c>
      <c r="H158" s="27">
        <v>221750</v>
      </c>
      <c r="I158" s="5">
        <v>6652.5</v>
      </c>
      <c r="J158" s="27">
        <v>215097.5</v>
      </c>
      <c r="K158" s="27">
        <v>212880</v>
      </c>
      <c r="L158" s="5">
        <v>2217.5</v>
      </c>
      <c r="M158" s="28">
        <v>41699</v>
      </c>
      <c r="N158" s="3">
        <v>3</v>
      </c>
      <c r="O158" s="29" t="s">
        <v>27</v>
      </c>
      <c r="P158" s="3">
        <v>2014</v>
      </c>
      <c r="Q158" s="6">
        <f>New_Finance_Data[[#This Row],[ Profit ]]/New_Finance_Data[[#This Row],[  Sales ]]</f>
        <v>1.0309278350515464E-2</v>
      </c>
      <c r="R158" t="str">
        <f>IF(New_Finance_Data[[#This Row],[  Sales ]]&gt;=100000,"High",IF(New_Finance_Data[[#This Row],[  Sales ]]&gt;=50000,"Medium","Low"))</f>
        <v>High</v>
      </c>
      <c r="S158" t="str">
        <f>IF(OR(ISBLANK(New_Finance_Data[[#This Row],[  Sales ]]),ISBLANK(New_Finance_Data[[#This Row],[ Profit ]])),"Missing","OK")</f>
        <v>OK</v>
      </c>
      <c r="T158" t="str">
        <f>TEXT(New_Finance_Data[[#This Row],[Date]],"MMM-YYYY")</f>
        <v>Mar-2014</v>
      </c>
      <c r="U158" t="str">
        <f>IF(New_Finance_Data[[#This Row],[ Profit ]]&gt;0,"Profit","Loss")</f>
        <v>Profit</v>
      </c>
      <c r="V158" t="str">
        <f>IF(New_Finance_Data[[#This Row],[  Sales ]]&gt;=50000,"High Sales","Low Sales")</f>
        <v>High Sales</v>
      </c>
      <c r="W158" t="b">
        <f>ISNUMBER(New_Finance_Data[[#This Row],[Date]])</f>
        <v>1</v>
      </c>
    </row>
    <row r="159" spans="1:23" x14ac:dyDescent="0.2">
      <c r="A159" t="s">
        <v>28</v>
      </c>
      <c r="B159" t="s">
        <v>22</v>
      </c>
      <c r="C159" t="s">
        <v>36</v>
      </c>
      <c r="D159" t="s">
        <v>43</v>
      </c>
      <c r="E159" s="27">
        <v>1901</v>
      </c>
      <c r="F159" s="27">
        <v>10</v>
      </c>
      <c r="G159" s="27">
        <v>12</v>
      </c>
      <c r="H159" s="27">
        <v>22812</v>
      </c>
      <c r="I159" s="5">
        <v>684.36</v>
      </c>
      <c r="J159" s="27">
        <v>22127.64</v>
      </c>
      <c r="K159" s="27">
        <v>5703</v>
      </c>
      <c r="L159" s="5">
        <v>16424.64</v>
      </c>
      <c r="M159" s="28">
        <v>41791</v>
      </c>
      <c r="N159" s="3">
        <v>6</v>
      </c>
      <c r="O159" s="29" t="s">
        <v>23</v>
      </c>
      <c r="P159" s="3">
        <v>2014</v>
      </c>
      <c r="Q159" s="6">
        <f>New_Finance_Data[[#This Row],[ Profit ]]/New_Finance_Data[[#This Row],[  Sales ]]</f>
        <v>0.74226804123711343</v>
      </c>
      <c r="R159" t="str">
        <f>IF(New_Finance_Data[[#This Row],[  Sales ]]&gt;=100000,"High",IF(New_Finance_Data[[#This Row],[  Sales ]]&gt;=50000,"Medium","Low"))</f>
        <v>Low</v>
      </c>
      <c r="S159" t="str">
        <f>IF(OR(ISBLANK(New_Finance_Data[[#This Row],[  Sales ]]),ISBLANK(New_Finance_Data[[#This Row],[ Profit ]])),"Missing","OK")</f>
        <v>OK</v>
      </c>
      <c r="T159" t="str">
        <f>TEXT(New_Finance_Data[[#This Row],[Date]],"MMM-YYYY")</f>
        <v>Jun-2014</v>
      </c>
      <c r="U159" t="str">
        <f>IF(New_Finance_Data[[#This Row],[ Profit ]]&gt;0,"Profit","Loss")</f>
        <v>Profit</v>
      </c>
      <c r="V159" t="str">
        <f>IF(New_Finance_Data[[#This Row],[  Sales ]]&gt;=50000,"High Sales","Low Sales")</f>
        <v>Low Sales</v>
      </c>
      <c r="W159" t="b">
        <f>ISNUMBER(New_Finance_Data[[#This Row],[Date]])</f>
        <v>1</v>
      </c>
    </row>
    <row r="160" spans="1:23" x14ac:dyDescent="0.2">
      <c r="A160" t="s">
        <v>31</v>
      </c>
      <c r="B160" t="s">
        <v>20</v>
      </c>
      <c r="C160" t="s">
        <v>36</v>
      </c>
      <c r="D160" t="s">
        <v>43</v>
      </c>
      <c r="E160" s="27">
        <v>689</v>
      </c>
      <c r="F160" s="27">
        <v>10</v>
      </c>
      <c r="G160" s="27">
        <v>300</v>
      </c>
      <c r="H160" s="27">
        <v>206700</v>
      </c>
      <c r="I160" s="5">
        <v>6201</v>
      </c>
      <c r="J160" s="27">
        <v>200499</v>
      </c>
      <c r="K160" s="27">
        <v>172250</v>
      </c>
      <c r="L160" s="5">
        <v>28249</v>
      </c>
      <c r="M160" s="28">
        <v>41791</v>
      </c>
      <c r="N160" s="3">
        <v>6</v>
      </c>
      <c r="O160" s="29" t="s">
        <v>23</v>
      </c>
      <c r="P160" s="3">
        <v>2014</v>
      </c>
      <c r="Q160" s="6">
        <f>New_Finance_Data[[#This Row],[ Profit ]]/New_Finance_Data[[#This Row],[  Sales ]]</f>
        <v>0.14089347079037801</v>
      </c>
      <c r="R160" t="str">
        <f>IF(New_Finance_Data[[#This Row],[  Sales ]]&gt;=100000,"High",IF(New_Finance_Data[[#This Row],[  Sales ]]&gt;=50000,"Medium","Low"))</f>
        <v>High</v>
      </c>
      <c r="S160" t="str">
        <f>IF(OR(ISBLANK(New_Finance_Data[[#This Row],[  Sales ]]),ISBLANK(New_Finance_Data[[#This Row],[ Profit ]])),"Missing","OK")</f>
        <v>OK</v>
      </c>
      <c r="T160" t="str">
        <f>TEXT(New_Finance_Data[[#This Row],[Date]],"MMM-YYYY")</f>
        <v>Jun-2014</v>
      </c>
      <c r="U160" t="str">
        <f>IF(New_Finance_Data[[#This Row],[ Profit ]]&gt;0,"Profit","Loss")</f>
        <v>Profit</v>
      </c>
      <c r="V160" t="str">
        <f>IF(New_Finance_Data[[#This Row],[  Sales ]]&gt;=50000,"High Sales","Low Sales")</f>
        <v>High Sales</v>
      </c>
      <c r="W160" t="b">
        <f>ISNUMBER(New_Finance_Data[[#This Row],[Date]])</f>
        <v>1</v>
      </c>
    </row>
    <row r="161" spans="1:23" x14ac:dyDescent="0.2">
      <c r="A161" t="s">
        <v>29</v>
      </c>
      <c r="B161" t="s">
        <v>20</v>
      </c>
      <c r="C161" t="s">
        <v>36</v>
      </c>
      <c r="D161" t="s">
        <v>43</v>
      </c>
      <c r="E161" s="27">
        <v>1570</v>
      </c>
      <c r="F161" s="27">
        <v>10</v>
      </c>
      <c r="G161" s="27">
        <v>125</v>
      </c>
      <c r="H161" s="27">
        <v>196250</v>
      </c>
      <c r="I161" s="5">
        <v>5887.5</v>
      </c>
      <c r="J161" s="27">
        <v>190362.5</v>
      </c>
      <c r="K161" s="27">
        <v>188400</v>
      </c>
      <c r="L161" s="5">
        <v>1962.5</v>
      </c>
      <c r="M161" s="28">
        <v>41791</v>
      </c>
      <c r="N161" s="3">
        <v>6</v>
      </c>
      <c r="O161" s="29" t="s">
        <v>23</v>
      </c>
      <c r="P161" s="3">
        <v>2014</v>
      </c>
      <c r="Q161" s="6">
        <f>New_Finance_Data[[#This Row],[ Profit ]]/New_Finance_Data[[#This Row],[  Sales ]]</f>
        <v>1.0309278350515464E-2</v>
      </c>
      <c r="R161" t="str">
        <f>IF(New_Finance_Data[[#This Row],[  Sales ]]&gt;=100000,"High",IF(New_Finance_Data[[#This Row],[  Sales ]]&gt;=50000,"Medium","Low"))</f>
        <v>High</v>
      </c>
      <c r="S161" t="str">
        <f>IF(OR(ISBLANK(New_Finance_Data[[#This Row],[  Sales ]]),ISBLANK(New_Finance_Data[[#This Row],[ Profit ]])),"Missing","OK")</f>
        <v>OK</v>
      </c>
      <c r="T161" t="str">
        <f>TEXT(New_Finance_Data[[#This Row],[Date]],"MMM-YYYY")</f>
        <v>Jun-2014</v>
      </c>
      <c r="U161" t="str">
        <f>IF(New_Finance_Data[[#This Row],[ Profit ]]&gt;0,"Profit","Loss")</f>
        <v>Profit</v>
      </c>
      <c r="V161" t="str">
        <f>IF(New_Finance_Data[[#This Row],[  Sales ]]&gt;=50000,"High Sales","Low Sales")</f>
        <v>High Sales</v>
      </c>
      <c r="W161" t="b">
        <f>ISNUMBER(New_Finance_Data[[#This Row],[Date]])</f>
        <v>1</v>
      </c>
    </row>
    <row r="162" spans="1:23" x14ac:dyDescent="0.2">
      <c r="A162" t="s">
        <v>28</v>
      </c>
      <c r="B162" t="s">
        <v>35</v>
      </c>
      <c r="C162" t="s">
        <v>36</v>
      </c>
      <c r="D162" t="s">
        <v>43</v>
      </c>
      <c r="E162" s="27">
        <v>1369.5</v>
      </c>
      <c r="F162" s="27">
        <v>10</v>
      </c>
      <c r="G162" s="27">
        <v>12</v>
      </c>
      <c r="H162" s="27">
        <v>16434</v>
      </c>
      <c r="I162" s="5">
        <v>493.02</v>
      </c>
      <c r="J162" s="27">
        <v>15940.98</v>
      </c>
      <c r="K162" s="27">
        <v>4108.5</v>
      </c>
      <c r="L162" s="5">
        <v>11832.48</v>
      </c>
      <c r="M162" s="28">
        <v>41821</v>
      </c>
      <c r="N162" s="3">
        <v>7</v>
      </c>
      <c r="O162" s="29" t="s">
        <v>30</v>
      </c>
      <c r="P162" s="3">
        <v>2014</v>
      </c>
      <c r="Q162" s="6">
        <f>New_Finance_Data[[#This Row],[ Profit ]]/New_Finance_Data[[#This Row],[  Sales ]]</f>
        <v>0.74226804123711343</v>
      </c>
      <c r="R162" t="str">
        <f>IF(New_Finance_Data[[#This Row],[  Sales ]]&gt;=100000,"High",IF(New_Finance_Data[[#This Row],[  Sales ]]&gt;=50000,"Medium","Low"))</f>
        <v>Low</v>
      </c>
      <c r="S162" t="str">
        <f>IF(OR(ISBLANK(New_Finance_Data[[#This Row],[  Sales ]]),ISBLANK(New_Finance_Data[[#This Row],[ Profit ]])),"Missing","OK")</f>
        <v>OK</v>
      </c>
      <c r="T162" t="str">
        <f>TEXT(New_Finance_Data[[#This Row],[Date]],"MMM-YYYY")</f>
        <v>Jul-2014</v>
      </c>
      <c r="U162" t="str">
        <f>IF(New_Finance_Data[[#This Row],[ Profit ]]&gt;0,"Profit","Loss")</f>
        <v>Profit</v>
      </c>
      <c r="V162" t="str">
        <f>IF(New_Finance_Data[[#This Row],[  Sales ]]&gt;=50000,"High Sales","Low Sales")</f>
        <v>Low Sales</v>
      </c>
      <c r="W162" t="b">
        <f>ISNUMBER(New_Finance_Data[[#This Row],[Date]])</f>
        <v>1</v>
      </c>
    </row>
    <row r="163" spans="1:23" x14ac:dyDescent="0.2">
      <c r="A163" t="s">
        <v>29</v>
      </c>
      <c r="B163" t="s">
        <v>16</v>
      </c>
      <c r="C163" t="s">
        <v>36</v>
      </c>
      <c r="D163" t="s">
        <v>43</v>
      </c>
      <c r="E163" s="27">
        <v>2009</v>
      </c>
      <c r="F163" s="27">
        <v>10</v>
      </c>
      <c r="G163" s="27">
        <v>125</v>
      </c>
      <c r="H163" s="27">
        <v>251125</v>
      </c>
      <c r="I163" s="5">
        <v>7533.75</v>
      </c>
      <c r="J163" s="27">
        <v>243591.25</v>
      </c>
      <c r="K163" s="27">
        <v>241080</v>
      </c>
      <c r="L163" s="5">
        <v>2511.25</v>
      </c>
      <c r="M163" s="28">
        <v>41913</v>
      </c>
      <c r="N163" s="3">
        <v>10</v>
      </c>
      <c r="O163" s="29" t="s">
        <v>34</v>
      </c>
      <c r="P163" s="3">
        <v>2014</v>
      </c>
      <c r="Q163" s="6">
        <f>New_Finance_Data[[#This Row],[ Profit ]]/New_Finance_Data[[#This Row],[  Sales ]]</f>
        <v>1.0309278350515464E-2</v>
      </c>
      <c r="R163" t="str">
        <f>IF(New_Finance_Data[[#This Row],[  Sales ]]&gt;=100000,"High",IF(New_Finance_Data[[#This Row],[  Sales ]]&gt;=50000,"Medium","Low"))</f>
        <v>High</v>
      </c>
      <c r="S163" t="str">
        <f>IF(OR(ISBLANK(New_Finance_Data[[#This Row],[  Sales ]]),ISBLANK(New_Finance_Data[[#This Row],[ Profit ]])),"Missing","OK")</f>
        <v>OK</v>
      </c>
      <c r="T163" t="str">
        <f>TEXT(New_Finance_Data[[#This Row],[Date]],"MMM-YYYY")</f>
        <v>Oct-2014</v>
      </c>
      <c r="U163" t="str">
        <f>IF(New_Finance_Data[[#This Row],[ Profit ]]&gt;0,"Profit","Loss")</f>
        <v>Profit</v>
      </c>
      <c r="V163" t="str">
        <f>IF(New_Finance_Data[[#This Row],[  Sales ]]&gt;=50000,"High Sales","Low Sales")</f>
        <v>High Sales</v>
      </c>
      <c r="W163" t="b">
        <f>ISNUMBER(New_Finance_Data[[#This Row],[Date]])</f>
        <v>1</v>
      </c>
    </row>
    <row r="164" spans="1:23" x14ac:dyDescent="0.2">
      <c r="A164" t="s">
        <v>21</v>
      </c>
      <c r="B164" t="s">
        <v>20</v>
      </c>
      <c r="C164" t="s">
        <v>36</v>
      </c>
      <c r="D164" t="s">
        <v>43</v>
      </c>
      <c r="E164" s="27">
        <v>1945</v>
      </c>
      <c r="F164" s="27">
        <v>10</v>
      </c>
      <c r="G164" s="27">
        <v>15</v>
      </c>
      <c r="H164" s="27">
        <v>29175</v>
      </c>
      <c r="I164" s="5">
        <v>875.25</v>
      </c>
      <c r="J164" s="27">
        <v>28299.75</v>
      </c>
      <c r="K164" s="27">
        <v>19450</v>
      </c>
      <c r="L164" s="5">
        <v>8849.75</v>
      </c>
      <c r="M164" s="28">
        <v>41548</v>
      </c>
      <c r="N164" s="3">
        <v>10</v>
      </c>
      <c r="O164" s="29" t="s">
        <v>34</v>
      </c>
      <c r="P164" s="3">
        <v>2013</v>
      </c>
      <c r="Q164" s="6">
        <f>New_Finance_Data[[#This Row],[ Profit ]]/New_Finance_Data[[#This Row],[  Sales ]]</f>
        <v>0.3127147766323024</v>
      </c>
      <c r="R164" t="str">
        <f>IF(New_Finance_Data[[#This Row],[  Sales ]]&gt;=100000,"High",IF(New_Finance_Data[[#This Row],[  Sales ]]&gt;=50000,"Medium","Low"))</f>
        <v>Low</v>
      </c>
      <c r="S164" t="str">
        <f>IF(OR(ISBLANK(New_Finance_Data[[#This Row],[  Sales ]]),ISBLANK(New_Finance_Data[[#This Row],[ Profit ]])),"Missing","OK")</f>
        <v>OK</v>
      </c>
      <c r="T164" t="str">
        <f>TEXT(New_Finance_Data[[#This Row],[Date]],"MMM-YYYY")</f>
        <v>Oct-2013</v>
      </c>
      <c r="U164" t="str">
        <f>IF(New_Finance_Data[[#This Row],[ Profit ]]&gt;0,"Profit","Loss")</f>
        <v>Profit</v>
      </c>
      <c r="V164" t="str">
        <f>IF(New_Finance_Data[[#This Row],[  Sales ]]&gt;=50000,"High Sales","Low Sales")</f>
        <v>Low Sales</v>
      </c>
      <c r="W164" t="b">
        <f>ISNUMBER(New_Finance_Data[[#This Row],[Date]])</f>
        <v>1</v>
      </c>
    </row>
    <row r="165" spans="1:23" x14ac:dyDescent="0.2">
      <c r="A165" t="s">
        <v>29</v>
      </c>
      <c r="B165" t="s">
        <v>22</v>
      </c>
      <c r="C165" t="s">
        <v>36</v>
      </c>
      <c r="D165" t="s">
        <v>43</v>
      </c>
      <c r="E165" s="27">
        <v>1287</v>
      </c>
      <c r="F165" s="27">
        <v>10</v>
      </c>
      <c r="G165" s="27">
        <v>125</v>
      </c>
      <c r="H165" s="27">
        <v>160875</v>
      </c>
      <c r="I165" s="5">
        <v>4826.25</v>
      </c>
      <c r="J165" s="27">
        <v>156048.75</v>
      </c>
      <c r="K165" s="27">
        <v>154440</v>
      </c>
      <c r="L165" s="5">
        <v>1608.75</v>
      </c>
      <c r="M165" s="28">
        <v>41974</v>
      </c>
      <c r="N165" s="3">
        <v>12</v>
      </c>
      <c r="O165" s="29" t="s">
        <v>25</v>
      </c>
      <c r="P165" s="3">
        <v>2014</v>
      </c>
      <c r="Q165" s="6">
        <f>New_Finance_Data[[#This Row],[ Profit ]]/New_Finance_Data[[#This Row],[  Sales ]]</f>
        <v>1.0309278350515464E-2</v>
      </c>
      <c r="R165" t="str">
        <f>IF(New_Finance_Data[[#This Row],[  Sales ]]&gt;=100000,"High",IF(New_Finance_Data[[#This Row],[  Sales ]]&gt;=50000,"Medium","Low"))</f>
        <v>High</v>
      </c>
      <c r="S165" t="str">
        <f>IF(OR(ISBLANK(New_Finance_Data[[#This Row],[  Sales ]]),ISBLANK(New_Finance_Data[[#This Row],[ Profit ]])),"Missing","OK")</f>
        <v>OK</v>
      </c>
      <c r="T165" t="str">
        <f>TEXT(New_Finance_Data[[#This Row],[Date]],"MMM-YYYY")</f>
        <v>Dec-2014</v>
      </c>
      <c r="U165" t="str">
        <f>IF(New_Finance_Data[[#This Row],[ Profit ]]&gt;0,"Profit","Loss")</f>
        <v>Profit</v>
      </c>
      <c r="V165" t="str">
        <f>IF(New_Finance_Data[[#This Row],[  Sales ]]&gt;=50000,"High Sales","Low Sales")</f>
        <v>High Sales</v>
      </c>
      <c r="W165" t="b">
        <f>ISNUMBER(New_Finance_Data[[#This Row],[Date]])</f>
        <v>1</v>
      </c>
    </row>
    <row r="166" spans="1:23" x14ac:dyDescent="0.2">
      <c r="A166" t="s">
        <v>29</v>
      </c>
      <c r="B166" t="s">
        <v>20</v>
      </c>
      <c r="C166" t="s">
        <v>36</v>
      </c>
      <c r="D166" t="s">
        <v>43</v>
      </c>
      <c r="E166" s="27">
        <v>1706</v>
      </c>
      <c r="F166" s="27">
        <v>10</v>
      </c>
      <c r="G166" s="27">
        <v>125</v>
      </c>
      <c r="H166" s="27">
        <v>213250</v>
      </c>
      <c r="I166" s="5">
        <v>6397.5</v>
      </c>
      <c r="J166" s="27">
        <v>206852.5</v>
      </c>
      <c r="K166" s="27">
        <v>204720</v>
      </c>
      <c r="L166" s="5">
        <v>2132.5</v>
      </c>
      <c r="M166" s="28">
        <v>41974</v>
      </c>
      <c r="N166" s="3">
        <v>12</v>
      </c>
      <c r="O166" s="29" t="s">
        <v>25</v>
      </c>
      <c r="P166" s="3">
        <v>2014</v>
      </c>
      <c r="Q166" s="6">
        <f>New_Finance_Data[[#This Row],[ Profit ]]/New_Finance_Data[[#This Row],[  Sales ]]</f>
        <v>1.0309278350515464E-2</v>
      </c>
      <c r="R166" t="str">
        <f>IF(New_Finance_Data[[#This Row],[  Sales ]]&gt;=100000,"High",IF(New_Finance_Data[[#This Row],[  Sales ]]&gt;=50000,"Medium","Low"))</f>
        <v>High</v>
      </c>
      <c r="S166" t="str">
        <f>IF(OR(ISBLANK(New_Finance_Data[[#This Row],[  Sales ]]),ISBLANK(New_Finance_Data[[#This Row],[ Profit ]])),"Missing","OK")</f>
        <v>OK</v>
      </c>
      <c r="T166" t="str">
        <f>TEXT(New_Finance_Data[[#This Row],[Date]],"MMM-YYYY")</f>
        <v>Dec-2014</v>
      </c>
      <c r="U166" t="str">
        <f>IF(New_Finance_Data[[#This Row],[ Profit ]]&gt;0,"Profit","Loss")</f>
        <v>Profit</v>
      </c>
      <c r="V166" t="str">
        <f>IF(New_Finance_Data[[#This Row],[  Sales ]]&gt;=50000,"High Sales","Low Sales")</f>
        <v>High Sales</v>
      </c>
      <c r="W166" t="b">
        <f>ISNUMBER(New_Finance_Data[[#This Row],[Date]])</f>
        <v>1</v>
      </c>
    </row>
    <row r="167" spans="1:23" x14ac:dyDescent="0.2">
      <c r="A167" t="s">
        <v>29</v>
      </c>
      <c r="B167" t="s">
        <v>16</v>
      </c>
      <c r="C167" t="s">
        <v>39</v>
      </c>
      <c r="D167" t="s">
        <v>43</v>
      </c>
      <c r="E167" s="27">
        <v>2009</v>
      </c>
      <c r="F167" s="27">
        <v>120</v>
      </c>
      <c r="G167" s="27">
        <v>125</v>
      </c>
      <c r="H167" s="27">
        <v>251125</v>
      </c>
      <c r="I167" s="5">
        <v>7533.75</v>
      </c>
      <c r="J167" s="27">
        <v>243591.25</v>
      </c>
      <c r="K167" s="27">
        <v>241080</v>
      </c>
      <c r="L167" s="5">
        <v>2511.25</v>
      </c>
      <c r="M167" s="28">
        <v>41913</v>
      </c>
      <c r="N167" s="3">
        <v>10</v>
      </c>
      <c r="O167" s="29" t="s">
        <v>34</v>
      </c>
      <c r="P167" s="3">
        <v>2014</v>
      </c>
      <c r="Q167" s="6">
        <f>New_Finance_Data[[#This Row],[ Profit ]]/New_Finance_Data[[#This Row],[  Sales ]]</f>
        <v>1.0309278350515464E-2</v>
      </c>
      <c r="R167" t="str">
        <f>IF(New_Finance_Data[[#This Row],[  Sales ]]&gt;=100000,"High",IF(New_Finance_Data[[#This Row],[  Sales ]]&gt;=50000,"Medium","Low"))</f>
        <v>High</v>
      </c>
      <c r="S167" t="str">
        <f>IF(OR(ISBLANK(New_Finance_Data[[#This Row],[  Sales ]]),ISBLANK(New_Finance_Data[[#This Row],[ Profit ]])),"Missing","OK")</f>
        <v>OK</v>
      </c>
      <c r="T167" t="str">
        <f>TEXT(New_Finance_Data[[#This Row],[Date]],"MMM-YYYY")</f>
        <v>Oct-2014</v>
      </c>
      <c r="U167" t="str">
        <f>IF(New_Finance_Data[[#This Row],[ Profit ]]&gt;0,"Profit","Loss")</f>
        <v>Profit</v>
      </c>
      <c r="V167" t="str">
        <f>IF(New_Finance_Data[[#This Row],[  Sales ]]&gt;=50000,"High Sales","Low Sales")</f>
        <v>High Sales</v>
      </c>
      <c r="W167" t="b">
        <f>ISNUMBER(New_Finance_Data[[#This Row],[Date]])</f>
        <v>1</v>
      </c>
    </row>
    <row r="168" spans="1:23" x14ac:dyDescent="0.2">
      <c r="A168" t="s">
        <v>31</v>
      </c>
      <c r="B168" t="s">
        <v>35</v>
      </c>
      <c r="C168" t="s">
        <v>40</v>
      </c>
      <c r="D168" t="s">
        <v>43</v>
      </c>
      <c r="E168" s="27">
        <v>2844</v>
      </c>
      <c r="F168" s="27">
        <v>250</v>
      </c>
      <c r="G168" s="27">
        <v>300</v>
      </c>
      <c r="H168" s="27">
        <v>853200</v>
      </c>
      <c r="I168" s="5">
        <v>25596</v>
      </c>
      <c r="J168" s="27">
        <v>827604</v>
      </c>
      <c r="K168" s="27">
        <v>711000</v>
      </c>
      <c r="L168" s="5">
        <v>116604</v>
      </c>
      <c r="M168" s="28">
        <v>41671</v>
      </c>
      <c r="N168" s="3">
        <v>2</v>
      </c>
      <c r="O168" s="29" t="s">
        <v>37</v>
      </c>
      <c r="P168" s="3">
        <v>2014</v>
      </c>
      <c r="Q168" s="6">
        <f>New_Finance_Data[[#This Row],[ Profit ]]/New_Finance_Data[[#This Row],[  Sales ]]</f>
        <v>0.14089347079037801</v>
      </c>
      <c r="R168" t="str">
        <f>IF(New_Finance_Data[[#This Row],[  Sales ]]&gt;=100000,"High",IF(New_Finance_Data[[#This Row],[  Sales ]]&gt;=50000,"Medium","Low"))</f>
        <v>High</v>
      </c>
      <c r="S168" t="str">
        <f>IF(OR(ISBLANK(New_Finance_Data[[#This Row],[  Sales ]]),ISBLANK(New_Finance_Data[[#This Row],[ Profit ]])),"Missing","OK")</f>
        <v>OK</v>
      </c>
      <c r="T168" t="str">
        <f>TEXT(New_Finance_Data[[#This Row],[Date]],"MMM-YYYY")</f>
        <v>Feb-2014</v>
      </c>
      <c r="U168" t="str">
        <f>IF(New_Finance_Data[[#This Row],[ Profit ]]&gt;0,"Profit","Loss")</f>
        <v>Profit</v>
      </c>
      <c r="V168" t="str">
        <f>IF(New_Finance_Data[[#This Row],[  Sales ]]&gt;=50000,"High Sales","Low Sales")</f>
        <v>High Sales</v>
      </c>
      <c r="W168" t="b">
        <f>ISNUMBER(New_Finance_Data[[#This Row],[Date]])</f>
        <v>1</v>
      </c>
    </row>
    <row r="169" spans="1:23" x14ac:dyDescent="0.2">
      <c r="A169" t="s">
        <v>28</v>
      </c>
      <c r="B169" t="s">
        <v>24</v>
      </c>
      <c r="C169" t="s">
        <v>40</v>
      </c>
      <c r="D169" t="s">
        <v>43</v>
      </c>
      <c r="E169" s="27">
        <v>1916</v>
      </c>
      <c r="F169" s="27">
        <v>250</v>
      </c>
      <c r="G169" s="27">
        <v>12</v>
      </c>
      <c r="H169" s="27">
        <v>22992</v>
      </c>
      <c r="I169" s="5">
        <v>689.76</v>
      </c>
      <c r="J169" s="27">
        <v>22302.240000000002</v>
      </c>
      <c r="K169" s="27">
        <v>5748</v>
      </c>
      <c r="L169" s="5">
        <v>16554.240000000002</v>
      </c>
      <c r="M169" s="28">
        <v>41730</v>
      </c>
      <c r="N169" s="3">
        <v>4</v>
      </c>
      <c r="O169" s="29" t="s">
        <v>41</v>
      </c>
      <c r="P169" s="3">
        <v>2014</v>
      </c>
      <c r="Q169" s="6">
        <f>New_Finance_Data[[#This Row],[ Profit ]]/New_Finance_Data[[#This Row],[  Sales ]]</f>
        <v>0.74226804123711343</v>
      </c>
      <c r="R169" t="str">
        <f>IF(New_Finance_Data[[#This Row],[  Sales ]]&gt;=100000,"High",IF(New_Finance_Data[[#This Row],[  Sales ]]&gt;=50000,"Medium","Low"))</f>
        <v>Low</v>
      </c>
      <c r="S169" t="str">
        <f>IF(OR(ISBLANK(New_Finance_Data[[#This Row],[  Sales ]]),ISBLANK(New_Finance_Data[[#This Row],[ Profit ]])),"Missing","OK")</f>
        <v>OK</v>
      </c>
      <c r="T169" t="str">
        <f>TEXT(New_Finance_Data[[#This Row],[Date]],"MMM-YYYY")</f>
        <v>Apr-2014</v>
      </c>
      <c r="U169" t="str">
        <f>IF(New_Finance_Data[[#This Row],[ Profit ]]&gt;0,"Profit","Loss")</f>
        <v>Profit</v>
      </c>
      <c r="V169" t="str">
        <f>IF(New_Finance_Data[[#This Row],[  Sales ]]&gt;=50000,"High Sales","Low Sales")</f>
        <v>Low Sales</v>
      </c>
      <c r="W169" t="b">
        <f>ISNUMBER(New_Finance_Data[[#This Row],[Date]])</f>
        <v>1</v>
      </c>
    </row>
    <row r="170" spans="1:23" x14ac:dyDescent="0.2">
      <c r="A170" t="s">
        <v>29</v>
      </c>
      <c r="B170" t="s">
        <v>20</v>
      </c>
      <c r="C170" t="s">
        <v>40</v>
      </c>
      <c r="D170" t="s">
        <v>43</v>
      </c>
      <c r="E170" s="27">
        <v>1570</v>
      </c>
      <c r="F170" s="27">
        <v>250</v>
      </c>
      <c r="G170" s="27">
        <v>125</v>
      </c>
      <c r="H170" s="27">
        <v>196250</v>
      </c>
      <c r="I170" s="5">
        <v>5887.5</v>
      </c>
      <c r="J170" s="27">
        <v>190362.5</v>
      </c>
      <c r="K170" s="27">
        <v>188400</v>
      </c>
      <c r="L170" s="5">
        <v>1962.5</v>
      </c>
      <c r="M170" s="28">
        <v>41791</v>
      </c>
      <c r="N170" s="3">
        <v>6</v>
      </c>
      <c r="O170" s="29" t="s">
        <v>23</v>
      </c>
      <c r="P170" s="3">
        <v>2014</v>
      </c>
      <c r="Q170" s="6">
        <f>New_Finance_Data[[#This Row],[ Profit ]]/New_Finance_Data[[#This Row],[  Sales ]]</f>
        <v>1.0309278350515464E-2</v>
      </c>
      <c r="R170" t="str">
        <f>IF(New_Finance_Data[[#This Row],[  Sales ]]&gt;=100000,"High",IF(New_Finance_Data[[#This Row],[  Sales ]]&gt;=50000,"Medium","Low"))</f>
        <v>High</v>
      </c>
      <c r="S170" t="str">
        <f>IF(OR(ISBLANK(New_Finance_Data[[#This Row],[  Sales ]]),ISBLANK(New_Finance_Data[[#This Row],[ Profit ]])),"Missing","OK")</f>
        <v>OK</v>
      </c>
      <c r="T170" t="str">
        <f>TEXT(New_Finance_Data[[#This Row],[Date]],"MMM-YYYY")</f>
        <v>Jun-2014</v>
      </c>
      <c r="U170" t="str">
        <f>IF(New_Finance_Data[[#This Row],[ Profit ]]&gt;0,"Profit","Loss")</f>
        <v>Profit</v>
      </c>
      <c r="V170" t="str">
        <f>IF(New_Finance_Data[[#This Row],[  Sales ]]&gt;=50000,"High Sales","Low Sales")</f>
        <v>High Sales</v>
      </c>
      <c r="W170" t="b">
        <f>ISNUMBER(New_Finance_Data[[#This Row],[Date]])</f>
        <v>1</v>
      </c>
    </row>
    <row r="171" spans="1:23" x14ac:dyDescent="0.2">
      <c r="A171" t="s">
        <v>31</v>
      </c>
      <c r="B171" t="s">
        <v>16</v>
      </c>
      <c r="C171" t="s">
        <v>40</v>
      </c>
      <c r="D171" t="s">
        <v>43</v>
      </c>
      <c r="E171" s="27">
        <v>1874</v>
      </c>
      <c r="F171" s="27">
        <v>250</v>
      </c>
      <c r="G171" s="27">
        <v>300</v>
      </c>
      <c r="H171" s="27">
        <v>562200</v>
      </c>
      <c r="I171" s="5">
        <v>16866</v>
      </c>
      <c r="J171" s="27">
        <v>545334</v>
      </c>
      <c r="K171" s="27">
        <v>468500</v>
      </c>
      <c r="L171" s="5">
        <v>76834</v>
      </c>
      <c r="M171" s="28">
        <v>41852</v>
      </c>
      <c r="N171" s="3">
        <v>8</v>
      </c>
      <c r="O171" s="29" t="s">
        <v>32</v>
      </c>
      <c r="P171" s="3">
        <v>2014</v>
      </c>
      <c r="Q171" s="6">
        <f>New_Finance_Data[[#This Row],[ Profit ]]/New_Finance_Data[[#This Row],[  Sales ]]</f>
        <v>0.14089347079037801</v>
      </c>
      <c r="R171" t="str">
        <f>IF(New_Finance_Data[[#This Row],[  Sales ]]&gt;=100000,"High",IF(New_Finance_Data[[#This Row],[  Sales ]]&gt;=50000,"Medium","Low"))</f>
        <v>High</v>
      </c>
      <c r="S171" t="str">
        <f>IF(OR(ISBLANK(New_Finance_Data[[#This Row],[  Sales ]]),ISBLANK(New_Finance_Data[[#This Row],[ Profit ]])),"Missing","OK")</f>
        <v>OK</v>
      </c>
      <c r="T171" t="str">
        <f>TEXT(New_Finance_Data[[#This Row],[Date]],"MMM-YYYY")</f>
        <v>Aug-2014</v>
      </c>
      <c r="U171" t="str">
        <f>IF(New_Finance_Data[[#This Row],[ Profit ]]&gt;0,"Profit","Loss")</f>
        <v>Profit</v>
      </c>
      <c r="V171" t="str">
        <f>IF(New_Finance_Data[[#This Row],[  Sales ]]&gt;=50000,"High Sales","Low Sales")</f>
        <v>High Sales</v>
      </c>
      <c r="W171" t="b">
        <f>ISNUMBER(New_Finance_Data[[#This Row],[Date]])</f>
        <v>1</v>
      </c>
    </row>
    <row r="172" spans="1:23" x14ac:dyDescent="0.2">
      <c r="A172" t="s">
        <v>15</v>
      </c>
      <c r="B172" t="s">
        <v>24</v>
      </c>
      <c r="C172" t="s">
        <v>40</v>
      </c>
      <c r="D172" t="s">
        <v>43</v>
      </c>
      <c r="E172" s="27">
        <v>1642</v>
      </c>
      <c r="F172" s="27">
        <v>250</v>
      </c>
      <c r="G172" s="27">
        <v>350</v>
      </c>
      <c r="H172" s="27">
        <v>574700</v>
      </c>
      <c r="I172" s="5">
        <v>17241</v>
      </c>
      <c r="J172" s="27">
        <v>557459</v>
      </c>
      <c r="K172" s="27">
        <v>426920</v>
      </c>
      <c r="L172" s="5">
        <v>130539</v>
      </c>
      <c r="M172" s="28">
        <v>41852</v>
      </c>
      <c r="N172" s="3">
        <v>8</v>
      </c>
      <c r="O172" s="29" t="s">
        <v>32</v>
      </c>
      <c r="P172" s="3">
        <v>2014</v>
      </c>
      <c r="Q172" s="6">
        <f>New_Finance_Data[[#This Row],[ Profit ]]/New_Finance_Data[[#This Row],[  Sales ]]</f>
        <v>0.2341678939617084</v>
      </c>
      <c r="R172" t="str">
        <f>IF(New_Finance_Data[[#This Row],[  Sales ]]&gt;=100000,"High",IF(New_Finance_Data[[#This Row],[  Sales ]]&gt;=50000,"Medium","Low"))</f>
        <v>High</v>
      </c>
      <c r="S172" t="str">
        <f>IF(OR(ISBLANK(New_Finance_Data[[#This Row],[  Sales ]]),ISBLANK(New_Finance_Data[[#This Row],[ Profit ]])),"Missing","OK")</f>
        <v>OK</v>
      </c>
      <c r="T172" t="str">
        <f>TEXT(New_Finance_Data[[#This Row],[Date]],"MMM-YYYY")</f>
        <v>Aug-2014</v>
      </c>
      <c r="U172" t="str">
        <f>IF(New_Finance_Data[[#This Row],[ Profit ]]&gt;0,"Profit","Loss")</f>
        <v>Profit</v>
      </c>
      <c r="V172" t="str">
        <f>IF(New_Finance_Data[[#This Row],[  Sales ]]&gt;=50000,"High Sales","Low Sales")</f>
        <v>High Sales</v>
      </c>
      <c r="W172" t="b">
        <f>ISNUMBER(New_Finance_Data[[#This Row],[Date]])</f>
        <v>1</v>
      </c>
    </row>
    <row r="173" spans="1:23" x14ac:dyDescent="0.2">
      <c r="A173" t="s">
        <v>21</v>
      </c>
      <c r="B173" t="s">
        <v>20</v>
      </c>
      <c r="C173" t="s">
        <v>40</v>
      </c>
      <c r="D173" t="s">
        <v>43</v>
      </c>
      <c r="E173" s="27">
        <v>1945</v>
      </c>
      <c r="F173" s="27">
        <v>250</v>
      </c>
      <c r="G173" s="27">
        <v>15</v>
      </c>
      <c r="H173" s="27">
        <v>29175</v>
      </c>
      <c r="I173" s="5">
        <v>875.25</v>
      </c>
      <c r="J173" s="27">
        <v>28299.75</v>
      </c>
      <c r="K173" s="27">
        <v>19450</v>
      </c>
      <c r="L173" s="5">
        <v>8849.75</v>
      </c>
      <c r="M173" s="28">
        <v>41548</v>
      </c>
      <c r="N173" s="3">
        <v>10</v>
      </c>
      <c r="O173" s="29" t="s">
        <v>34</v>
      </c>
      <c r="P173" s="3">
        <v>2013</v>
      </c>
      <c r="Q173" s="6">
        <f>New_Finance_Data[[#This Row],[ Profit ]]/New_Finance_Data[[#This Row],[  Sales ]]</f>
        <v>0.3127147766323024</v>
      </c>
      <c r="R173" t="str">
        <f>IF(New_Finance_Data[[#This Row],[  Sales ]]&gt;=100000,"High",IF(New_Finance_Data[[#This Row],[  Sales ]]&gt;=50000,"Medium","Low"))</f>
        <v>Low</v>
      </c>
      <c r="S173" t="str">
        <f>IF(OR(ISBLANK(New_Finance_Data[[#This Row],[  Sales ]]),ISBLANK(New_Finance_Data[[#This Row],[ Profit ]])),"Missing","OK")</f>
        <v>OK</v>
      </c>
      <c r="T173" t="str">
        <f>TEXT(New_Finance_Data[[#This Row],[Date]],"MMM-YYYY")</f>
        <v>Oct-2013</v>
      </c>
      <c r="U173" t="str">
        <f>IF(New_Finance_Data[[#This Row],[ Profit ]]&gt;0,"Profit","Loss")</f>
        <v>Profit</v>
      </c>
      <c r="V173" t="str">
        <f>IF(New_Finance_Data[[#This Row],[  Sales ]]&gt;=50000,"High Sales","Low Sales")</f>
        <v>Low Sales</v>
      </c>
      <c r="W173" t="b">
        <f>ISNUMBER(New_Finance_Data[[#This Row],[Date]])</f>
        <v>1</v>
      </c>
    </row>
    <row r="174" spans="1:23" x14ac:dyDescent="0.2">
      <c r="A174" t="s">
        <v>15</v>
      </c>
      <c r="B174" t="s">
        <v>16</v>
      </c>
      <c r="C174" t="s">
        <v>17</v>
      </c>
      <c r="D174" t="s">
        <v>43</v>
      </c>
      <c r="E174" s="27">
        <v>831</v>
      </c>
      <c r="F174" s="27">
        <v>3</v>
      </c>
      <c r="G174" s="27">
        <v>20</v>
      </c>
      <c r="H174" s="27">
        <v>16620</v>
      </c>
      <c r="I174" s="5">
        <v>498.6</v>
      </c>
      <c r="J174" s="27">
        <v>16121.4</v>
      </c>
      <c r="K174" s="27">
        <v>8310</v>
      </c>
      <c r="L174" s="5">
        <v>7811.4</v>
      </c>
      <c r="M174" s="28">
        <v>41760</v>
      </c>
      <c r="N174" s="3">
        <v>5</v>
      </c>
      <c r="O174" s="29" t="s">
        <v>44</v>
      </c>
      <c r="P174" s="3">
        <v>2014</v>
      </c>
      <c r="Q174" s="6">
        <f>New_Finance_Data[[#This Row],[ Profit ]]/New_Finance_Data[[#This Row],[  Sales ]]</f>
        <v>0.4845360824742268</v>
      </c>
      <c r="R174" t="str">
        <f>IF(New_Finance_Data[[#This Row],[  Sales ]]&gt;=100000,"High",IF(New_Finance_Data[[#This Row],[  Sales ]]&gt;=50000,"Medium","Low"))</f>
        <v>Low</v>
      </c>
      <c r="S174" t="str">
        <f>IF(OR(ISBLANK(New_Finance_Data[[#This Row],[  Sales ]]),ISBLANK(New_Finance_Data[[#This Row],[ Profit ]])),"Missing","OK")</f>
        <v>OK</v>
      </c>
      <c r="T174" t="str">
        <f>TEXT(New_Finance_Data[[#This Row],[Date]],"MMM-YYYY")</f>
        <v>May-2014</v>
      </c>
      <c r="U174" t="str">
        <f>IF(New_Finance_Data[[#This Row],[ Profit ]]&gt;0,"Profit","Loss")</f>
        <v>Profit</v>
      </c>
      <c r="V174" t="str">
        <f>IF(New_Finance_Data[[#This Row],[  Sales ]]&gt;=50000,"High Sales","Low Sales")</f>
        <v>Low Sales</v>
      </c>
      <c r="W174" t="b">
        <f>ISNUMBER(New_Finance_Data[[#This Row],[Date]])</f>
        <v>1</v>
      </c>
    </row>
    <row r="175" spans="1:23" x14ac:dyDescent="0.2">
      <c r="A175" t="s">
        <v>15</v>
      </c>
      <c r="B175" t="s">
        <v>24</v>
      </c>
      <c r="C175" t="s">
        <v>36</v>
      </c>
      <c r="D175" t="s">
        <v>43</v>
      </c>
      <c r="E175" s="27">
        <v>1760</v>
      </c>
      <c r="F175" s="27">
        <v>10</v>
      </c>
      <c r="G175" s="27">
        <v>7</v>
      </c>
      <c r="H175" s="27">
        <v>12320</v>
      </c>
      <c r="I175" s="5">
        <v>369.6</v>
      </c>
      <c r="J175" s="27">
        <v>11950.4</v>
      </c>
      <c r="K175" s="27">
        <v>8800</v>
      </c>
      <c r="L175" s="5">
        <v>3150.4</v>
      </c>
      <c r="M175" s="28">
        <v>41518</v>
      </c>
      <c r="N175" s="3">
        <v>9</v>
      </c>
      <c r="O175" s="29" t="s">
        <v>33</v>
      </c>
      <c r="P175" s="3">
        <v>2013</v>
      </c>
      <c r="Q175" s="6">
        <f>New_Finance_Data[[#This Row],[ Profit ]]/New_Finance_Data[[#This Row],[  Sales ]]</f>
        <v>0.26362297496318116</v>
      </c>
      <c r="R175" t="str">
        <f>IF(New_Finance_Data[[#This Row],[  Sales ]]&gt;=100000,"High",IF(New_Finance_Data[[#This Row],[  Sales ]]&gt;=50000,"Medium","Low"))</f>
        <v>Low</v>
      </c>
      <c r="S175" t="str">
        <f>IF(OR(ISBLANK(New_Finance_Data[[#This Row],[  Sales ]]),ISBLANK(New_Finance_Data[[#This Row],[ Profit ]])),"Missing","OK")</f>
        <v>OK</v>
      </c>
      <c r="T175" t="str">
        <f>TEXT(New_Finance_Data[[#This Row],[Date]],"MMM-YYYY")</f>
        <v>Sep-2013</v>
      </c>
      <c r="U175" t="str">
        <f>IF(New_Finance_Data[[#This Row],[ Profit ]]&gt;0,"Profit","Loss")</f>
        <v>Profit</v>
      </c>
      <c r="V175" t="str">
        <f>IF(New_Finance_Data[[#This Row],[  Sales ]]&gt;=50000,"High Sales","Low Sales")</f>
        <v>Low Sales</v>
      </c>
      <c r="W175" t="b">
        <f>ISNUMBER(New_Finance_Data[[#This Row],[Date]])</f>
        <v>1</v>
      </c>
    </row>
    <row r="176" spans="1:23" x14ac:dyDescent="0.2">
      <c r="A176" t="s">
        <v>15</v>
      </c>
      <c r="B176" t="s">
        <v>16</v>
      </c>
      <c r="C176" t="s">
        <v>39</v>
      </c>
      <c r="D176" t="s">
        <v>43</v>
      </c>
      <c r="E176" s="27">
        <v>3850.5</v>
      </c>
      <c r="F176" s="27">
        <v>120</v>
      </c>
      <c r="G176" s="27">
        <v>20</v>
      </c>
      <c r="H176" s="27">
        <v>77010</v>
      </c>
      <c r="I176" s="5">
        <v>2310.3000000000002</v>
      </c>
      <c r="J176" s="27">
        <v>74699.7</v>
      </c>
      <c r="K176" s="27">
        <v>38505</v>
      </c>
      <c r="L176" s="5">
        <v>36194.699999999997</v>
      </c>
      <c r="M176" s="28">
        <v>41730</v>
      </c>
      <c r="N176" s="3">
        <v>4</v>
      </c>
      <c r="O176" s="29" t="s">
        <v>41</v>
      </c>
      <c r="P176" s="3">
        <v>2014</v>
      </c>
      <c r="Q176" s="6">
        <f>New_Finance_Data[[#This Row],[ Profit ]]/New_Finance_Data[[#This Row],[  Sales ]]</f>
        <v>0.4845360824742268</v>
      </c>
      <c r="R176" t="str">
        <f>IF(New_Finance_Data[[#This Row],[  Sales ]]&gt;=100000,"High",IF(New_Finance_Data[[#This Row],[  Sales ]]&gt;=50000,"Medium","Low"))</f>
        <v>Medium</v>
      </c>
      <c r="S176" t="str">
        <f>IF(OR(ISBLANK(New_Finance_Data[[#This Row],[  Sales ]]),ISBLANK(New_Finance_Data[[#This Row],[ Profit ]])),"Missing","OK")</f>
        <v>OK</v>
      </c>
      <c r="T176" t="str">
        <f>TEXT(New_Finance_Data[[#This Row],[Date]],"MMM-YYYY")</f>
        <v>Apr-2014</v>
      </c>
      <c r="U176" t="str">
        <f>IF(New_Finance_Data[[#This Row],[ Profit ]]&gt;0,"Profit","Loss")</f>
        <v>Profit</v>
      </c>
      <c r="V176" t="str">
        <f>IF(New_Finance_Data[[#This Row],[  Sales ]]&gt;=50000,"High Sales","Low Sales")</f>
        <v>High Sales</v>
      </c>
      <c r="W176" t="b">
        <f>ISNUMBER(New_Finance_Data[[#This Row],[Date]])</f>
        <v>1</v>
      </c>
    </row>
    <row r="177" spans="1:23" x14ac:dyDescent="0.2">
      <c r="A177" t="s">
        <v>28</v>
      </c>
      <c r="B177" t="s">
        <v>20</v>
      </c>
      <c r="C177" t="s">
        <v>40</v>
      </c>
      <c r="D177" t="s">
        <v>43</v>
      </c>
      <c r="E177" s="27">
        <v>2479</v>
      </c>
      <c r="F177" s="27">
        <v>250</v>
      </c>
      <c r="G177" s="27">
        <v>12</v>
      </c>
      <c r="H177" s="27">
        <v>29748</v>
      </c>
      <c r="I177" s="5">
        <v>892.44</v>
      </c>
      <c r="J177" s="27">
        <v>28855.56</v>
      </c>
      <c r="K177" s="27">
        <v>7437</v>
      </c>
      <c r="L177" s="5">
        <v>21418.560000000001</v>
      </c>
      <c r="M177" s="28">
        <v>41640</v>
      </c>
      <c r="N177" s="3">
        <v>1</v>
      </c>
      <c r="O177" s="29" t="s">
        <v>19</v>
      </c>
      <c r="P177" s="3">
        <v>2014</v>
      </c>
      <c r="Q177" s="6">
        <f>New_Finance_Data[[#This Row],[ Profit ]]/New_Finance_Data[[#This Row],[  Sales ]]</f>
        <v>0.74226804123711343</v>
      </c>
      <c r="R177" t="str">
        <f>IF(New_Finance_Data[[#This Row],[  Sales ]]&gt;=100000,"High",IF(New_Finance_Data[[#This Row],[  Sales ]]&gt;=50000,"Medium","Low"))</f>
        <v>Low</v>
      </c>
      <c r="S177" t="str">
        <f>IF(OR(ISBLANK(New_Finance_Data[[#This Row],[  Sales ]]),ISBLANK(New_Finance_Data[[#This Row],[ Profit ]])),"Missing","OK")</f>
        <v>OK</v>
      </c>
      <c r="T177" t="str">
        <f>TEXT(New_Finance_Data[[#This Row],[Date]],"MMM-YYYY")</f>
        <v>Jan-2014</v>
      </c>
      <c r="U177" t="str">
        <f>IF(New_Finance_Data[[#This Row],[ Profit ]]&gt;0,"Profit","Loss")</f>
        <v>Profit</v>
      </c>
      <c r="V177" t="str">
        <f>IF(New_Finance_Data[[#This Row],[  Sales ]]&gt;=50000,"High Sales","Low Sales")</f>
        <v>Low Sales</v>
      </c>
      <c r="W177" t="b">
        <f>ISNUMBER(New_Finance_Data[[#This Row],[Date]])</f>
        <v>1</v>
      </c>
    </row>
    <row r="178" spans="1:23" x14ac:dyDescent="0.2">
      <c r="A178" t="s">
        <v>21</v>
      </c>
      <c r="B178" t="s">
        <v>24</v>
      </c>
      <c r="C178" t="s">
        <v>26</v>
      </c>
      <c r="D178" t="s">
        <v>43</v>
      </c>
      <c r="E178" s="27">
        <v>2031</v>
      </c>
      <c r="F178" s="27">
        <v>5</v>
      </c>
      <c r="G178" s="27">
        <v>15</v>
      </c>
      <c r="H178" s="27">
        <v>30465</v>
      </c>
      <c r="I178" s="5">
        <v>1218.5999999999999</v>
      </c>
      <c r="J178" s="27">
        <v>29246.400000000001</v>
      </c>
      <c r="K178" s="27">
        <v>20310</v>
      </c>
      <c r="L178" s="5">
        <v>8936.4</v>
      </c>
      <c r="M178" s="28">
        <v>41913</v>
      </c>
      <c r="N178" s="3">
        <v>10</v>
      </c>
      <c r="O178" s="29" t="s">
        <v>34</v>
      </c>
      <c r="P178" s="3">
        <v>2014</v>
      </c>
      <c r="Q178" s="6">
        <f>New_Finance_Data[[#This Row],[ Profit ]]/New_Finance_Data[[#This Row],[  Sales ]]</f>
        <v>0.30555555555555552</v>
      </c>
      <c r="R178" t="str">
        <f>IF(New_Finance_Data[[#This Row],[  Sales ]]&gt;=100000,"High",IF(New_Finance_Data[[#This Row],[  Sales ]]&gt;=50000,"Medium","Low"))</f>
        <v>Low</v>
      </c>
      <c r="S178" t="str">
        <f>IF(OR(ISBLANK(New_Finance_Data[[#This Row],[  Sales ]]),ISBLANK(New_Finance_Data[[#This Row],[ Profit ]])),"Missing","OK")</f>
        <v>OK</v>
      </c>
      <c r="T178" t="str">
        <f>TEXT(New_Finance_Data[[#This Row],[Date]],"MMM-YYYY")</f>
        <v>Oct-2014</v>
      </c>
      <c r="U178" t="str">
        <f>IF(New_Finance_Data[[#This Row],[ Profit ]]&gt;0,"Profit","Loss")</f>
        <v>Profit</v>
      </c>
      <c r="V178" t="str">
        <f>IF(New_Finance_Data[[#This Row],[  Sales ]]&gt;=50000,"High Sales","Low Sales")</f>
        <v>Low Sales</v>
      </c>
      <c r="W178" t="b">
        <f>ISNUMBER(New_Finance_Data[[#This Row],[Date]])</f>
        <v>1</v>
      </c>
    </row>
    <row r="179" spans="1:23" x14ac:dyDescent="0.2">
      <c r="A179" t="s">
        <v>21</v>
      </c>
      <c r="B179" t="s">
        <v>24</v>
      </c>
      <c r="C179" t="s">
        <v>36</v>
      </c>
      <c r="D179" t="s">
        <v>43</v>
      </c>
      <c r="E179" s="27">
        <v>2031</v>
      </c>
      <c r="F179" s="27">
        <v>10</v>
      </c>
      <c r="G179" s="27">
        <v>15</v>
      </c>
      <c r="H179" s="27">
        <v>30465</v>
      </c>
      <c r="I179" s="5">
        <v>1218.5999999999999</v>
      </c>
      <c r="J179" s="27">
        <v>29246.400000000001</v>
      </c>
      <c r="K179" s="27">
        <v>20310</v>
      </c>
      <c r="L179" s="5">
        <v>8936.4</v>
      </c>
      <c r="M179" s="28">
        <v>41913</v>
      </c>
      <c r="N179" s="3">
        <v>10</v>
      </c>
      <c r="O179" s="29" t="s">
        <v>34</v>
      </c>
      <c r="P179" s="3">
        <v>2014</v>
      </c>
      <c r="Q179" s="6">
        <f>New_Finance_Data[[#This Row],[ Profit ]]/New_Finance_Data[[#This Row],[  Sales ]]</f>
        <v>0.30555555555555552</v>
      </c>
      <c r="R179" t="str">
        <f>IF(New_Finance_Data[[#This Row],[  Sales ]]&gt;=100000,"High",IF(New_Finance_Data[[#This Row],[  Sales ]]&gt;=50000,"Medium","Low"))</f>
        <v>Low</v>
      </c>
      <c r="S179" t="str">
        <f>IF(OR(ISBLANK(New_Finance_Data[[#This Row],[  Sales ]]),ISBLANK(New_Finance_Data[[#This Row],[ Profit ]])),"Missing","OK")</f>
        <v>OK</v>
      </c>
      <c r="T179" t="str">
        <f>TEXT(New_Finance_Data[[#This Row],[Date]],"MMM-YYYY")</f>
        <v>Oct-2014</v>
      </c>
      <c r="U179" t="str">
        <f>IF(New_Finance_Data[[#This Row],[ Profit ]]&gt;0,"Profit","Loss")</f>
        <v>Profit</v>
      </c>
      <c r="V179" t="str">
        <f>IF(New_Finance_Data[[#This Row],[  Sales ]]&gt;=50000,"High Sales","Low Sales")</f>
        <v>Low Sales</v>
      </c>
      <c r="W179" t="b">
        <f>ISNUMBER(New_Finance_Data[[#This Row],[Date]])</f>
        <v>1</v>
      </c>
    </row>
    <row r="180" spans="1:23" x14ac:dyDescent="0.2">
      <c r="A180" t="s">
        <v>21</v>
      </c>
      <c r="B180" t="s">
        <v>22</v>
      </c>
      <c r="C180" t="s">
        <v>36</v>
      </c>
      <c r="D180" t="s">
        <v>43</v>
      </c>
      <c r="E180" s="27">
        <v>2261</v>
      </c>
      <c r="F180" s="27">
        <v>10</v>
      </c>
      <c r="G180" s="27">
        <v>15</v>
      </c>
      <c r="H180" s="27">
        <v>33915</v>
      </c>
      <c r="I180" s="5">
        <v>1356.6</v>
      </c>
      <c r="J180" s="27">
        <v>32558.400000000001</v>
      </c>
      <c r="K180" s="27">
        <v>22610</v>
      </c>
      <c r="L180" s="5">
        <v>9948.4</v>
      </c>
      <c r="M180" s="28">
        <v>41609</v>
      </c>
      <c r="N180" s="3">
        <v>12</v>
      </c>
      <c r="O180" s="29" t="s">
        <v>25</v>
      </c>
      <c r="P180" s="3">
        <v>2013</v>
      </c>
      <c r="Q180" s="6">
        <f>New_Finance_Data[[#This Row],[ Profit ]]/New_Finance_Data[[#This Row],[  Sales ]]</f>
        <v>0.30555555555555552</v>
      </c>
      <c r="R180" t="str">
        <f>IF(New_Finance_Data[[#This Row],[  Sales ]]&gt;=100000,"High",IF(New_Finance_Data[[#This Row],[  Sales ]]&gt;=50000,"Medium","Low"))</f>
        <v>Low</v>
      </c>
      <c r="S180" t="str">
        <f>IF(OR(ISBLANK(New_Finance_Data[[#This Row],[  Sales ]]),ISBLANK(New_Finance_Data[[#This Row],[ Profit ]])),"Missing","OK")</f>
        <v>OK</v>
      </c>
      <c r="T180" t="str">
        <f>TEXT(New_Finance_Data[[#This Row],[Date]],"MMM-YYYY")</f>
        <v>Dec-2013</v>
      </c>
      <c r="U180" t="str">
        <f>IF(New_Finance_Data[[#This Row],[ Profit ]]&gt;0,"Profit","Loss")</f>
        <v>Profit</v>
      </c>
      <c r="V180" t="str">
        <f>IF(New_Finance_Data[[#This Row],[  Sales ]]&gt;=50000,"High Sales","Low Sales")</f>
        <v>Low Sales</v>
      </c>
      <c r="W180" t="b">
        <f>ISNUMBER(New_Finance_Data[[#This Row],[Date]])</f>
        <v>1</v>
      </c>
    </row>
    <row r="181" spans="1:23" x14ac:dyDescent="0.2">
      <c r="A181" t="s">
        <v>15</v>
      </c>
      <c r="B181" t="s">
        <v>35</v>
      </c>
      <c r="C181" t="s">
        <v>39</v>
      </c>
      <c r="D181" t="s">
        <v>43</v>
      </c>
      <c r="E181" s="27">
        <v>736</v>
      </c>
      <c r="F181" s="27">
        <v>120</v>
      </c>
      <c r="G181" s="27">
        <v>20</v>
      </c>
      <c r="H181" s="27">
        <v>14720</v>
      </c>
      <c r="I181" s="5">
        <v>588.79999999999995</v>
      </c>
      <c r="J181" s="27">
        <v>14131.2</v>
      </c>
      <c r="K181" s="27">
        <v>7360</v>
      </c>
      <c r="L181" s="5">
        <v>6771.2</v>
      </c>
      <c r="M181" s="28">
        <v>41518</v>
      </c>
      <c r="N181" s="3">
        <v>9</v>
      </c>
      <c r="O181" s="29" t="s">
        <v>33</v>
      </c>
      <c r="P181" s="3">
        <v>2013</v>
      </c>
      <c r="Q181" s="6">
        <f>New_Finance_Data[[#This Row],[ Profit ]]/New_Finance_Data[[#This Row],[  Sales ]]</f>
        <v>0.47916666666666663</v>
      </c>
      <c r="R181" t="str">
        <f>IF(New_Finance_Data[[#This Row],[  Sales ]]&gt;=100000,"High",IF(New_Finance_Data[[#This Row],[  Sales ]]&gt;=50000,"Medium","Low"))</f>
        <v>Low</v>
      </c>
      <c r="S181" t="str">
        <f>IF(OR(ISBLANK(New_Finance_Data[[#This Row],[  Sales ]]),ISBLANK(New_Finance_Data[[#This Row],[ Profit ]])),"Missing","OK")</f>
        <v>OK</v>
      </c>
      <c r="T181" t="str">
        <f>TEXT(New_Finance_Data[[#This Row],[Date]],"MMM-YYYY")</f>
        <v>Sep-2013</v>
      </c>
      <c r="U181" t="str">
        <f>IF(New_Finance_Data[[#This Row],[ Profit ]]&gt;0,"Profit","Loss")</f>
        <v>Profit</v>
      </c>
      <c r="V181" t="str">
        <f>IF(New_Finance_Data[[#This Row],[  Sales ]]&gt;=50000,"High Sales","Low Sales")</f>
        <v>Low Sales</v>
      </c>
      <c r="W181" t="b">
        <f>ISNUMBER(New_Finance_Data[[#This Row],[Date]])</f>
        <v>1</v>
      </c>
    </row>
    <row r="182" spans="1:23" x14ac:dyDescent="0.2">
      <c r="A182" t="s">
        <v>15</v>
      </c>
      <c r="B182" t="s">
        <v>16</v>
      </c>
      <c r="C182" t="s">
        <v>17</v>
      </c>
      <c r="D182" t="s">
        <v>43</v>
      </c>
      <c r="E182" s="27">
        <v>2851</v>
      </c>
      <c r="F182" s="27">
        <v>3</v>
      </c>
      <c r="G182" s="27">
        <v>7</v>
      </c>
      <c r="H182" s="27">
        <v>19957</v>
      </c>
      <c r="I182" s="5">
        <v>798.28</v>
      </c>
      <c r="J182" s="27">
        <v>19158.72</v>
      </c>
      <c r="K182" s="27">
        <v>14255</v>
      </c>
      <c r="L182" s="5">
        <v>4903.72</v>
      </c>
      <c r="M182" s="28">
        <v>41548</v>
      </c>
      <c r="N182" s="3">
        <v>10</v>
      </c>
      <c r="O182" s="29" t="s">
        <v>34</v>
      </c>
      <c r="P182" s="3">
        <v>2013</v>
      </c>
      <c r="Q182" s="6">
        <f>New_Finance_Data[[#This Row],[ Profit ]]/New_Finance_Data[[#This Row],[  Sales ]]</f>
        <v>0.25595238095238093</v>
      </c>
      <c r="R182" t="str">
        <f>IF(New_Finance_Data[[#This Row],[  Sales ]]&gt;=100000,"High",IF(New_Finance_Data[[#This Row],[  Sales ]]&gt;=50000,"Medium","Low"))</f>
        <v>Low</v>
      </c>
      <c r="S182" t="str">
        <f>IF(OR(ISBLANK(New_Finance_Data[[#This Row],[  Sales ]]),ISBLANK(New_Finance_Data[[#This Row],[ Profit ]])),"Missing","OK")</f>
        <v>OK</v>
      </c>
      <c r="T182" t="str">
        <f>TEXT(New_Finance_Data[[#This Row],[Date]],"MMM-YYYY")</f>
        <v>Oct-2013</v>
      </c>
      <c r="U182" t="str">
        <f>IF(New_Finance_Data[[#This Row],[ Profit ]]&gt;0,"Profit","Loss")</f>
        <v>Profit</v>
      </c>
      <c r="V182" t="str">
        <f>IF(New_Finance_Data[[#This Row],[  Sales ]]&gt;=50000,"High Sales","Low Sales")</f>
        <v>Low Sales</v>
      </c>
      <c r="W182" t="b">
        <f>ISNUMBER(New_Finance_Data[[#This Row],[Date]])</f>
        <v>1</v>
      </c>
    </row>
    <row r="183" spans="1:23" x14ac:dyDescent="0.2">
      <c r="A183" t="s">
        <v>31</v>
      </c>
      <c r="B183" t="s">
        <v>20</v>
      </c>
      <c r="C183" t="s">
        <v>17</v>
      </c>
      <c r="D183" t="s">
        <v>43</v>
      </c>
      <c r="E183" s="27">
        <v>2021</v>
      </c>
      <c r="F183" s="27">
        <v>3</v>
      </c>
      <c r="G183" s="27">
        <v>300</v>
      </c>
      <c r="H183" s="27">
        <v>606300</v>
      </c>
      <c r="I183" s="5">
        <v>24252</v>
      </c>
      <c r="J183" s="27">
        <v>582048</v>
      </c>
      <c r="K183" s="27">
        <v>505250</v>
      </c>
      <c r="L183" s="5">
        <v>76798</v>
      </c>
      <c r="M183" s="28">
        <v>41913</v>
      </c>
      <c r="N183" s="3">
        <v>10</v>
      </c>
      <c r="O183" s="29" t="s">
        <v>34</v>
      </c>
      <c r="P183" s="3">
        <v>2014</v>
      </c>
      <c r="Q183" s="6">
        <f>New_Finance_Data[[#This Row],[ Profit ]]/New_Finance_Data[[#This Row],[  Sales ]]</f>
        <v>0.13194444444444445</v>
      </c>
      <c r="R183" t="str">
        <f>IF(New_Finance_Data[[#This Row],[  Sales ]]&gt;=100000,"High",IF(New_Finance_Data[[#This Row],[  Sales ]]&gt;=50000,"Medium","Low"))</f>
        <v>High</v>
      </c>
      <c r="S183" t="str">
        <f>IF(OR(ISBLANK(New_Finance_Data[[#This Row],[  Sales ]]),ISBLANK(New_Finance_Data[[#This Row],[ Profit ]])),"Missing","OK")</f>
        <v>OK</v>
      </c>
      <c r="T183" t="str">
        <f>TEXT(New_Finance_Data[[#This Row],[Date]],"MMM-YYYY")</f>
        <v>Oct-2014</v>
      </c>
      <c r="U183" t="str">
        <f>IF(New_Finance_Data[[#This Row],[ Profit ]]&gt;0,"Profit","Loss")</f>
        <v>Profit</v>
      </c>
      <c r="V183" t="str">
        <f>IF(New_Finance_Data[[#This Row],[  Sales ]]&gt;=50000,"High Sales","Low Sales")</f>
        <v>High Sales</v>
      </c>
      <c r="W183" t="b">
        <f>ISNUMBER(New_Finance_Data[[#This Row],[Date]])</f>
        <v>1</v>
      </c>
    </row>
    <row r="184" spans="1:23" x14ac:dyDescent="0.2">
      <c r="A184" t="s">
        <v>15</v>
      </c>
      <c r="B184" t="s">
        <v>35</v>
      </c>
      <c r="C184" t="s">
        <v>17</v>
      </c>
      <c r="D184" t="s">
        <v>43</v>
      </c>
      <c r="E184" s="27">
        <v>274</v>
      </c>
      <c r="F184" s="27">
        <v>3</v>
      </c>
      <c r="G184" s="27">
        <v>350</v>
      </c>
      <c r="H184" s="27">
        <v>95900</v>
      </c>
      <c r="I184" s="5">
        <v>3836</v>
      </c>
      <c r="J184" s="27">
        <v>92064</v>
      </c>
      <c r="K184" s="27">
        <v>71240</v>
      </c>
      <c r="L184" s="5">
        <v>20824</v>
      </c>
      <c r="M184" s="28">
        <v>41974</v>
      </c>
      <c r="N184" s="3">
        <v>12</v>
      </c>
      <c r="O184" s="29" t="s">
        <v>25</v>
      </c>
      <c r="P184" s="3">
        <v>2014</v>
      </c>
      <c r="Q184" s="6">
        <f>New_Finance_Data[[#This Row],[ Profit ]]/New_Finance_Data[[#This Row],[  Sales ]]</f>
        <v>0.22619047619047619</v>
      </c>
      <c r="R184" t="str">
        <f>IF(New_Finance_Data[[#This Row],[  Sales ]]&gt;=100000,"High",IF(New_Finance_Data[[#This Row],[  Sales ]]&gt;=50000,"Medium","Low"))</f>
        <v>Medium</v>
      </c>
      <c r="S184" t="str">
        <f>IF(OR(ISBLANK(New_Finance_Data[[#This Row],[  Sales ]]),ISBLANK(New_Finance_Data[[#This Row],[ Profit ]])),"Missing","OK")</f>
        <v>OK</v>
      </c>
      <c r="T184" t="str">
        <f>TEXT(New_Finance_Data[[#This Row],[Date]],"MMM-YYYY")</f>
        <v>Dec-2014</v>
      </c>
      <c r="U184" t="str">
        <f>IF(New_Finance_Data[[#This Row],[ Profit ]]&gt;0,"Profit","Loss")</f>
        <v>Profit</v>
      </c>
      <c r="V184" t="str">
        <f>IF(New_Finance_Data[[#This Row],[  Sales ]]&gt;=50000,"High Sales","Low Sales")</f>
        <v>High Sales</v>
      </c>
      <c r="W184" t="b">
        <f>ISNUMBER(New_Finance_Data[[#This Row],[Date]])</f>
        <v>1</v>
      </c>
    </row>
    <row r="185" spans="1:23" x14ac:dyDescent="0.2">
      <c r="A185" t="s">
        <v>21</v>
      </c>
      <c r="B185" t="s">
        <v>16</v>
      </c>
      <c r="C185" t="s">
        <v>26</v>
      </c>
      <c r="D185" t="s">
        <v>43</v>
      </c>
      <c r="E185" s="27">
        <v>1967</v>
      </c>
      <c r="F185" s="27">
        <v>5</v>
      </c>
      <c r="G185" s="27">
        <v>15</v>
      </c>
      <c r="H185" s="27">
        <v>29505</v>
      </c>
      <c r="I185" s="5">
        <v>1180.2</v>
      </c>
      <c r="J185" s="27">
        <v>28324.799999999999</v>
      </c>
      <c r="K185" s="27">
        <v>19670</v>
      </c>
      <c r="L185" s="5">
        <v>8654.7999999999993</v>
      </c>
      <c r="M185" s="28">
        <v>41699</v>
      </c>
      <c r="N185" s="3">
        <v>3</v>
      </c>
      <c r="O185" s="29" t="s">
        <v>27</v>
      </c>
      <c r="P185" s="3">
        <v>2014</v>
      </c>
      <c r="Q185" s="6">
        <f>New_Finance_Data[[#This Row],[ Profit ]]/New_Finance_Data[[#This Row],[  Sales ]]</f>
        <v>0.30555555555555552</v>
      </c>
      <c r="R185" t="str">
        <f>IF(New_Finance_Data[[#This Row],[  Sales ]]&gt;=100000,"High",IF(New_Finance_Data[[#This Row],[  Sales ]]&gt;=50000,"Medium","Low"))</f>
        <v>Low</v>
      </c>
      <c r="S185" t="str">
        <f>IF(OR(ISBLANK(New_Finance_Data[[#This Row],[  Sales ]]),ISBLANK(New_Finance_Data[[#This Row],[ Profit ]])),"Missing","OK")</f>
        <v>OK</v>
      </c>
      <c r="T185" t="str">
        <f>TEXT(New_Finance_Data[[#This Row],[Date]],"MMM-YYYY")</f>
        <v>Mar-2014</v>
      </c>
      <c r="U185" t="str">
        <f>IF(New_Finance_Data[[#This Row],[ Profit ]]&gt;0,"Profit","Loss")</f>
        <v>Profit</v>
      </c>
      <c r="V185" t="str">
        <f>IF(New_Finance_Data[[#This Row],[  Sales ]]&gt;=50000,"High Sales","Low Sales")</f>
        <v>Low Sales</v>
      </c>
      <c r="W185" t="b">
        <f>ISNUMBER(New_Finance_Data[[#This Row],[Date]])</f>
        <v>1</v>
      </c>
    </row>
    <row r="186" spans="1:23" x14ac:dyDescent="0.2">
      <c r="A186" t="s">
        <v>31</v>
      </c>
      <c r="B186" t="s">
        <v>20</v>
      </c>
      <c r="C186" t="s">
        <v>26</v>
      </c>
      <c r="D186" t="s">
        <v>43</v>
      </c>
      <c r="E186" s="27">
        <v>1859</v>
      </c>
      <c r="F186" s="27">
        <v>5</v>
      </c>
      <c r="G186" s="27">
        <v>300</v>
      </c>
      <c r="H186" s="27">
        <v>557700</v>
      </c>
      <c r="I186" s="5">
        <v>22308</v>
      </c>
      <c r="J186" s="27">
        <v>535392</v>
      </c>
      <c r="K186" s="27">
        <v>464750</v>
      </c>
      <c r="L186" s="5">
        <v>70642</v>
      </c>
      <c r="M186" s="28">
        <v>41852</v>
      </c>
      <c r="N186" s="3">
        <v>8</v>
      </c>
      <c r="O186" s="29" t="s">
        <v>32</v>
      </c>
      <c r="P186" s="3">
        <v>2014</v>
      </c>
      <c r="Q186" s="6">
        <f>New_Finance_Data[[#This Row],[ Profit ]]/New_Finance_Data[[#This Row],[  Sales ]]</f>
        <v>0.13194444444444445</v>
      </c>
      <c r="R186" t="str">
        <f>IF(New_Finance_Data[[#This Row],[  Sales ]]&gt;=100000,"High",IF(New_Finance_Data[[#This Row],[  Sales ]]&gt;=50000,"Medium","Low"))</f>
        <v>High</v>
      </c>
      <c r="S186" t="str">
        <f>IF(OR(ISBLANK(New_Finance_Data[[#This Row],[  Sales ]]),ISBLANK(New_Finance_Data[[#This Row],[ Profit ]])),"Missing","OK")</f>
        <v>OK</v>
      </c>
      <c r="T186" t="str">
        <f>TEXT(New_Finance_Data[[#This Row],[Date]],"MMM-YYYY")</f>
        <v>Aug-2014</v>
      </c>
      <c r="U186" t="str">
        <f>IF(New_Finance_Data[[#This Row],[ Profit ]]&gt;0,"Profit","Loss")</f>
        <v>Profit</v>
      </c>
      <c r="V186" t="str">
        <f>IF(New_Finance_Data[[#This Row],[  Sales ]]&gt;=50000,"High Sales","Low Sales")</f>
        <v>High Sales</v>
      </c>
      <c r="W186" t="b">
        <f>ISNUMBER(New_Finance_Data[[#This Row],[Date]])</f>
        <v>1</v>
      </c>
    </row>
    <row r="187" spans="1:23" x14ac:dyDescent="0.2">
      <c r="A187" t="s">
        <v>15</v>
      </c>
      <c r="B187" t="s">
        <v>16</v>
      </c>
      <c r="C187" t="s">
        <v>26</v>
      </c>
      <c r="D187" t="s">
        <v>43</v>
      </c>
      <c r="E187" s="27">
        <v>2851</v>
      </c>
      <c r="F187" s="27">
        <v>5</v>
      </c>
      <c r="G187" s="27">
        <v>7</v>
      </c>
      <c r="H187" s="27">
        <v>19957</v>
      </c>
      <c r="I187" s="5">
        <v>798.28</v>
      </c>
      <c r="J187" s="27">
        <v>19158.72</v>
      </c>
      <c r="K187" s="27">
        <v>14255</v>
      </c>
      <c r="L187" s="5">
        <v>4903.72</v>
      </c>
      <c r="M187" s="28">
        <v>41548</v>
      </c>
      <c r="N187" s="3">
        <v>10</v>
      </c>
      <c r="O187" s="29" t="s">
        <v>34</v>
      </c>
      <c r="P187" s="3">
        <v>2013</v>
      </c>
      <c r="Q187" s="6">
        <f>New_Finance_Data[[#This Row],[ Profit ]]/New_Finance_Data[[#This Row],[  Sales ]]</f>
        <v>0.25595238095238093</v>
      </c>
      <c r="R187" t="str">
        <f>IF(New_Finance_Data[[#This Row],[  Sales ]]&gt;=100000,"High",IF(New_Finance_Data[[#This Row],[  Sales ]]&gt;=50000,"Medium","Low"))</f>
        <v>Low</v>
      </c>
      <c r="S187" t="str">
        <f>IF(OR(ISBLANK(New_Finance_Data[[#This Row],[  Sales ]]),ISBLANK(New_Finance_Data[[#This Row],[ Profit ]])),"Missing","OK")</f>
        <v>OK</v>
      </c>
      <c r="T187" t="str">
        <f>TEXT(New_Finance_Data[[#This Row],[Date]],"MMM-YYYY")</f>
        <v>Oct-2013</v>
      </c>
      <c r="U187" t="str">
        <f>IF(New_Finance_Data[[#This Row],[ Profit ]]&gt;0,"Profit","Loss")</f>
        <v>Profit</v>
      </c>
      <c r="V187" t="str">
        <f>IF(New_Finance_Data[[#This Row],[  Sales ]]&gt;=50000,"High Sales","Low Sales")</f>
        <v>Low Sales</v>
      </c>
      <c r="W187" t="b">
        <f>ISNUMBER(New_Finance_Data[[#This Row],[Date]])</f>
        <v>1</v>
      </c>
    </row>
    <row r="188" spans="1:23" x14ac:dyDescent="0.2">
      <c r="A188" t="s">
        <v>31</v>
      </c>
      <c r="B188" t="s">
        <v>20</v>
      </c>
      <c r="C188" t="s">
        <v>26</v>
      </c>
      <c r="D188" t="s">
        <v>43</v>
      </c>
      <c r="E188" s="27">
        <v>2021</v>
      </c>
      <c r="F188" s="27">
        <v>5</v>
      </c>
      <c r="G188" s="27">
        <v>300</v>
      </c>
      <c r="H188" s="27">
        <v>606300</v>
      </c>
      <c r="I188" s="5">
        <v>24252</v>
      </c>
      <c r="J188" s="27">
        <v>582048</v>
      </c>
      <c r="K188" s="27">
        <v>505250</v>
      </c>
      <c r="L188" s="5">
        <v>76798</v>
      </c>
      <c r="M188" s="28">
        <v>41913</v>
      </c>
      <c r="N188" s="3">
        <v>10</v>
      </c>
      <c r="O188" s="29" t="s">
        <v>34</v>
      </c>
      <c r="P188" s="3">
        <v>2014</v>
      </c>
      <c r="Q188" s="6">
        <f>New_Finance_Data[[#This Row],[ Profit ]]/New_Finance_Data[[#This Row],[  Sales ]]</f>
        <v>0.13194444444444445</v>
      </c>
      <c r="R188" t="str">
        <f>IF(New_Finance_Data[[#This Row],[  Sales ]]&gt;=100000,"High",IF(New_Finance_Data[[#This Row],[  Sales ]]&gt;=50000,"Medium","Low"))</f>
        <v>High</v>
      </c>
      <c r="S188" t="str">
        <f>IF(OR(ISBLANK(New_Finance_Data[[#This Row],[  Sales ]]),ISBLANK(New_Finance_Data[[#This Row],[ Profit ]])),"Missing","OK")</f>
        <v>OK</v>
      </c>
      <c r="T188" t="str">
        <f>TEXT(New_Finance_Data[[#This Row],[Date]],"MMM-YYYY")</f>
        <v>Oct-2014</v>
      </c>
      <c r="U188" t="str">
        <f>IF(New_Finance_Data[[#This Row],[ Profit ]]&gt;0,"Profit","Loss")</f>
        <v>Profit</v>
      </c>
      <c r="V188" t="str">
        <f>IF(New_Finance_Data[[#This Row],[  Sales ]]&gt;=50000,"High Sales","Low Sales")</f>
        <v>High Sales</v>
      </c>
      <c r="W188" t="b">
        <f>ISNUMBER(New_Finance_Data[[#This Row],[Date]])</f>
        <v>1</v>
      </c>
    </row>
    <row r="189" spans="1:23" x14ac:dyDescent="0.2">
      <c r="A189" t="s">
        <v>29</v>
      </c>
      <c r="B189" t="s">
        <v>24</v>
      </c>
      <c r="C189" t="s">
        <v>26</v>
      </c>
      <c r="D189" t="s">
        <v>43</v>
      </c>
      <c r="E189" s="27">
        <v>1138</v>
      </c>
      <c r="F189" s="27">
        <v>5</v>
      </c>
      <c r="G189" s="27">
        <v>125</v>
      </c>
      <c r="H189" s="27">
        <v>142250</v>
      </c>
      <c r="I189" s="5">
        <v>5690</v>
      </c>
      <c r="J189" s="27">
        <v>136560</v>
      </c>
      <c r="K189" s="27">
        <v>136560</v>
      </c>
      <c r="L189" s="5">
        <v>0</v>
      </c>
      <c r="M189" s="28">
        <v>41974</v>
      </c>
      <c r="N189" s="3">
        <v>12</v>
      </c>
      <c r="O189" s="29" t="s">
        <v>25</v>
      </c>
      <c r="P189" s="3">
        <v>2014</v>
      </c>
      <c r="Q189" s="6">
        <f>New_Finance_Data[[#This Row],[ Profit ]]/New_Finance_Data[[#This Row],[  Sales ]]</f>
        <v>0</v>
      </c>
      <c r="R189" t="str">
        <f>IF(New_Finance_Data[[#This Row],[  Sales ]]&gt;=100000,"High",IF(New_Finance_Data[[#This Row],[  Sales ]]&gt;=50000,"Medium","Low"))</f>
        <v>High</v>
      </c>
      <c r="S189" t="str">
        <f>IF(OR(ISBLANK(New_Finance_Data[[#This Row],[  Sales ]]),ISBLANK(New_Finance_Data[[#This Row],[ Profit ]])),"Missing","OK")</f>
        <v>OK</v>
      </c>
      <c r="T189" t="str">
        <f>TEXT(New_Finance_Data[[#This Row],[Date]],"MMM-YYYY")</f>
        <v>Dec-2014</v>
      </c>
      <c r="U189" t="str">
        <f>IF(New_Finance_Data[[#This Row],[ Profit ]]&gt;0,"Profit","Loss")</f>
        <v>Loss</v>
      </c>
      <c r="V189" t="str">
        <f>IF(New_Finance_Data[[#This Row],[  Sales ]]&gt;=50000,"High Sales","Low Sales")</f>
        <v>High Sales</v>
      </c>
      <c r="W189" t="b">
        <f>ISNUMBER(New_Finance_Data[[#This Row],[Date]])</f>
        <v>1</v>
      </c>
    </row>
    <row r="190" spans="1:23" x14ac:dyDescent="0.2">
      <c r="A190" t="s">
        <v>15</v>
      </c>
      <c r="B190" t="s">
        <v>16</v>
      </c>
      <c r="C190" t="s">
        <v>36</v>
      </c>
      <c r="D190" t="s">
        <v>43</v>
      </c>
      <c r="E190" s="27">
        <v>4251</v>
      </c>
      <c r="F190" s="27">
        <v>10</v>
      </c>
      <c r="G190" s="27">
        <v>7</v>
      </c>
      <c r="H190" s="27">
        <v>29757</v>
      </c>
      <c r="I190" s="5">
        <v>1190.28</v>
      </c>
      <c r="J190" s="27">
        <v>28566.720000000001</v>
      </c>
      <c r="K190" s="27">
        <v>21255</v>
      </c>
      <c r="L190" s="5">
        <v>7311.72</v>
      </c>
      <c r="M190" s="28">
        <v>41640</v>
      </c>
      <c r="N190" s="3">
        <v>1</v>
      </c>
      <c r="O190" s="29" t="s">
        <v>19</v>
      </c>
      <c r="P190" s="3">
        <v>2014</v>
      </c>
      <c r="Q190" s="6">
        <f>New_Finance_Data[[#This Row],[ Profit ]]/New_Finance_Data[[#This Row],[  Sales ]]</f>
        <v>0.25595238095238093</v>
      </c>
      <c r="R190" t="str">
        <f>IF(New_Finance_Data[[#This Row],[  Sales ]]&gt;=100000,"High",IF(New_Finance_Data[[#This Row],[  Sales ]]&gt;=50000,"Medium","Low"))</f>
        <v>Low</v>
      </c>
      <c r="S190" t="str">
        <f>IF(OR(ISBLANK(New_Finance_Data[[#This Row],[  Sales ]]),ISBLANK(New_Finance_Data[[#This Row],[ Profit ]])),"Missing","OK")</f>
        <v>OK</v>
      </c>
      <c r="T190" t="str">
        <f>TEXT(New_Finance_Data[[#This Row],[Date]],"MMM-YYYY")</f>
        <v>Jan-2014</v>
      </c>
      <c r="U190" t="str">
        <f>IF(New_Finance_Data[[#This Row],[ Profit ]]&gt;0,"Profit","Loss")</f>
        <v>Profit</v>
      </c>
      <c r="V190" t="str">
        <f>IF(New_Finance_Data[[#This Row],[  Sales ]]&gt;=50000,"High Sales","Low Sales")</f>
        <v>Low Sales</v>
      </c>
      <c r="W190" t="b">
        <f>ISNUMBER(New_Finance_Data[[#This Row],[Date]])</f>
        <v>1</v>
      </c>
    </row>
    <row r="191" spans="1:23" x14ac:dyDescent="0.2">
      <c r="A191" t="s">
        <v>29</v>
      </c>
      <c r="B191" t="s">
        <v>20</v>
      </c>
      <c r="C191" t="s">
        <v>36</v>
      </c>
      <c r="D191" t="s">
        <v>43</v>
      </c>
      <c r="E191" s="27">
        <v>795</v>
      </c>
      <c r="F191" s="27">
        <v>10</v>
      </c>
      <c r="G191" s="27">
        <v>125</v>
      </c>
      <c r="H191" s="27">
        <v>99375</v>
      </c>
      <c r="I191" s="5">
        <v>3975</v>
      </c>
      <c r="J191" s="27">
        <v>95400</v>
      </c>
      <c r="K191" s="27">
        <v>95400</v>
      </c>
      <c r="L191" s="5">
        <v>0</v>
      </c>
      <c r="M191" s="28">
        <v>41699</v>
      </c>
      <c r="N191" s="3">
        <v>3</v>
      </c>
      <c r="O191" s="29" t="s">
        <v>27</v>
      </c>
      <c r="P191" s="3">
        <v>2014</v>
      </c>
      <c r="Q191" s="6">
        <f>New_Finance_Data[[#This Row],[ Profit ]]/New_Finance_Data[[#This Row],[  Sales ]]</f>
        <v>0</v>
      </c>
      <c r="R191" t="str">
        <f>IF(New_Finance_Data[[#This Row],[  Sales ]]&gt;=100000,"High",IF(New_Finance_Data[[#This Row],[  Sales ]]&gt;=50000,"Medium","Low"))</f>
        <v>Medium</v>
      </c>
      <c r="S191" t="str">
        <f>IF(OR(ISBLANK(New_Finance_Data[[#This Row],[  Sales ]]),ISBLANK(New_Finance_Data[[#This Row],[ Profit ]])),"Missing","OK")</f>
        <v>OK</v>
      </c>
      <c r="T191" t="str">
        <f>TEXT(New_Finance_Data[[#This Row],[Date]],"MMM-YYYY")</f>
        <v>Mar-2014</v>
      </c>
      <c r="U191" t="str">
        <f>IF(New_Finance_Data[[#This Row],[ Profit ]]&gt;0,"Profit","Loss")</f>
        <v>Loss</v>
      </c>
      <c r="V191" t="str">
        <f>IF(New_Finance_Data[[#This Row],[  Sales ]]&gt;=50000,"High Sales","Low Sales")</f>
        <v>High Sales</v>
      </c>
      <c r="W191" t="b">
        <f>ISNUMBER(New_Finance_Data[[#This Row],[Date]])</f>
        <v>1</v>
      </c>
    </row>
    <row r="192" spans="1:23" x14ac:dyDescent="0.2">
      <c r="A192" t="s">
        <v>31</v>
      </c>
      <c r="B192" t="s">
        <v>20</v>
      </c>
      <c r="C192" t="s">
        <v>36</v>
      </c>
      <c r="D192" t="s">
        <v>43</v>
      </c>
      <c r="E192" s="27">
        <v>1414.5</v>
      </c>
      <c r="F192" s="27">
        <v>10</v>
      </c>
      <c r="G192" s="27">
        <v>300</v>
      </c>
      <c r="H192" s="27">
        <v>424350</v>
      </c>
      <c r="I192" s="5">
        <v>16974</v>
      </c>
      <c r="J192" s="27">
        <v>407376</v>
      </c>
      <c r="K192" s="27">
        <v>353625</v>
      </c>
      <c r="L192" s="5">
        <v>53751</v>
      </c>
      <c r="M192" s="28">
        <v>41730</v>
      </c>
      <c r="N192" s="3">
        <v>4</v>
      </c>
      <c r="O192" s="29" t="s">
        <v>41</v>
      </c>
      <c r="P192" s="3">
        <v>2014</v>
      </c>
      <c r="Q192" s="6">
        <f>New_Finance_Data[[#This Row],[ Profit ]]/New_Finance_Data[[#This Row],[  Sales ]]</f>
        <v>0.13194444444444445</v>
      </c>
      <c r="R192" t="str">
        <f>IF(New_Finance_Data[[#This Row],[  Sales ]]&gt;=100000,"High",IF(New_Finance_Data[[#This Row],[  Sales ]]&gt;=50000,"Medium","Low"))</f>
        <v>High</v>
      </c>
      <c r="S192" t="str">
        <f>IF(OR(ISBLANK(New_Finance_Data[[#This Row],[  Sales ]]),ISBLANK(New_Finance_Data[[#This Row],[ Profit ]])),"Missing","OK")</f>
        <v>OK</v>
      </c>
      <c r="T192" t="str">
        <f>TEXT(New_Finance_Data[[#This Row],[Date]],"MMM-YYYY")</f>
        <v>Apr-2014</v>
      </c>
      <c r="U192" t="str">
        <f>IF(New_Finance_Data[[#This Row],[ Profit ]]&gt;0,"Profit","Loss")</f>
        <v>Profit</v>
      </c>
      <c r="V192" t="str">
        <f>IF(New_Finance_Data[[#This Row],[  Sales ]]&gt;=50000,"High Sales","Low Sales")</f>
        <v>High Sales</v>
      </c>
      <c r="W192" t="b">
        <f>ISNUMBER(New_Finance_Data[[#This Row],[Date]])</f>
        <v>1</v>
      </c>
    </row>
    <row r="193" spans="1:23" x14ac:dyDescent="0.2">
      <c r="A193" t="s">
        <v>31</v>
      </c>
      <c r="B193" t="s">
        <v>35</v>
      </c>
      <c r="C193" t="s">
        <v>36</v>
      </c>
      <c r="D193" t="s">
        <v>43</v>
      </c>
      <c r="E193" s="27">
        <v>2918</v>
      </c>
      <c r="F193" s="27">
        <v>10</v>
      </c>
      <c r="G193" s="27">
        <v>300</v>
      </c>
      <c r="H193" s="27">
        <v>875400</v>
      </c>
      <c r="I193" s="5">
        <v>35016</v>
      </c>
      <c r="J193" s="27">
        <v>840384</v>
      </c>
      <c r="K193" s="27">
        <v>729500</v>
      </c>
      <c r="L193" s="5">
        <v>110884</v>
      </c>
      <c r="M193" s="28">
        <v>41760</v>
      </c>
      <c r="N193" s="3">
        <v>5</v>
      </c>
      <c r="O193" s="29" t="s">
        <v>44</v>
      </c>
      <c r="P193" s="3">
        <v>2014</v>
      </c>
      <c r="Q193" s="6">
        <f>New_Finance_Data[[#This Row],[ Profit ]]/New_Finance_Data[[#This Row],[  Sales ]]</f>
        <v>0.13194444444444445</v>
      </c>
      <c r="R193" t="str">
        <f>IF(New_Finance_Data[[#This Row],[  Sales ]]&gt;=100000,"High",IF(New_Finance_Data[[#This Row],[  Sales ]]&gt;=50000,"Medium","Low"))</f>
        <v>High</v>
      </c>
      <c r="S193" t="str">
        <f>IF(OR(ISBLANK(New_Finance_Data[[#This Row],[  Sales ]]),ISBLANK(New_Finance_Data[[#This Row],[ Profit ]])),"Missing","OK")</f>
        <v>OK</v>
      </c>
      <c r="T193" t="str">
        <f>TEXT(New_Finance_Data[[#This Row],[Date]],"MMM-YYYY")</f>
        <v>May-2014</v>
      </c>
      <c r="U193" t="str">
        <f>IF(New_Finance_Data[[#This Row],[ Profit ]]&gt;0,"Profit","Loss")</f>
        <v>Profit</v>
      </c>
      <c r="V193" t="str">
        <f>IF(New_Finance_Data[[#This Row],[  Sales ]]&gt;=50000,"High Sales","Low Sales")</f>
        <v>High Sales</v>
      </c>
      <c r="W193" t="b">
        <f>ISNUMBER(New_Finance_Data[[#This Row],[Date]])</f>
        <v>1</v>
      </c>
    </row>
    <row r="194" spans="1:23" x14ac:dyDescent="0.2">
      <c r="A194" t="s">
        <v>15</v>
      </c>
      <c r="B194" t="s">
        <v>35</v>
      </c>
      <c r="C194" t="s">
        <v>36</v>
      </c>
      <c r="D194" t="s">
        <v>43</v>
      </c>
      <c r="E194" s="27">
        <v>3450</v>
      </c>
      <c r="F194" s="27">
        <v>10</v>
      </c>
      <c r="G194" s="27">
        <v>350</v>
      </c>
      <c r="H194" s="27">
        <v>1207500</v>
      </c>
      <c r="I194" s="5">
        <v>48300</v>
      </c>
      <c r="J194" s="27">
        <v>1159200</v>
      </c>
      <c r="K194" s="27">
        <v>897000</v>
      </c>
      <c r="L194" s="5">
        <v>262200</v>
      </c>
      <c r="M194" s="28">
        <v>41821</v>
      </c>
      <c r="N194" s="3">
        <v>7</v>
      </c>
      <c r="O194" s="29" t="s">
        <v>30</v>
      </c>
      <c r="P194" s="3">
        <v>2014</v>
      </c>
      <c r="Q194" s="6">
        <f>New_Finance_Data[[#This Row],[ Profit ]]/New_Finance_Data[[#This Row],[  Sales ]]</f>
        <v>0.22619047619047619</v>
      </c>
      <c r="R194" t="str">
        <f>IF(New_Finance_Data[[#This Row],[  Sales ]]&gt;=100000,"High",IF(New_Finance_Data[[#This Row],[  Sales ]]&gt;=50000,"Medium","Low"))</f>
        <v>High</v>
      </c>
      <c r="S194" t="str">
        <f>IF(OR(ISBLANK(New_Finance_Data[[#This Row],[  Sales ]]),ISBLANK(New_Finance_Data[[#This Row],[ Profit ]])),"Missing","OK")</f>
        <v>OK</v>
      </c>
      <c r="T194" t="str">
        <f>TEXT(New_Finance_Data[[#This Row],[Date]],"MMM-YYYY")</f>
        <v>Jul-2014</v>
      </c>
      <c r="U194" t="str">
        <f>IF(New_Finance_Data[[#This Row],[ Profit ]]&gt;0,"Profit","Loss")</f>
        <v>Profit</v>
      </c>
      <c r="V194" t="str">
        <f>IF(New_Finance_Data[[#This Row],[  Sales ]]&gt;=50000,"High Sales","Low Sales")</f>
        <v>High Sales</v>
      </c>
      <c r="W194" t="b">
        <f>ISNUMBER(New_Finance_Data[[#This Row],[Date]])</f>
        <v>1</v>
      </c>
    </row>
    <row r="195" spans="1:23" x14ac:dyDescent="0.2">
      <c r="A195" t="s">
        <v>29</v>
      </c>
      <c r="B195" t="s">
        <v>22</v>
      </c>
      <c r="C195" t="s">
        <v>36</v>
      </c>
      <c r="D195" t="s">
        <v>43</v>
      </c>
      <c r="E195" s="27">
        <v>2988</v>
      </c>
      <c r="F195" s="27">
        <v>10</v>
      </c>
      <c r="G195" s="27">
        <v>125</v>
      </c>
      <c r="H195" s="27">
        <v>373500</v>
      </c>
      <c r="I195" s="5">
        <v>14940</v>
      </c>
      <c r="J195" s="27">
        <v>358560</v>
      </c>
      <c r="K195" s="27">
        <v>358560</v>
      </c>
      <c r="L195" s="5">
        <v>0</v>
      </c>
      <c r="M195" s="28">
        <v>41821</v>
      </c>
      <c r="N195" s="3">
        <v>7</v>
      </c>
      <c r="O195" s="29" t="s">
        <v>30</v>
      </c>
      <c r="P195" s="3">
        <v>2014</v>
      </c>
      <c r="Q195" s="6">
        <f>New_Finance_Data[[#This Row],[ Profit ]]/New_Finance_Data[[#This Row],[  Sales ]]</f>
        <v>0</v>
      </c>
      <c r="R195" t="str">
        <f>IF(New_Finance_Data[[#This Row],[  Sales ]]&gt;=100000,"High",IF(New_Finance_Data[[#This Row],[  Sales ]]&gt;=50000,"Medium","Low"))</f>
        <v>High</v>
      </c>
      <c r="S195" t="str">
        <f>IF(OR(ISBLANK(New_Finance_Data[[#This Row],[  Sales ]]),ISBLANK(New_Finance_Data[[#This Row],[ Profit ]])),"Missing","OK")</f>
        <v>OK</v>
      </c>
      <c r="T195" t="str">
        <f>TEXT(New_Finance_Data[[#This Row],[Date]],"MMM-YYYY")</f>
        <v>Jul-2014</v>
      </c>
      <c r="U195" t="str">
        <f>IF(New_Finance_Data[[#This Row],[ Profit ]]&gt;0,"Profit","Loss")</f>
        <v>Loss</v>
      </c>
      <c r="V195" t="str">
        <f>IF(New_Finance_Data[[#This Row],[  Sales ]]&gt;=50000,"High Sales","Low Sales")</f>
        <v>High Sales</v>
      </c>
      <c r="W195" t="b">
        <f>ISNUMBER(New_Finance_Data[[#This Row],[Date]])</f>
        <v>1</v>
      </c>
    </row>
    <row r="196" spans="1:23" x14ac:dyDescent="0.2">
      <c r="A196" t="s">
        <v>21</v>
      </c>
      <c r="B196" t="s">
        <v>16</v>
      </c>
      <c r="C196" t="s">
        <v>36</v>
      </c>
      <c r="D196" t="s">
        <v>43</v>
      </c>
      <c r="E196" s="27">
        <v>218</v>
      </c>
      <c r="F196" s="27">
        <v>10</v>
      </c>
      <c r="G196" s="27">
        <v>15</v>
      </c>
      <c r="H196" s="27">
        <v>3270</v>
      </c>
      <c r="I196" s="5">
        <v>130.80000000000001</v>
      </c>
      <c r="J196" s="27">
        <v>3139.2</v>
      </c>
      <c r="K196" s="27">
        <v>2180</v>
      </c>
      <c r="L196" s="5">
        <v>959.2</v>
      </c>
      <c r="M196" s="28">
        <v>41883</v>
      </c>
      <c r="N196" s="3">
        <v>9</v>
      </c>
      <c r="O196" s="29" t="s">
        <v>33</v>
      </c>
      <c r="P196" s="3">
        <v>2014</v>
      </c>
      <c r="Q196" s="6">
        <f>New_Finance_Data[[#This Row],[ Profit ]]/New_Finance_Data[[#This Row],[  Sales ]]</f>
        <v>0.30555555555555558</v>
      </c>
      <c r="R196" t="str">
        <f>IF(New_Finance_Data[[#This Row],[  Sales ]]&gt;=100000,"High",IF(New_Finance_Data[[#This Row],[  Sales ]]&gt;=50000,"Medium","Low"))</f>
        <v>Low</v>
      </c>
      <c r="S196" t="str">
        <f>IF(OR(ISBLANK(New_Finance_Data[[#This Row],[  Sales ]]),ISBLANK(New_Finance_Data[[#This Row],[ Profit ]])),"Missing","OK")</f>
        <v>OK</v>
      </c>
      <c r="T196" t="str">
        <f>TEXT(New_Finance_Data[[#This Row],[Date]],"MMM-YYYY")</f>
        <v>Sep-2014</v>
      </c>
      <c r="U196" t="str">
        <f>IF(New_Finance_Data[[#This Row],[ Profit ]]&gt;0,"Profit","Loss")</f>
        <v>Profit</v>
      </c>
      <c r="V196" t="str">
        <f>IF(New_Finance_Data[[#This Row],[  Sales ]]&gt;=50000,"High Sales","Low Sales")</f>
        <v>Low Sales</v>
      </c>
      <c r="W196" t="b">
        <f>ISNUMBER(New_Finance_Data[[#This Row],[Date]])</f>
        <v>1</v>
      </c>
    </row>
    <row r="197" spans="1:23" x14ac:dyDescent="0.2">
      <c r="A197" t="s">
        <v>15</v>
      </c>
      <c r="B197" t="s">
        <v>16</v>
      </c>
      <c r="C197" t="s">
        <v>36</v>
      </c>
      <c r="D197" t="s">
        <v>43</v>
      </c>
      <c r="E197" s="27">
        <v>2074</v>
      </c>
      <c r="F197" s="27">
        <v>10</v>
      </c>
      <c r="G197" s="27">
        <v>20</v>
      </c>
      <c r="H197" s="27">
        <v>41480</v>
      </c>
      <c r="I197" s="5">
        <v>1659.2</v>
      </c>
      <c r="J197" s="27">
        <v>39820.800000000003</v>
      </c>
      <c r="K197" s="27">
        <v>20740</v>
      </c>
      <c r="L197" s="5">
        <v>19080.8</v>
      </c>
      <c r="M197" s="28">
        <v>41883</v>
      </c>
      <c r="N197" s="3">
        <v>9</v>
      </c>
      <c r="O197" s="29" t="s">
        <v>33</v>
      </c>
      <c r="P197" s="3">
        <v>2014</v>
      </c>
      <c r="Q197" s="6">
        <f>New_Finance_Data[[#This Row],[ Profit ]]/New_Finance_Data[[#This Row],[  Sales ]]</f>
        <v>0.47916666666666663</v>
      </c>
      <c r="R197" t="str">
        <f>IF(New_Finance_Data[[#This Row],[  Sales ]]&gt;=100000,"High",IF(New_Finance_Data[[#This Row],[  Sales ]]&gt;=50000,"Medium","Low"))</f>
        <v>Low</v>
      </c>
      <c r="S197" t="str">
        <f>IF(OR(ISBLANK(New_Finance_Data[[#This Row],[  Sales ]]),ISBLANK(New_Finance_Data[[#This Row],[ Profit ]])),"Missing","OK")</f>
        <v>OK</v>
      </c>
      <c r="T197" t="str">
        <f>TEXT(New_Finance_Data[[#This Row],[Date]],"MMM-YYYY")</f>
        <v>Sep-2014</v>
      </c>
      <c r="U197" t="str">
        <f>IF(New_Finance_Data[[#This Row],[ Profit ]]&gt;0,"Profit","Loss")</f>
        <v>Profit</v>
      </c>
      <c r="V197" t="str">
        <f>IF(New_Finance_Data[[#This Row],[  Sales ]]&gt;=50000,"High Sales","Low Sales")</f>
        <v>Low Sales</v>
      </c>
      <c r="W197" t="b">
        <f>ISNUMBER(New_Finance_Data[[#This Row],[Date]])</f>
        <v>1</v>
      </c>
    </row>
    <row r="198" spans="1:23" x14ac:dyDescent="0.2">
      <c r="A198" t="s">
        <v>15</v>
      </c>
      <c r="B198" t="s">
        <v>35</v>
      </c>
      <c r="C198" t="s">
        <v>36</v>
      </c>
      <c r="D198" t="s">
        <v>43</v>
      </c>
      <c r="E198" s="27">
        <v>1056</v>
      </c>
      <c r="F198" s="27">
        <v>10</v>
      </c>
      <c r="G198" s="27">
        <v>20</v>
      </c>
      <c r="H198" s="27">
        <v>21120</v>
      </c>
      <c r="I198" s="5">
        <v>844.8</v>
      </c>
      <c r="J198" s="27">
        <v>20275.2</v>
      </c>
      <c r="K198" s="27">
        <v>10560</v>
      </c>
      <c r="L198" s="5">
        <v>9715.2000000000007</v>
      </c>
      <c r="M198" s="28">
        <v>41883</v>
      </c>
      <c r="N198" s="3">
        <v>9</v>
      </c>
      <c r="O198" s="29" t="s">
        <v>33</v>
      </c>
      <c r="P198" s="3">
        <v>2014</v>
      </c>
      <c r="Q198" s="6">
        <f>New_Finance_Data[[#This Row],[ Profit ]]/New_Finance_Data[[#This Row],[  Sales ]]</f>
        <v>0.47916666666666669</v>
      </c>
      <c r="R198" t="str">
        <f>IF(New_Finance_Data[[#This Row],[  Sales ]]&gt;=100000,"High",IF(New_Finance_Data[[#This Row],[  Sales ]]&gt;=50000,"Medium","Low"))</f>
        <v>Low</v>
      </c>
      <c r="S198" t="str">
        <f>IF(OR(ISBLANK(New_Finance_Data[[#This Row],[  Sales ]]),ISBLANK(New_Finance_Data[[#This Row],[ Profit ]])),"Missing","OK")</f>
        <v>OK</v>
      </c>
      <c r="T198" t="str">
        <f>TEXT(New_Finance_Data[[#This Row],[Date]],"MMM-YYYY")</f>
        <v>Sep-2014</v>
      </c>
      <c r="U198" t="str">
        <f>IF(New_Finance_Data[[#This Row],[ Profit ]]&gt;0,"Profit","Loss")</f>
        <v>Profit</v>
      </c>
      <c r="V198" t="str">
        <f>IF(New_Finance_Data[[#This Row],[  Sales ]]&gt;=50000,"High Sales","Low Sales")</f>
        <v>Low Sales</v>
      </c>
      <c r="W198" t="b">
        <f>ISNUMBER(New_Finance_Data[[#This Row],[Date]])</f>
        <v>1</v>
      </c>
    </row>
    <row r="199" spans="1:23" x14ac:dyDescent="0.2">
      <c r="A199" t="s">
        <v>21</v>
      </c>
      <c r="B199" t="s">
        <v>35</v>
      </c>
      <c r="C199" t="s">
        <v>36</v>
      </c>
      <c r="D199" t="s">
        <v>43</v>
      </c>
      <c r="E199" s="27">
        <v>671</v>
      </c>
      <c r="F199" s="27">
        <v>10</v>
      </c>
      <c r="G199" s="27">
        <v>15</v>
      </c>
      <c r="H199" s="27">
        <v>10065</v>
      </c>
      <c r="I199" s="5">
        <v>402.6</v>
      </c>
      <c r="J199" s="27">
        <v>9662.4</v>
      </c>
      <c r="K199" s="27">
        <v>6710</v>
      </c>
      <c r="L199" s="5">
        <v>2952.4</v>
      </c>
      <c r="M199" s="28">
        <v>41548</v>
      </c>
      <c r="N199" s="3">
        <v>10</v>
      </c>
      <c r="O199" s="29" t="s">
        <v>34</v>
      </c>
      <c r="P199" s="3">
        <v>2013</v>
      </c>
      <c r="Q199" s="6">
        <f>New_Finance_Data[[#This Row],[ Profit ]]/New_Finance_Data[[#This Row],[  Sales ]]</f>
        <v>0.30555555555555558</v>
      </c>
      <c r="R199" t="str">
        <f>IF(New_Finance_Data[[#This Row],[  Sales ]]&gt;=100000,"High",IF(New_Finance_Data[[#This Row],[  Sales ]]&gt;=50000,"Medium","Low"))</f>
        <v>Low</v>
      </c>
      <c r="S199" t="str">
        <f>IF(OR(ISBLANK(New_Finance_Data[[#This Row],[  Sales ]]),ISBLANK(New_Finance_Data[[#This Row],[ Profit ]])),"Missing","OK")</f>
        <v>OK</v>
      </c>
      <c r="T199" t="str">
        <f>TEXT(New_Finance_Data[[#This Row],[Date]],"MMM-YYYY")</f>
        <v>Oct-2013</v>
      </c>
      <c r="U199" t="str">
        <f>IF(New_Finance_Data[[#This Row],[ Profit ]]&gt;0,"Profit","Loss")</f>
        <v>Profit</v>
      </c>
      <c r="V199" t="str">
        <f>IF(New_Finance_Data[[#This Row],[  Sales ]]&gt;=50000,"High Sales","Low Sales")</f>
        <v>Low Sales</v>
      </c>
      <c r="W199" t="b">
        <f>ISNUMBER(New_Finance_Data[[#This Row],[Date]])</f>
        <v>1</v>
      </c>
    </row>
    <row r="200" spans="1:23" x14ac:dyDescent="0.2">
      <c r="A200" t="s">
        <v>21</v>
      </c>
      <c r="B200" t="s">
        <v>24</v>
      </c>
      <c r="C200" t="s">
        <v>36</v>
      </c>
      <c r="D200" t="s">
        <v>43</v>
      </c>
      <c r="E200" s="27">
        <v>1514</v>
      </c>
      <c r="F200" s="27">
        <v>10</v>
      </c>
      <c r="G200" s="27">
        <v>15</v>
      </c>
      <c r="H200" s="27">
        <v>22710</v>
      </c>
      <c r="I200" s="5">
        <v>908.4</v>
      </c>
      <c r="J200" s="27">
        <v>21801.599999999999</v>
      </c>
      <c r="K200" s="27">
        <v>15140</v>
      </c>
      <c r="L200" s="5">
        <v>6661.6</v>
      </c>
      <c r="M200" s="28">
        <v>41548</v>
      </c>
      <c r="N200" s="3">
        <v>10</v>
      </c>
      <c r="O200" s="29" t="s">
        <v>34</v>
      </c>
      <c r="P200" s="3">
        <v>2013</v>
      </c>
      <c r="Q200" s="6">
        <f>New_Finance_Data[[#This Row],[ Profit ]]/New_Finance_Data[[#This Row],[  Sales ]]</f>
        <v>0.30555555555555558</v>
      </c>
      <c r="R200" t="str">
        <f>IF(New_Finance_Data[[#This Row],[  Sales ]]&gt;=100000,"High",IF(New_Finance_Data[[#This Row],[  Sales ]]&gt;=50000,"Medium","Low"))</f>
        <v>Low</v>
      </c>
      <c r="S200" t="str">
        <f>IF(OR(ISBLANK(New_Finance_Data[[#This Row],[  Sales ]]),ISBLANK(New_Finance_Data[[#This Row],[ Profit ]])),"Missing","OK")</f>
        <v>OK</v>
      </c>
      <c r="T200" t="str">
        <f>TEXT(New_Finance_Data[[#This Row],[Date]],"MMM-YYYY")</f>
        <v>Oct-2013</v>
      </c>
      <c r="U200" t="str">
        <f>IF(New_Finance_Data[[#This Row],[ Profit ]]&gt;0,"Profit","Loss")</f>
        <v>Profit</v>
      </c>
      <c r="V200" t="str">
        <f>IF(New_Finance_Data[[#This Row],[  Sales ]]&gt;=50000,"High Sales","Low Sales")</f>
        <v>Low Sales</v>
      </c>
      <c r="W200" t="b">
        <f>ISNUMBER(New_Finance_Data[[#This Row],[Date]])</f>
        <v>1</v>
      </c>
    </row>
    <row r="201" spans="1:23" x14ac:dyDescent="0.2">
      <c r="A201" t="s">
        <v>15</v>
      </c>
      <c r="B201" t="s">
        <v>35</v>
      </c>
      <c r="C201" t="s">
        <v>36</v>
      </c>
      <c r="D201" t="s">
        <v>43</v>
      </c>
      <c r="E201" s="27">
        <v>274</v>
      </c>
      <c r="F201" s="27">
        <v>10</v>
      </c>
      <c r="G201" s="27">
        <v>350</v>
      </c>
      <c r="H201" s="27">
        <v>95900</v>
      </c>
      <c r="I201" s="5">
        <v>3836</v>
      </c>
      <c r="J201" s="27">
        <v>92064</v>
      </c>
      <c r="K201" s="27">
        <v>71240</v>
      </c>
      <c r="L201" s="5">
        <v>20824</v>
      </c>
      <c r="M201" s="28">
        <v>41974</v>
      </c>
      <c r="N201" s="3">
        <v>12</v>
      </c>
      <c r="O201" s="29" t="s">
        <v>25</v>
      </c>
      <c r="P201" s="3">
        <v>2014</v>
      </c>
      <c r="Q201" s="6">
        <f>New_Finance_Data[[#This Row],[ Profit ]]/New_Finance_Data[[#This Row],[  Sales ]]</f>
        <v>0.22619047619047619</v>
      </c>
      <c r="R201" t="str">
        <f>IF(New_Finance_Data[[#This Row],[  Sales ]]&gt;=100000,"High",IF(New_Finance_Data[[#This Row],[  Sales ]]&gt;=50000,"Medium","Low"))</f>
        <v>Medium</v>
      </c>
      <c r="S201" t="str">
        <f>IF(OR(ISBLANK(New_Finance_Data[[#This Row],[  Sales ]]),ISBLANK(New_Finance_Data[[#This Row],[ Profit ]])),"Missing","OK")</f>
        <v>OK</v>
      </c>
      <c r="T201" t="str">
        <f>TEXT(New_Finance_Data[[#This Row],[Date]],"MMM-YYYY")</f>
        <v>Dec-2014</v>
      </c>
      <c r="U201" t="str">
        <f>IF(New_Finance_Data[[#This Row],[ Profit ]]&gt;0,"Profit","Loss")</f>
        <v>Profit</v>
      </c>
      <c r="V201" t="str">
        <f>IF(New_Finance_Data[[#This Row],[  Sales ]]&gt;=50000,"High Sales","Low Sales")</f>
        <v>High Sales</v>
      </c>
      <c r="W201" t="b">
        <f>ISNUMBER(New_Finance_Data[[#This Row],[Date]])</f>
        <v>1</v>
      </c>
    </row>
    <row r="202" spans="1:23" x14ac:dyDescent="0.2">
      <c r="A202" t="s">
        <v>29</v>
      </c>
      <c r="B202" t="s">
        <v>24</v>
      </c>
      <c r="C202" t="s">
        <v>36</v>
      </c>
      <c r="D202" t="s">
        <v>43</v>
      </c>
      <c r="E202" s="27">
        <v>1138</v>
      </c>
      <c r="F202" s="27">
        <v>10</v>
      </c>
      <c r="G202" s="27">
        <v>125</v>
      </c>
      <c r="H202" s="27">
        <v>142250</v>
      </c>
      <c r="I202" s="5">
        <v>5690</v>
      </c>
      <c r="J202" s="27">
        <v>136560</v>
      </c>
      <c r="K202" s="27">
        <v>136560</v>
      </c>
      <c r="L202" s="5">
        <v>0</v>
      </c>
      <c r="M202" s="28">
        <v>41974</v>
      </c>
      <c r="N202" s="3">
        <v>12</v>
      </c>
      <c r="O202" s="29" t="s">
        <v>25</v>
      </c>
      <c r="P202" s="3">
        <v>2014</v>
      </c>
      <c r="Q202" s="6">
        <f>New_Finance_Data[[#This Row],[ Profit ]]/New_Finance_Data[[#This Row],[  Sales ]]</f>
        <v>0</v>
      </c>
      <c r="R202" t="str">
        <f>IF(New_Finance_Data[[#This Row],[  Sales ]]&gt;=100000,"High",IF(New_Finance_Data[[#This Row],[  Sales ]]&gt;=50000,"Medium","Low"))</f>
        <v>High</v>
      </c>
      <c r="S202" t="str">
        <f>IF(OR(ISBLANK(New_Finance_Data[[#This Row],[  Sales ]]),ISBLANK(New_Finance_Data[[#This Row],[ Profit ]])),"Missing","OK")</f>
        <v>OK</v>
      </c>
      <c r="T202" t="str">
        <f>TEXT(New_Finance_Data[[#This Row],[Date]],"MMM-YYYY")</f>
        <v>Dec-2014</v>
      </c>
      <c r="U202" t="str">
        <f>IF(New_Finance_Data[[#This Row],[ Profit ]]&gt;0,"Profit","Loss")</f>
        <v>Loss</v>
      </c>
      <c r="V202" t="str">
        <f>IF(New_Finance_Data[[#This Row],[  Sales ]]&gt;=50000,"High Sales","Low Sales")</f>
        <v>High Sales</v>
      </c>
      <c r="W202" t="b">
        <f>ISNUMBER(New_Finance_Data[[#This Row],[Date]])</f>
        <v>1</v>
      </c>
    </row>
    <row r="203" spans="1:23" x14ac:dyDescent="0.2">
      <c r="A203" t="s">
        <v>28</v>
      </c>
      <c r="B203" t="s">
        <v>35</v>
      </c>
      <c r="C203" t="s">
        <v>39</v>
      </c>
      <c r="D203" t="s">
        <v>43</v>
      </c>
      <c r="E203" s="27">
        <v>1465</v>
      </c>
      <c r="F203" s="27">
        <v>120</v>
      </c>
      <c r="G203" s="27">
        <v>12</v>
      </c>
      <c r="H203" s="27">
        <v>17580</v>
      </c>
      <c r="I203" s="5">
        <v>703.2</v>
      </c>
      <c r="J203" s="27">
        <v>16876.8</v>
      </c>
      <c r="K203" s="27">
        <v>4395</v>
      </c>
      <c r="L203" s="5">
        <v>12481.8</v>
      </c>
      <c r="M203" s="28">
        <v>41699</v>
      </c>
      <c r="N203" s="3">
        <v>3</v>
      </c>
      <c r="O203" s="29" t="s">
        <v>27</v>
      </c>
      <c r="P203" s="3">
        <v>2014</v>
      </c>
      <c r="Q203" s="6">
        <f>New_Finance_Data[[#This Row],[ Profit ]]/New_Finance_Data[[#This Row],[  Sales ]]</f>
        <v>0.73958333333333337</v>
      </c>
      <c r="R203" t="str">
        <f>IF(New_Finance_Data[[#This Row],[  Sales ]]&gt;=100000,"High",IF(New_Finance_Data[[#This Row],[  Sales ]]&gt;=50000,"Medium","Low"))</f>
        <v>Low</v>
      </c>
      <c r="S203" t="str">
        <f>IF(OR(ISBLANK(New_Finance_Data[[#This Row],[  Sales ]]),ISBLANK(New_Finance_Data[[#This Row],[ Profit ]])),"Missing","OK")</f>
        <v>OK</v>
      </c>
      <c r="T203" t="str">
        <f>TEXT(New_Finance_Data[[#This Row],[Date]],"MMM-YYYY")</f>
        <v>Mar-2014</v>
      </c>
      <c r="U203" t="str">
        <f>IF(New_Finance_Data[[#This Row],[ Profit ]]&gt;0,"Profit","Loss")</f>
        <v>Profit</v>
      </c>
      <c r="V203" t="str">
        <f>IF(New_Finance_Data[[#This Row],[  Sales ]]&gt;=50000,"High Sales","Low Sales")</f>
        <v>Low Sales</v>
      </c>
      <c r="W203" t="b">
        <f>ISNUMBER(New_Finance_Data[[#This Row],[Date]])</f>
        <v>1</v>
      </c>
    </row>
    <row r="204" spans="1:23" x14ac:dyDescent="0.2">
      <c r="A204" t="s">
        <v>15</v>
      </c>
      <c r="B204" t="s">
        <v>16</v>
      </c>
      <c r="C204" t="s">
        <v>39</v>
      </c>
      <c r="D204" t="s">
        <v>43</v>
      </c>
      <c r="E204" s="27">
        <v>2646</v>
      </c>
      <c r="F204" s="27">
        <v>120</v>
      </c>
      <c r="G204" s="27">
        <v>20</v>
      </c>
      <c r="H204" s="27">
        <v>52920</v>
      </c>
      <c r="I204" s="5">
        <v>2116.8000000000002</v>
      </c>
      <c r="J204" s="27">
        <v>50803.199999999997</v>
      </c>
      <c r="K204" s="27">
        <v>26460</v>
      </c>
      <c r="L204" s="5">
        <v>24343.200000000001</v>
      </c>
      <c r="M204" s="28">
        <v>41518</v>
      </c>
      <c r="N204" s="3">
        <v>9</v>
      </c>
      <c r="O204" s="29" t="s">
        <v>33</v>
      </c>
      <c r="P204" s="3">
        <v>2013</v>
      </c>
      <c r="Q204" s="6">
        <f>New_Finance_Data[[#This Row],[ Profit ]]/New_Finance_Data[[#This Row],[  Sales ]]</f>
        <v>0.47916666666666669</v>
      </c>
      <c r="R204" t="str">
        <f>IF(New_Finance_Data[[#This Row],[  Sales ]]&gt;=100000,"High",IF(New_Finance_Data[[#This Row],[  Sales ]]&gt;=50000,"Medium","Low"))</f>
        <v>Medium</v>
      </c>
      <c r="S204" t="str">
        <f>IF(OR(ISBLANK(New_Finance_Data[[#This Row],[  Sales ]]),ISBLANK(New_Finance_Data[[#This Row],[ Profit ]])),"Missing","OK")</f>
        <v>OK</v>
      </c>
      <c r="T204" t="str">
        <f>TEXT(New_Finance_Data[[#This Row],[Date]],"MMM-YYYY")</f>
        <v>Sep-2013</v>
      </c>
      <c r="U204" t="str">
        <f>IF(New_Finance_Data[[#This Row],[ Profit ]]&gt;0,"Profit","Loss")</f>
        <v>Profit</v>
      </c>
      <c r="V204" t="str">
        <f>IF(New_Finance_Data[[#This Row],[  Sales ]]&gt;=50000,"High Sales","Low Sales")</f>
        <v>High Sales</v>
      </c>
      <c r="W204" t="b">
        <f>ISNUMBER(New_Finance_Data[[#This Row],[Date]])</f>
        <v>1</v>
      </c>
    </row>
    <row r="205" spans="1:23" x14ac:dyDescent="0.2">
      <c r="A205" t="s">
        <v>15</v>
      </c>
      <c r="B205" t="s">
        <v>22</v>
      </c>
      <c r="C205" t="s">
        <v>39</v>
      </c>
      <c r="D205" t="s">
        <v>43</v>
      </c>
      <c r="E205" s="27">
        <v>2177</v>
      </c>
      <c r="F205" s="27">
        <v>120</v>
      </c>
      <c r="G205" s="27">
        <v>350</v>
      </c>
      <c r="H205" s="27">
        <v>761950</v>
      </c>
      <c r="I205" s="5">
        <v>30478</v>
      </c>
      <c r="J205" s="27">
        <v>731472</v>
      </c>
      <c r="K205" s="27">
        <v>566020</v>
      </c>
      <c r="L205" s="5">
        <v>165452</v>
      </c>
      <c r="M205" s="28">
        <v>41913</v>
      </c>
      <c r="N205" s="3">
        <v>10</v>
      </c>
      <c r="O205" s="29" t="s">
        <v>34</v>
      </c>
      <c r="P205" s="3">
        <v>2014</v>
      </c>
      <c r="Q205" s="6">
        <f>New_Finance_Data[[#This Row],[ Profit ]]/New_Finance_Data[[#This Row],[  Sales ]]</f>
        <v>0.22619047619047619</v>
      </c>
      <c r="R205" t="str">
        <f>IF(New_Finance_Data[[#This Row],[  Sales ]]&gt;=100000,"High",IF(New_Finance_Data[[#This Row],[  Sales ]]&gt;=50000,"Medium","Low"))</f>
        <v>High</v>
      </c>
      <c r="S205" t="str">
        <f>IF(OR(ISBLANK(New_Finance_Data[[#This Row],[  Sales ]]),ISBLANK(New_Finance_Data[[#This Row],[ Profit ]])),"Missing","OK")</f>
        <v>OK</v>
      </c>
      <c r="T205" t="str">
        <f>TEXT(New_Finance_Data[[#This Row],[Date]],"MMM-YYYY")</f>
        <v>Oct-2014</v>
      </c>
      <c r="U205" t="str">
        <f>IF(New_Finance_Data[[#This Row],[ Profit ]]&gt;0,"Profit","Loss")</f>
        <v>Profit</v>
      </c>
      <c r="V205" t="str">
        <f>IF(New_Finance_Data[[#This Row],[  Sales ]]&gt;=50000,"High Sales","Low Sales")</f>
        <v>High Sales</v>
      </c>
      <c r="W205" t="b">
        <f>ISNUMBER(New_Finance_Data[[#This Row],[Date]])</f>
        <v>1</v>
      </c>
    </row>
    <row r="206" spans="1:23" x14ac:dyDescent="0.2">
      <c r="A206" t="s">
        <v>28</v>
      </c>
      <c r="B206" t="s">
        <v>22</v>
      </c>
      <c r="C206" t="s">
        <v>40</v>
      </c>
      <c r="D206" t="s">
        <v>43</v>
      </c>
      <c r="E206" s="27">
        <v>866</v>
      </c>
      <c r="F206" s="27">
        <v>250</v>
      </c>
      <c r="G206" s="27">
        <v>12</v>
      </c>
      <c r="H206" s="27">
        <v>10392</v>
      </c>
      <c r="I206" s="5">
        <v>415.68</v>
      </c>
      <c r="J206" s="27">
        <v>9976.32</v>
      </c>
      <c r="K206" s="27">
        <v>2598</v>
      </c>
      <c r="L206" s="5">
        <v>7378.32</v>
      </c>
      <c r="M206" s="28">
        <v>41760</v>
      </c>
      <c r="N206" s="3">
        <v>5</v>
      </c>
      <c r="O206" s="29" t="s">
        <v>44</v>
      </c>
      <c r="P206" s="3">
        <v>2014</v>
      </c>
      <c r="Q206" s="6">
        <f>New_Finance_Data[[#This Row],[ Profit ]]/New_Finance_Data[[#This Row],[  Sales ]]</f>
        <v>0.73958333333333337</v>
      </c>
      <c r="R206" t="str">
        <f>IF(New_Finance_Data[[#This Row],[  Sales ]]&gt;=100000,"High",IF(New_Finance_Data[[#This Row],[  Sales ]]&gt;=50000,"Medium","Low"))</f>
        <v>Low</v>
      </c>
      <c r="S206" t="str">
        <f>IF(OR(ISBLANK(New_Finance_Data[[#This Row],[  Sales ]]),ISBLANK(New_Finance_Data[[#This Row],[ Profit ]])),"Missing","OK")</f>
        <v>OK</v>
      </c>
      <c r="T206" t="str">
        <f>TEXT(New_Finance_Data[[#This Row],[Date]],"MMM-YYYY")</f>
        <v>May-2014</v>
      </c>
      <c r="U206" t="str">
        <f>IF(New_Finance_Data[[#This Row],[ Profit ]]&gt;0,"Profit","Loss")</f>
        <v>Profit</v>
      </c>
      <c r="V206" t="str">
        <f>IF(New_Finance_Data[[#This Row],[  Sales ]]&gt;=50000,"High Sales","Low Sales")</f>
        <v>Low Sales</v>
      </c>
      <c r="W206" t="b">
        <f>ISNUMBER(New_Finance_Data[[#This Row],[Date]])</f>
        <v>1</v>
      </c>
    </row>
    <row r="207" spans="1:23" x14ac:dyDescent="0.2">
      <c r="A207" t="s">
        <v>15</v>
      </c>
      <c r="B207" t="s">
        <v>35</v>
      </c>
      <c r="C207" t="s">
        <v>40</v>
      </c>
      <c r="D207" t="s">
        <v>43</v>
      </c>
      <c r="E207" s="27">
        <v>349</v>
      </c>
      <c r="F207" s="27">
        <v>250</v>
      </c>
      <c r="G207" s="27">
        <v>350</v>
      </c>
      <c r="H207" s="27">
        <v>122150</v>
      </c>
      <c r="I207" s="5">
        <v>4886</v>
      </c>
      <c r="J207" s="27">
        <v>117264</v>
      </c>
      <c r="K207" s="27">
        <v>90740</v>
      </c>
      <c r="L207" s="5">
        <v>26524</v>
      </c>
      <c r="M207" s="28">
        <v>41518</v>
      </c>
      <c r="N207" s="3">
        <v>9</v>
      </c>
      <c r="O207" s="29" t="s">
        <v>33</v>
      </c>
      <c r="P207" s="3">
        <v>2013</v>
      </c>
      <c r="Q207" s="6">
        <f>New_Finance_Data[[#This Row],[ Profit ]]/New_Finance_Data[[#This Row],[  Sales ]]</f>
        <v>0.22619047619047619</v>
      </c>
      <c r="R207" t="str">
        <f>IF(New_Finance_Data[[#This Row],[  Sales ]]&gt;=100000,"High",IF(New_Finance_Data[[#This Row],[  Sales ]]&gt;=50000,"Medium","Low"))</f>
        <v>High</v>
      </c>
      <c r="S207" t="str">
        <f>IF(OR(ISBLANK(New_Finance_Data[[#This Row],[  Sales ]]),ISBLANK(New_Finance_Data[[#This Row],[ Profit ]])),"Missing","OK")</f>
        <v>OK</v>
      </c>
      <c r="T207" t="str">
        <f>TEXT(New_Finance_Data[[#This Row],[Date]],"MMM-YYYY")</f>
        <v>Sep-2013</v>
      </c>
      <c r="U207" t="str">
        <f>IF(New_Finance_Data[[#This Row],[ Profit ]]&gt;0,"Profit","Loss")</f>
        <v>Profit</v>
      </c>
      <c r="V207" t="str">
        <f>IF(New_Finance_Data[[#This Row],[  Sales ]]&gt;=50000,"High Sales","Low Sales")</f>
        <v>High Sales</v>
      </c>
      <c r="W207" t="b">
        <f>ISNUMBER(New_Finance_Data[[#This Row],[Date]])</f>
        <v>1</v>
      </c>
    </row>
    <row r="208" spans="1:23" x14ac:dyDescent="0.2">
      <c r="A208" t="s">
        <v>15</v>
      </c>
      <c r="B208" t="s">
        <v>22</v>
      </c>
      <c r="C208" t="s">
        <v>40</v>
      </c>
      <c r="D208" t="s">
        <v>43</v>
      </c>
      <c r="E208" s="27">
        <v>2177</v>
      </c>
      <c r="F208" s="27">
        <v>250</v>
      </c>
      <c r="G208" s="27">
        <v>350</v>
      </c>
      <c r="H208" s="27">
        <v>761950</v>
      </c>
      <c r="I208" s="5">
        <v>30478</v>
      </c>
      <c r="J208" s="27">
        <v>731472</v>
      </c>
      <c r="K208" s="27">
        <v>566020</v>
      </c>
      <c r="L208" s="5">
        <v>165452</v>
      </c>
      <c r="M208" s="28">
        <v>41913</v>
      </c>
      <c r="N208" s="3">
        <v>10</v>
      </c>
      <c r="O208" s="29" t="s">
        <v>34</v>
      </c>
      <c r="P208" s="3">
        <v>2014</v>
      </c>
      <c r="Q208" s="6">
        <f>New_Finance_Data[[#This Row],[ Profit ]]/New_Finance_Data[[#This Row],[  Sales ]]</f>
        <v>0.22619047619047619</v>
      </c>
      <c r="R208" t="str">
        <f>IF(New_Finance_Data[[#This Row],[  Sales ]]&gt;=100000,"High",IF(New_Finance_Data[[#This Row],[  Sales ]]&gt;=50000,"Medium","Low"))</f>
        <v>High</v>
      </c>
      <c r="S208" t="str">
        <f>IF(OR(ISBLANK(New_Finance_Data[[#This Row],[  Sales ]]),ISBLANK(New_Finance_Data[[#This Row],[ Profit ]])),"Missing","OK")</f>
        <v>OK</v>
      </c>
      <c r="T208" t="str">
        <f>TEXT(New_Finance_Data[[#This Row],[Date]],"MMM-YYYY")</f>
        <v>Oct-2014</v>
      </c>
      <c r="U208" t="str">
        <f>IF(New_Finance_Data[[#This Row],[ Profit ]]&gt;0,"Profit","Loss")</f>
        <v>Profit</v>
      </c>
      <c r="V208" t="str">
        <f>IF(New_Finance_Data[[#This Row],[  Sales ]]&gt;=50000,"High Sales","Low Sales")</f>
        <v>High Sales</v>
      </c>
      <c r="W208" t="b">
        <f>ISNUMBER(New_Finance_Data[[#This Row],[Date]])</f>
        <v>1</v>
      </c>
    </row>
    <row r="209" spans="1:23" x14ac:dyDescent="0.2">
      <c r="A209" t="s">
        <v>21</v>
      </c>
      <c r="B209" t="s">
        <v>24</v>
      </c>
      <c r="C209" t="s">
        <v>40</v>
      </c>
      <c r="D209" t="s">
        <v>43</v>
      </c>
      <c r="E209" s="27">
        <v>1514</v>
      </c>
      <c r="F209" s="27">
        <v>250</v>
      </c>
      <c r="G209" s="27">
        <v>15</v>
      </c>
      <c r="H209" s="27">
        <v>22710</v>
      </c>
      <c r="I209" s="5">
        <v>908.4</v>
      </c>
      <c r="J209" s="27">
        <v>21801.599999999999</v>
      </c>
      <c r="K209" s="27">
        <v>15140</v>
      </c>
      <c r="L209" s="5">
        <v>6661.6</v>
      </c>
      <c r="M209" s="28">
        <v>41548</v>
      </c>
      <c r="N209" s="3">
        <v>10</v>
      </c>
      <c r="O209" s="29" t="s">
        <v>34</v>
      </c>
      <c r="P209" s="3">
        <v>2013</v>
      </c>
      <c r="Q209" s="6">
        <f>New_Finance_Data[[#This Row],[ Profit ]]/New_Finance_Data[[#This Row],[  Sales ]]</f>
        <v>0.30555555555555558</v>
      </c>
      <c r="R209" t="str">
        <f>IF(New_Finance_Data[[#This Row],[  Sales ]]&gt;=100000,"High",IF(New_Finance_Data[[#This Row],[  Sales ]]&gt;=50000,"Medium","Low"))</f>
        <v>Low</v>
      </c>
      <c r="S209" t="str">
        <f>IF(OR(ISBLANK(New_Finance_Data[[#This Row],[  Sales ]]),ISBLANK(New_Finance_Data[[#This Row],[ Profit ]])),"Missing","OK")</f>
        <v>OK</v>
      </c>
      <c r="T209" t="str">
        <f>TEXT(New_Finance_Data[[#This Row],[Date]],"MMM-YYYY")</f>
        <v>Oct-2013</v>
      </c>
      <c r="U209" t="str">
        <f>IF(New_Finance_Data[[#This Row],[ Profit ]]&gt;0,"Profit","Loss")</f>
        <v>Profit</v>
      </c>
      <c r="V209" t="str">
        <f>IF(New_Finance_Data[[#This Row],[  Sales ]]&gt;=50000,"High Sales","Low Sales")</f>
        <v>Low Sales</v>
      </c>
      <c r="W209" t="b">
        <f>ISNUMBER(New_Finance_Data[[#This Row],[Date]])</f>
        <v>1</v>
      </c>
    </row>
    <row r="210" spans="1:23" x14ac:dyDescent="0.2">
      <c r="A210" t="s">
        <v>15</v>
      </c>
      <c r="B210" t="s">
        <v>24</v>
      </c>
      <c r="C210" t="s">
        <v>42</v>
      </c>
      <c r="D210" t="s">
        <v>43</v>
      </c>
      <c r="E210" s="27">
        <v>1865</v>
      </c>
      <c r="F210" s="27">
        <v>260</v>
      </c>
      <c r="G210" s="27">
        <v>350</v>
      </c>
      <c r="H210" s="27">
        <v>652750</v>
      </c>
      <c r="I210" s="5">
        <v>26110</v>
      </c>
      <c r="J210" s="27">
        <v>626640</v>
      </c>
      <c r="K210" s="27">
        <v>484900</v>
      </c>
      <c r="L210" s="5">
        <v>141740</v>
      </c>
      <c r="M210" s="28">
        <v>41671</v>
      </c>
      <c r="N210" s="3">
        <v>2</v>
      </c>
      <c r="O210" s="29" t="s">
        <v>37</v>
      </c>
      <c r="P210" s="3">
        <v>2014</v>
      </c>
      <c r="Q210" s="6">
        <f>New_Finance_Data[[#This Row],[ Profit ]]/New_Finance_Data[[#This Row],[  Sales ]]</f>
        <v>0.22619047619047619</v>
      </c>
      <c r="R210" t="str">
        <f>IF(New_Finance_Data[[#This Row],[  Sales ]]&gt;=100000,"High",IF(New_Finance_Data[[#This Row],[  Sales ]]&gt;=50000,"Medium","Low"))</f>
        <v>High</v>
      </c>
      <c r="S210" t="str">
        <f>IF(OR(ISBLANK(New_Finance_Data[[#This Row],[  Sales ]]),ISBLANK(New_Finance_Data[[#This Row],[ Profit ]])),"Missing","OK")</f>
        <v>OK</v>
      </c>
      <c r="T210" t="str">
        <f>TEXT(New_Finance_Data[[#This Row],[Date]],"MMM-YYYY")</f>
        <v>Feb-2014</v>
      </c>
      <c r="U210" t="str">
        <f>IF(New_Finance_Data[[#This Row],[ Profit ]]&gt;0,"Profit","Loss")</f>
        <v>Profit</v>
      </c>
      <c r="V210" t="str">
        <f>IF(New_Finance_Data[[#This Row],[  Sales ]]&gt;=50000,"High Sales","Low Sales")</f>
        <v>High Sales</v>
      </c>
      <c r="W210" t="b">
        <f>ISNUMBER(New_Finance_Data[[#This Row],[Date]])</f>
        <v>1</v>
      </c>
    </row>
    <row r="211" spans="1:23" x14ac:dyDescent="0.2">
      <c r="A211" t="s">
        <v>29</v>
      </c>
      <c r="B211" t="s">
        <v>24</v>
      </c>
      <c r="C211" t="s">
        <v>42</v>
      </c>
      <c r="D211" t="s">
        <v>43</v>
      </c>
      <c r="E211" s="27">
        <v>1074</v>
      </c>
      <c r="F211" s="27">
        <v>260</v>
      </c>
      <c r="G211" s="27">
        <v>125</v>
      </c>
      <c r="H211" s="27">
        <v>134250</v>
      </c>
      <c r="I211" s="5">
        <v>5370</v>
      </c>
      <c r="J211" s="27">
        <v>128880</v>
      </c>
      <c r="K211" s="27">
        <v>128880</v>
      </c>
      <c r="L211" s="5">
        <v>0</v>
      </c>
      <c r="M211" s="28">
        <v>41730</v>
      </c>
      <c r="N211" s="3">
        <v>4</v>
      </c>
      <c r="O211" s="29" t="s">
        <v>41</v>
      </c>
      <c r="P211" s="3">
        <v>2014</v>
      </c>
      <c r="Q211" s="6">
        <f>New_Finance_Data[[#This Row],[ Profit ]]/New_Finance_Data[[#This Row],[  Sales ]]</f>
        <v>0</v>
      </c>
      <c r="R211" t="str">
        <f>IF(New_Finance_Data[[#This Row],[  Sales ]]&gt;=100000,"High",IF(New_Finance_Data[[#This Row],[  Sales ]]&gt;=50000,"Medium","Low"))</f>
        <v>High</v>
      </c>
      <c r="S211" t="str">
        <f>IF(OR(ISBLANK(New_Finance_Data[[#This Row],[  Sales ]]),ISBLANK(New_Finance_Data[[#This Row],[ Profit ]])),"Missing","OK")</f>
        <v>OK</v>
      </c>
      <c r="T211" t="str">
        <f>TEXT(New_Finance_Data[[#This Row],[Date]],"MMM-YYYY")</f>
        <v>Apr-2014</v>
      </c>
      <c r="U211" t="str">
        <f>IF(New_Finance_Data[[#This Row],[ Profit ]]&gt;0,"Profit","Loss")</f>
        <v>Loss</v>
      </c>
      <c r="V211" t="str">
        <f>IF(New_Finance_Data[[#This Row],[  Sales ]]&gt;=50000,"High Sales","Low Sales")</f>
        <v>High Sales</v>
      </c>
      <c r="W211" t="b">
        <f>ISNUMBER(New_Finance_Data[[#This Row],[Date]])</f>
        <v>1</v>
      </c>
    </row>
    <row r="212" spans="1:23" x14ac:dyDescent="0.2">
      <c r="A212" t="s">
        <v>15</v>
      </c>
      <c r="B212" t="s">
        <v>20</v>
      </c>
      <c r="C212" t="s">
        <v>42</v>
      </c>
      <c r="D212" t="s">
        <v>43</v>
      </c>
      <c r="E212" s="27">
        <v>1907</v>
      </c>
      <c r="F212" s="27">
        <v>260</v>
      </c>
      <c r="G212" s="27">
        <v>350</v>
      </c>
      <c r="H212" s="27">
        <v>667450</v>
      </c>
      <c r="I212" s="5">
        <v>26698</v>
      </c>
      <c r="J212" s="27">
        <v>640752</v>
      </c>
      <c r="K212" s="27">
        <v>495820</v>
      </c>
      <c r="L212" s="5">
        <v>144932</v>
      </c>
      <c r="M212" s="28">
        <v>41883</v>
      </c>
      <c r="N212" s="3">
        <v>9</v>
      </c>
      <c r="O212" s="29" t="s">
        <v>33</v>
      </c>
      <c r="P212" s="3">
        <v>2014</v>
      </c>
      <c r="Q212" s="6">
        <f>New_Finance_Data[[#This Row],[ Profit ]]/New_Finance_Data[[#This Row],[  Sales ]]</f>
        <v>0.22619047619047619</v>
      </c>
      <c r="R212" t="str">
        <f>IF(New_Finance_Data[[#This Row],[  Sales ]]&gt;=100000,"High",IF(New_Finance_Data[[#This Row],[  Sales ]]&gt;=50000,"Medium","Low"))</f>
        <v>High</v>
      </c>
      <c r="S212" t="str">
        <f>IF(OR(ISBLANK(New_Finance_Data[[#This Row],[  Sales ]]),ISBLANK(New_Finance_Data[[#This Row],[ Profit ]])),"Missing","OK")</f>
        <v>OK</v>
      </c>
      <c r="T212" t="str">
        <f>TEXT(New_Finance_Data[[#This Row],[Date]],"MMM-YYYY")</f>
        <v>Sep-2014</v>
      </c>
      <c r="U212" t="str">
        <f>IF(New_Finance_Data[[#This Row],[ Profit ]]&gt;0,"Profit","Loss")</f>
        <v>Profit</v>
      </c>
      <c r="V212" t="str">
        <f>IF(New_Finance_Data[[#This Row],[  Sales ]]&gt;=50000,"High Sales","Low Sales")</f>
        <v>High Sales</v>
      </c>
      <c r="W212" t="b">
        <f>ISNUMBER(New_Finance_Data[[#This Row],[Date]])</f>
        <v>1</v>
      </c>
    </row>
    <row r="213" spans="1:23" x14ac:dyDescent="0.2">
      <c r="A213" t="s">
        <v>21</v>
      </c>
      <c r="B213" t="s">
        <v>35</v>
      </c>
      <c r="C213" t="s">
        <v>42</v>
      </c>
      <c r="D213" t="s">
        <v>43</v>
      </c>
      <c r="E213" s="27">
        <v>671</v>
      </c>
      <c r="F213" s="27">
        <v>260</v>
      </c>
      <c r="G213" s="27">
        <v>15</v>
      </c>
      <c r="H213" s="27">
        <v>10065</v>
      </c>
      <c r="I213" s="5">
        <v>402.6</v>
      </c>
      <c r="J213" s="27">
        <v>9662.4</v>
      </c>
      <c r="K213" s="27">
        <v>6710</v>
      </c>
      <c r="L213" s="5">
        <v>2952.4</v>
      </c>
      <c r="M213" s="28">
        <v>41548</v>
      </c>
      <c r="N213" s="3">
        <v>10</v>
      </c>
      <c r="O213" s="29" t="s">
        <v>34</v>
      </c>
      <c r="P213" s="3">
        <v>2013</v>
      </c>
      <c r="Q213" s="6">
        <f>New_Finance_Data[[#This Row],[ Profit ]]/New_Finance_Data[[#This Row],[  Sales ]]</f>
        <v>0.30555555555555558</v>
      </c>
      <c r="R213" t="str">
        <f>IF(New_Finance_Data[[#This Row],[  Sales ]]&gt;=100000,"High",IF(New_Finance_Data[[#This Row],[  Sales ]]&gt;=50000,"Medium","Low"))</f>
        <v>Low</v>
      </c>
      <c r="S213" t="str">
        <f>IF(OR(ISBLANK(New_Finance_Data[[#This Row],[  Sales ]]),ISBLANK(New_Finance_Data[[#This Row],[ Profit ]])),"Missing","OK")</f>
        <v>OK</v>
      </c>
      <c r="T213" t="str">
        <f>TEXT(New_Finance_Data[[#This Row],[Date]],"MMM-YYYY")</f>
        <v>Oct-2013</v>
      </c>
      <c r="U213" t="str">
        <f>IF(New_Finance_Data[[#This Row],[ Profit ]]&gt;0,"Profit","Loss")</f>
        <v>Profit</v>
      </c>
      <c r="V213" t="str">
        <f>IF(New_Finance_Data[[#This Row],[  Sales ]]&gt;=50000,"High Sales","Low Sales")</f>
        <v>Low Sales</v>
      </c>
      <c r="W213" t="b">
        <f>ISNUMBER(New_Finance_Data[[#This Row],[Date]])</f>
        <v>1</v>
      </c>
    </row>
    <row r="214" spans="1:23" x14ac:dyDescent="0.2">
      <c r="A214" t="s">
        <v>15</v>
      </c>
      <c r="B214" t="s">
        <v>16</v>
      </c>
      <c r="C214" t="s">
        <v>42</v>
      </c>
      <c r="D214" t="s">
        <v>43</v>
      </c>
      <c r="E214" s="27">
        <v>1778</v>
      </c>
      <c r="F214" s="27">
        <v>260</v>
      </c>
      <c r="G214" s="27">
        <v>350</v>
      </c>
      <c r="H214" s="27">
        <v>622300</v>
      </c>
      <c r="I214" s="5">
        <v>24892</v>
      </c>
      <c r="J214" s="27">
        <v>597408</v>
      </c>
      <c r="K214" s="27">
        <v>462280</v>
      </c>
      <c r="L214" s="5">
        <v>135128</v>
      </c>
      <c r="M214" s="28">
        <v>41609</v>
      </c>
      <c r="N214" s="3">
        <v>12</v>
      </c>
      <c r="O214" s="29" t="s">
        <v>25</v>
      </c>
      <c r="P214" s="3">
        <v>2013</v>
      </c>
      <c r="Q214" s="6">
        <f>New_Finance_Data[[#This Row],[ Profit ]]/New_Finance_Data[[#This Row],[  Sales ]]</f>
        <v>0.22619047619047619</v>
      </c>
      <c r="R214" t="str">
        <f>IF(New_Finance_Data[[#This Row],[  Sales ]]&gt;=100000,"High",IF(New_Finance_Data[[#This Row],[  Sales ]]&gt;=50000,"Medium","Low"))</f>
        <v>High</v>
      </c>
      <c r="S214" t="str">
        <f>IF(OR(ISBLANK(New_Finance_Data[[#This Row],[  Sales ]]),ISBLANK(New_Finance_Data[[#This Row],[ Profit ]])),"Missing","OK")</f>
        <v>OK</v>
      </c>
      <c r="T214" t="str">
        <f>TEXT(New_Finance_Data[[#This Row],[Date]],"MMM-YYYY")</f>
        <v>Dec-2013</v>
      </c>
      <c r="U214" t="str">
        <f>IF(New_Finance_Data[[#This Row],[ Profit ]]&gt;0,"Profit","Loss")</f>
        <v>Profit</v>
      </c>
      <c r="V214" t="str">
        <f>IF(New_Finance_Data[[#This Row],[  Sales ]]&gt;=50000,"High Sales","Low Sales")</f>
        <v>High Sales</v>
      </c>
      <c r="W214" t="b">
        <f>ISNUMBER(New_Finance_Data[[#This Row],[Date]])</f>
        <v>1</v>
      </c>
    </row>
    <row r="215" spans="1:23" x14ac:dyDescent="0.2">
      <c r="A215" t="s">
        <v>15</v>
      </c>
      <c r="B215" t="s">
        <v>20</v>
      </c>
      <c r="C215" t="s">
        <v>26</v>
      </c>
      <c r="D215" t="s">
        <v>45</v>
      </c>
      <c r="E215" s="27">
        <v>1159</v>
      </c>
      <c r="F215" s="27">
        <v>5</v>
      </c>
      <c r="G215" s="27">
        <v>7</v>
      </c>
      <c r="H215" s="27">
        <v>8113</v>
      </c>
      <c r="I215" s="5">
        <v>405.65</v>
      </c>
      <c r="J215" s="27">
        <v>7707.35</v>
      </c>
      <c r="K215" s="27">
        <v>5795</v>
      </c>
      <c r="L215" s="5">
        <v>1912.35</v>
      </c>
      <c r="M215" s="28">
        <v>41548</v>
      </c>
      <c r="N215" s="3">
        <v>10</v>
      </c>
      <c r="O215" s="29" t="s">
        <v>34</v>
      </c>
      <c r="P215" s="3">
        <v>2013</v>
      </c>
      <c r="Q215" s="6">
        <f>New_Finance_Data[[#This Row],[ Profit ]]/New_Finance_Data[[#This Row],[  Sales ]]</f>
        <v>0.24812030075187969</v>
      </c>
      <c r="R215" t="str">
        <f>IF(New_Finance_Data[[#This Row],[  Sales ]]&gt;=100000,"High",IF(New_Finance_Data[[#This Row],[  Sales ]]&gt;=50000,"Medium","Low"))</f>
        <v>Low</v>
      </c>
      <c r="S215" t="str">
        <f>IF(OR(ISBLANK(New_Finance_Data[[#This Row],[  Sales ]]),ISBLANK(New_Finance_Data[[#This Row],[ Profit ]])),"Missing","OK")</f>
        <v>OK</v>
      </c>
      <c r="T215" t="str">
        <f>TEXT(New_Finance_Data[[#This Row],[Date]],"MMM-YYYY")</f>
        <v>Oct-2013</v>
      </c>
      <c r="U215" t="str">
        <f>IF(New_Finance_Data[[#This Row],[ Profit ]]&gt;0,"Profit","Loss")</f>
        <v>Profit</v>
      </c>
      <c r="V215" t="str">
        <f>IF(New_Finance_Data[[#This Row],[  Sales ]]&gt;=50000,"High Sales","Low Sales")</f>
        <v>Low Sales</v>
      </c>
      <c r="W215" t="b">
        <f>ISNUMBER(New_Finance_Data[[#This Row],[Date]])</f>
        <v>1</v>
      </c>
    </row>
    <row r="216" spans="1:23" x14ac:dyDescent="0.2">
      <c r="A216" t="s">
        <v>15</v>
      </c>
      <c r="B216" t="s">
        <v>20</v>
      </c>
      <c r="C216" t="s">
        <v>36</v>
      </c>
      <c r="D216" t="s">
        <v>45</v>
      </c>
      <c r="E216" s="27">
        <v>1372</v>
      </c>
      <c r="F216" s="27">
        <v>10</v>
      </c>
      <c r="G216" s="27">
        <v>7</v>
      </c>
      <c r="H216" s="27">
        <v>9604</v>
      </c>
      <c r="I216" s="5">
        <v>480.2</v>
      </c>
      <c r="J216" s="27">
        <v>9123.7999999999993</v>
      </c>
      <c r="K216" s="27">
        <v>6860</v>
      </c>
      <c r="L216" s="5">
        <v>2263.8000000000002</v>
      </c>
      <c r="M216" s="28">
        <v>41640</v>
      </c>
      <c r="N216" s="3">
        <v>1</v>
      </c>
      <c r="O216" s="29" t="s">
        <v>19</v>
      </c>
      <c r="P216" s="3">
        <v>2014</v>
      </c>
      <c r="Q216" s="6">
        <f>New_Finance_Data[[#This Row],[ Profit ]]/New_Finance_Data[[#This Row],[  Sales ]]</f>
        <v>0.24812030075187974</v>
      </c>
      <c r="R216" t="str">
        <f>IF(New_Finance_Data[[#This Row],[  Sales ]]&gt;=100000,"High",IF(New_Finance_Data[[#This Row],[  Sales ]]&gt;=50000,"Medium","Low"))</f>
        <v>Low</v>
      </c>
      <c r="S216" t="str">
        <f>IF(OR(ISBLANK(New_Finance_Data[[#This Row],[  Sales ]]),ISBLANK(New_Finance_Data[[#This Row],[ Profit ]])),"Missing","OK")</f>
        <v>OK</v>
      </c>
      <c r="T216" t="str">
        <f>TEXT(New_Finance_Data[[#This Row],[Date]],"MMM-YYYY")</f>
        <v>Jan-2014</v>
      </c>
      <c r="U216" t="str">
        <f>IF(New_Finance_Data[[#This Row],[ Profit ]]&gt;0,"Profit","Loss")</f>
        <v>Profit</v>
      </c>
      <c r="V216" t="str">
        <f>IF(New_Finance_Data[[#This Row],[  Sales ]]&gt;=50000,"High Sales","Low Sales")</f>
        <v>Low Sales</v>
      </c>
      <c r="W216" t="b">
        <f>ISNUMBER(New_Finance_Data[[#This Row],[Date]])</f>
        <v>1</v>
      </c>
    </row>
    <row r="217" spans="1:23" x14ac:dyDescent="0.2">
      <c r="A217" t="s">
        <v>15</v>
      </c>
      <c r="B217" t="s">
        <v>16</v>
      </c>
      <c r="C217" t="s">
        <v>36</v>
      </c>
      <c r="D217" t="s">
        <v>45</v>
      </c>
      <c r="E217" s="27">
        <v>2349</v>
      </c>
      <c r="F217" s="27">
        <v>10</v>
      </c>
      <c r="G217" s="27">
        <v>7</v>
      </c>
      <c r="H217" s="27">
        <v>16443</v>
      </c>
      <c r="I217" s="5">
        <v>822.15</v>
      </c>
      <c r="J217" s="27">
        <v>15620.85</v>
      </c>
      <c r="K217" s="27">
        <v>11745</v>
      </c>
      <c r="L217" s="5">
        <v>3875.85</v>
      </c>
      <c r="M217" s="28">
        <v>41518</v>
      </c>
      <c r="N217" s="3">
        <v>9</v>
      </c>
      <c r="O217" s="29" t="s">
        <v>33</v>
      </c>
      <c r="P217" s="3">
        <v>2013</v>
      </c>
      <c r="Q217" s="6">
        <f>New_Finance_Data[[#This Row],[ Profit ]]/New_Finance_Data[[#This Row],[  Sales ]]</f>
        <v>0.24812030075187969</v>
      </c>
      <c r="R217" t="str">
        <f>IF(New_Finance_Data[[#This Row],[  Sales ]]&gt;=100000,"High",IF(New_Finance_Data[[#This Row],[  Sales ]]&gt;=50000,"Medium","Low"))</f>
        <v>Low</v>
      </c>
      <c r="S217" t="str">
        <f>IF(OR(ISBLANK(New_Finance_Data[[#This Row],[  Sales ]]),ISBLANK(New_Finance_Data[[#This Row],[ Profit ]])),"Missing","OK")</f>
        <v>OK</v>
      </c>
      <c r="T217" t="str">
        <f>TEXT(New_Finance_Data[[#This Row],[Date]],"MMM-YYYY")</f>
        <v>Sep-2013</v>
      </c>
      <c r="U217" t="str">
        <f>IF(New_Finance_Data[[#This Row],[ Profit ]]&gt;0,"Profit","Loss")</f>
        <v>Profit</v>
      </c>
      <c r="V217" t="str">
        <f>IF(New_Finance_Data[[#This Row],[  Sales ]]&gt;=50000,"High Sales","Low Sales")</f>
        <v>Low Sales</v>
      </c>
      <c r="W217" t="b">
        <f>ISNUMBER(New_Finance_Data[[#This Row],[Date]])</f>
        <v>1</v>
      </c>
    </row>
    <row r="218" spans="1:23" x14ac:dyDescent="0.2">
      <c r="A218" t="s">
        <v>15</v>
      </c>
      <c r="B218" t="s">
        <v>24</v>
      </c>
      <c r="C218" t="s">
        <v>36</v>
      </c>
      <c r="D218" t="s">
        <v>45</v>
      </c>
      <c r="E218" s="27">
        <v>2689</v>
      </c>
      <c r="F218" s="27">
        <v>10</v>
      </c>
      <c r="G218" s="27">
        <v>7</v>
      </c>
      <c r="H218" s="27">
        <v>18823</v>
      </c>
      <c r="I218" s="5">
        <v>941.15</v>
      </c>
      <c r="J218" s="27">
        <v>17881.849999999999</v>
      </c>
      <c r="K218" s="27">
        <v>13445</v>
      </c>
      <c r="L218" s="5">
        <v>4436.8500000000004</v>
      </c>
      <c r="M218" s="28">
        <v>41913</v>
      </c>
      <c r="N218" s="3">
        <v>10</v>
      </c>
      <c r="O218" s="29" t="s">
        <v>34</v>
      </c>
      <c r="P218" s="3">
        <v>2014</v>
      </c>
      <c r="Q218" s="6">
        <f>New_Finance_Data[[#This Row],[ Profit ]]/New_Finance_Data[[#This Row],[  Sales ]]</f>
        <v>0.24812030075187974</v>
      </c>
      <c r="R218" t="str">
        <f>IF(New_Finance_Data[[#This Row],[  Sales ]]&gt;=100000,"High",IF(New_Finance_Data[[#This Row],[  Sales ]]&gt;=50000,"Medium","Low"))</f>
        <v>Low</v>
      </c>
      <c r="S218" t="str">
        <f>IF(OR(ISBLANK(New_Finance_Data[[#This Row],[  Sales ]]),ISBLANK(New_Finance_Data[[#This Row],[ Profit ]])),"Missing","OK")</f>
        <v>OK</v>
      </c>
      <c r="T218" t="str">
        <f>TEXT(New_Finance_Data[[#This Row],[Date]],"MMM-YYYY")</f>
        <v>Oct-2014</v>
      </c>
      <c r="U218" t="str">
        <f>IF(New_Finance_Data[[#This Row],[ Profit ]]&gt;0,"Profit","Loss")</f>
        <v>Profit</v>
      </c>
      <c r="V218" t="str">
        <f>IF(New_Finance_Data[[#This Row],[  Sales ]]&gt;=50000,"High Sales","Low Sales")</f>
        <v>Low Sales</v>
      </c>
      <c r="W218" t="b">
        <f>ISNUMBER(New_Finance_Data[[#This Row],[Date]])</f>
        <v>1</v>
      </c>
    </row>
    <row r="219" spans="1:23" x14ac:dyDescent="0.2">
      <c r="A219" t="s">
        <v>28</v>
      </c>
      <c r="B219" t="s">
        <v>16</v>
      </c>
      <c r="C219" t="s">
        <v>36</v>
      </c>
      <c r="D219" t="s">
        <v>45</v>
      </c>
      <c r="E219" s="27">
        <v>2431</v>
      </c>
      <c r="F219" s="27">
        <v>10</v>
      </c>
      <c r="G219" s="27">
        <v>12</v>
      </c>
      <c r="H219" s="27">
        <v>29172</v>
      </c>
      <c r="I219" s="5">
        <v>1458.6</v>
      </c>
      <c r="J219" s="27">
        <v>27713.4</v>
      </c>
      <c r="K219" s="27">
        <v>7293</v>
      </c>
      <c r="L219" s="5">
        <v>20420.400000000001</v>
      </c>
      <c r="M219" s="28">
        <v>41974</v>
      </c>
      <c r="N219" s="3">
        <v>12</v>
      </c>
      <c r="O219" s="29" t="s">
        <v>25</v>
      </c>
      <c r="P219" s="3">
        <v>2014</v>
      </c>
      <c r="Q219" s="6">
        <f>New_Finance_Data[[#This Row],[ Profit ]]/New_Finance_Data[[#This Row],[  Sales ]]</f>
        <v>0.73684210526315785</v>
      </c>
      <c r="R219" t="str">
        <f>IF(New_Finance_Data[[#This Row],[  Sales ]]&gt;=100000,"High",IF(New_Finance_Data[[#This Row],[  Sales ]]&gt;=50000,"Medium","Low"))</f>
        <v>Low</v>
      </c>
      <c r="S219" t="str">
        <f>IF(OR(ISBLANK(New_Finance_Data[[#This Row],[  Sales ]]),ISBLANK(New_Finance_Data[[#This Row],[ Profit ]])),"Missing","OK")</f>
        <v>OK</v>
      </c>
      <c r="T219" t="str">
        <f>TEXT(New_Finance_Data[[#This Row],[Date]],"MMM-YYYY")</f>
        <v>Dec-2014</v>
      </c>
      <c r="U219" t="str">
        <f>IF(New_Finance_Data[[#This Row],[ Profit ]]&gt;0,"Profit","Loss")</f>
        <v>Profit</v>
      </c>
      <c r="V219" t="str">
        <f>IF(New_Finance_Data[[#This Row],[  Sales ]]&gt;=50000,"High Sales","Low Sales")</f>
        <v>Low Sales</v>
      </c>
      <c r="W219" t="b">
        <f>ISNUMBER(New_Finance_Data[[#This Row],[Date]])</f>
        <v>1</v>
      </c>
    </row>
    <row r="220" spans="1:23" x14ac:dyDescent="0.2">
      <c r="A220" t="s">
        <v>28</v>
      </c>
      <c r="B220" t="s">
        <v>16</v>
      </c>
      <c r="C220" t="s">
        <v>39</v>
      </c>
      <c r="D220" t="s">
        <v>45</v>
      </c>
      <c r="E220" s="27">
        <v>2431</v>
      </c>
      <c r="F220" s="27">
        <v>120</v>
      </c>
      <c r="G220" s="27">
        <v>12</v>
      </c>
      <c r="H220" s="27">
        <v>29172</v>
      </c>
      <c r="I220" s="5">
        <v>1458.6</v>
      </c>
      <c r="J220" s="27">
        <v>27713.4</v>
      </c>
      <c r="K220" s="27">
        <v>7293</v>
      </c>
      <c r="L220" s="5">
        <v>20420.400000000001</v>
      </c>
      <c r="M220" s="28">
        <v>41974</v>
      </c>
      <c r="N220" s="3">
        <v>12</v>
      </c>
      <c r="O220" s="29" t="s">
        <v>25</v>
      </c>
      <c r="P220" s="3">
        <v>2014</v>
      </c>
      <c r="Q220" s="6">
        <f>New_Finance_Data[[#This Row],[ Profit ]]/New_Finance_Data[[#This Row],[  Sales ]]</f>
        <v>0.73684210526315785</v>
      </c>
      <c r="R220" t="str">
        <f>IF(New_Finance_Data[[#This Row],[  Sales ]]&gt;=100000,"High",IF(New_Finance_Data[[#This Row],[  Sales ]]&gt;=50000,"Medium","Low"))</f>
        <v>Low</v>
      </c>
      <c r="S220" t="str">
        <f>IF(OR(ISBLANK(New_Finance_Data[[#This Row],[  Sales ]]),ISBLANK(New_Finance_Data[[#This Row],[ Profit ]])),"Missing","OK")</f>
        <v>OK</v>
      </c>
      <c r="T220" t="str">
        <f>TEXT(New_Finance_Data[[#This Row],[Date]],"MMM-YYYY")</f>
        <v>Dec-2014</v>
      </c>
      <c r="U220" t="str">
        <f>IF(New_Finance_Data[[#This Row],[ Profit ]]&gt;0,"Profit","Loss")</f>
        <v>Profit</v>
      </c>
      <c r="V220" t="str">
        <f>IF(New_Finance_Data[[#This Row],[  Sales ]]&gt;=50000,"High Sales","Low Sales")</f>
        <v>Low Sales</v>
      </c>
      <c r="W220" t="b">
        <f>ISNUMBER(New_Finance_Data[[#This Row],[Date]])</f>
        <v>1</v>
      </c>
    </row>
    <row r="221" spans="1:23" x14ac:dyDescent="0.2">
      <c r="A221" t="s">
        <v>15</v>
      </c>
      <c r="B221" t="s">
        <v>24</v>
      </c>
      <c r="C221" t="s">
        <v>40</v>
      </c>
      <c r="D221" t="s">
        <v>45</v>
      </c>
      <c r="E221" s="27">
        <v>2689</v>
      </c>
      <c r="F221" s="27">
        <v>250</v>
      </c>
      <c r="G221" s="27">
        <v>7</v>
      </c>
      <c r="H221" s="27">
        <v>18823</v>
      </c>
      <c r="I221" s="5">
        <v>941.15</v>
      </c>
      <c r="J221" s="27">
        <v>17881.849999999999</v>
      </c>
      <c r="K221" s="27">
        <v>13445</v>
      </c>
      <c r="L221" s="5">
        <v>4436.8500000000004</v>
      </c>
      <c r="M221" s="28">
        <v>41913</v>
      </c>
      <c r="N221" s="3">
        <v>10</v>
      </c>
      <c r="O221" s="29" t="s">
        <v>34</v>
      </c>
      <c r="P221" s="3">
        <v>2014</v>
      </c>
      <c r="Q221" s="6">
        <f>New_Finance_Data[[#This Row],[ Profit ]]/New_Finance_Data[[#This Row],[  Sales ]]</f>
        <v>0.24812030075187974</v>
      </c>
      <c r="R221" t="str">
        <f>IF(New_Finance_Data[[#This Row],[  Sales ]]&gt;=100000,"High",IF(New_Finance_Data[[#This Row],[  Sales ]]&gt;=50000,"Medium","Low"))</f>
        <v>Low</v>
      </c>
      <c r="S221" t="str">
        <f>IF(OR(ISBLANK(New_Finance_Data[[#This Row],[  Sales ]]),ISBLANK(New_Finance_Data[[#This Row],[ Profit ]])),"Missing","OK")</f>
        <v>OK</v>
      </c>
      <c r="T221" t="str">
        <f>TEXT(New_Finance_Data[[#This Row],[Date]],"MMM-YYYY")</f>
        <v>Oct-2014</v>
      </c>
      <c r="U221" t="str">
        <f>IF(New_Finance_Data[[#This Row],[ Profit ]]&gt;0,"Profit","Loss")</f>
        <v>Profit</v>
      </c>
      <c r="V221" t="str">
        <f>IF(New_Finance_Data[[#This Row],[  Sales ]]&gt;=50000,"High Sales","Low Sales")</f>
        <v>Low Sales</v>
      </c>
      <c r="W221" t="b">
        <f>ISNUMBER(New_Finance_Data[[#This Row],[Date]])</f>
        <v>1</v>
      </c>
    </row>
    <row r="222" spans="1:23" x14ac:dyDescent="0.2">
      <c r="A222" t="s">
        <v>15</v>
      </c>
      <c r="B222" t="s">
        <v>24</v>
      </c>
      <c r="C222" t="s">
        <v>42</v>
      </c>
      <c r="D222" t="s">
        <v>45</v>
      </c>
      <c r="E222" s="27">
        <v>1683</v>
      </c>
      <c r="F222" s="27">
        <v>260</v>
      </c>
      <c r="G222" s="27">
        <v>7</v>
      </c>
      <c r="H222" s="27">
        <v>11781</v>
      </c>
      <c r="I222" s="5">
        <v>589.04999999999995</v>
      </c>
      <c r="J222" s="27">
        <v>11191.95</v>
      </c>
      <c r="K222" s="27">
        <v>8415</v>
      </c>
      <c r="L222" s="5">
        <v>2776.95</v>
      </c>
      <c r="M222" s="28">
        <v>41821</v>
      </c>
      <c r="N222" s="3">
        <v>7</v>
      </c>
      <c r="O222" s="29" t="s">
        <v>30</v>
      </c>
      <c r="P222" s="3">
        <v>2014</v>
      </c>
      <c r="Q222" s="6">
        <f>New_Finance_Data[[#This Row],[ Profit ]]/New_Finance_Data[[#This Row],[  Sales ]]</f>
        <v>0.24812030075187966</v>
      </c>
      <c r="R222" t="str">
        <f>IF(New_Finance_Data[[#This Row],[  Sales ]]&gt;=100000,"High",IF(New_Finance_Data[[#This Row],[  Sales ]]&gt;=50000,"Medium","Low"))</f>
        <v>Low</v>
      </c>
      <c r="S222" t="str">
        <f>IF(OR(ISBLANK(New_Finance_Data[[#This Row],[  Sales ]]),ISBLANK(New_Finance_Data[[#This Row],[ Profit ]])),"Missing","OK")</f>
        <v>OK</v>
      </c>
      <c r="T222" t="str">
        <f>TEXT(New_Finance_Data[[#This Row],[Date]],"MMM-YYYY")</f>
        <v>Jul-2014</v>
      </c>
      <c r="U222" t="str">
        <f>IF(New_Finance_Data[[#This Row],[ Profit ]]&gt;0,"Profit","Loss")</f>
        <v>Profit</v>
      </c>
      <c r="V222" t="str">
        <f>IF(New_Finance_Data[[#This Row],[  Sales ]]&gt;=50000,"High Sales","Low Sales")</f>
        <v>Low Sales</v>
      </c>
      <c r="W222" t="b">
        <f>ISNUMBER(New_Finance_Data[[#This Row],[Date]])</f>
        <v>1</v>
      </c>
    </row>
    <row r="223" spans="1:23" x14ac:dyDescent="0.2">
      <c r="A223" t="s">
        <v>28</v>
      </c>
      <c r="B223" t="s">
        <v>24</v>
      </c>
      <c r="C223" t="s">
        <v>42</v>
      </c>
      <c r="D223" t="s">
        <v>45</v>
      </c>
      <c r="E223" s="27">
        <v>1123</v>
      </c>
      <c r="F223" s="27">
        <v>260</v>
      </c>
      <c r="G223" s="27">
        <v>12</v>
      </c>
      <c r="H223" s="27">
        <v>13476</v>
      </c>
      <c r="I223" s="5">
        <v>673.8</v>
      </c>
      <c r="J223" s="27">
        <v>12802.2</v>
      </c>
      <c r="K223" s="27">
        <v>3369</v>
      </c>
      <c r="L223" s="5">
        <v>9433.2000000000007</v>
      </c>
      <c r="M223" s="28">
        <v>41852</v>
      </c>
      <c r="N223" s="3">
        <v>8</v>
      </c>
      <c r="O223" s="29" t="s">
        <v>32</v>
      </c>
      <c r="P223" s="3">
        <v>2014</v>
      </c>
      <c r="Q223" s="6">
        <f>New_Finance_Data[[#This Row],[ Profit ]]/New_Finance_Data[[#This Row],[  Sales ]]</f>
        <v>0.73684210526315796</v>
      </c>
      <c r="R223" t="str">
        <f>IF(New_Finance_Data[[#This Row],[  Sales ]]&gt;=100000,"High",IF(New_Finance_Data[[#This Row],[  Sales ]]&gt;=50000,"Medium","Low"))</f>
        <v>Low</v>
      </c>
      <c r="S223" t="str">
        <f>IF(OR(ISBLANK(New_Finance_Data[[#This Row],[  Sales ]]),ISBLANK(New_Finance_Data[[#This Row],[ Profit ]])),"Missing","OK")</f>
        <v>OK</v>
      </c>
      <c r="T223" t="str">
        <f>TEXT(New_Finance_Data[[#This Row],[Date]],"MMM-YYYY")</f>
        <v>Aug-2014</v>
      </c>
      <c r="U223" t="str">
        <f>IF(New_Finance_Data[[#This Row],[ Profit ]]&gt;0,"Profit","Loss")</f>
        <v>Profit</v>
      </c>
      <c r="V223" t="str">
        <f>IF(New_Finance_Data[[#This Row],[  Sales ]]&gt;=50000,"High Sales","Low Sales")</f>
        <v>Low Sales</v>
      </c>
      <c r="W223" t="b">
        <f>ISNUMBER(New_Finance_Data[[#This Row],[Date]])</f>
        <v>1</v>
      </c>
    </row>
    <row r="224" spans="1:23" x14ac:dyDescent="0.2">
      <c r="A224" t="s">
        <v>15</v>
      </c>
      <c r="B224" t="s">
        <v>20</v>
      </c>
      <c r="C224" t="s">
        <v>42</v>
      </c>
      <c r="D224" t="s">
        <v>45</v>
      </c>
      <c r="E224" s="27">
        <v>1159</v>
      </c>
      <c r="F224" s="27">
        <v>260</v>
      </c>
      <c r="G224" s="27">
        <v>7</v>
      </c>
      <c r="H224" s="27">
        <v>8113</v>
      </c>
      <c r="I224" s="5">
        <v>405.65</v>
      </c>
      <c r="J224" s="27">
        <v>7707.35</v>
      </c>
      <c r="K224" s="27">
        <v>5795</v>
      </c>
      <c r="L224" s="5">
        <v>1912.35</v>
      </c>
      <c r="M224" s="28">
        <v>41548</v>
      </c>
      <c r="N224" s="3">
        <v>10</v>
      </c>
      <c r="O224" s="29" t="s">
        <v>34</v>
      </c>
      <c r="P224" s="3">
        <v>2013</v>
      </c>
      <c r="Q224" s="6">
        <f>New_Finance_Data[[#This Row],[ Profit ]]/New_Finance_Data[[#This Row],[  Sales ]]</f>
        <v>0.24812030075187969</v>
      </c>
      <c r="R224" t="str">
        <f>IF(New_Finance_Data[[#This Row],[  Sales ]]&gt;=100000,"High",IF(New_Finance_Data[[#This Row],[  Sales ]]&gt;=50000,"Medium","Low"))</f>
        <v>Low</v>
      </c>
      <c r="S224" t="str">
        <f>IF(OR(ISBLANK(New_Finance_Data[[#This Row],[  Sales ]]),ISBLANK(New_Finance_Data[[#This Row],[ Profit ]])),"Missing","OK")</f>
        <v>OK</v>
      </c>
      <c r="T224" t="str">
        <f>TEXT(New_Finance_Data[[#This Row],[Date]],"MMM-YYYY")</f>
        <v>Oct-2013</v>
      </c>
      <c r="U224" t="str">
        <f>IF(New_Finance_Data[[#This Row],[ Profit ]]&gt;0,"Profit","Loss")</f>
        <v>Profit</v>
      </c>
      <c r="V224" t="str">
        <f>IF(New_Finance_Data[[#This Row],[  Sales ]]&gt;=50000,"High Sales","Low Sales")</f>
        <v>Low Sales</v>
      </c>
      <c r="W224" t="b">
        <f>ISNUMBER(New_Finance_Data[[#This Row],[Date]])</f>
        <v>1</v>
      </c>
    </row>
    <row r="225" spans="1:23" x14ac:dyDescent="0.2">
      <c r="A225" t="s">
        <v>28</v>
      </c>
      <c r="B225" t="s">
        <v>22</v>
      </c>
      <c r="C225" t="s">
        <v>17</v>
      </c>
      <c r="D225" t="s">
        <v>45</v>
      </c>
      <c r="E225" s="27">
        <v>1865</v>
      </c>
      <c r="F225" s="27">
        <v>3</v>
      </c>
      <c r="G225" s="27">
        <v>12</v>
      </c>
      <c r="H225" s="27">
        <v>22380</v>
      </c>
      <c r="I225" s="5">
        <v>1119</v>
      </c>
      <c r="J225" s="27">
        <v>21261</v>
      </c>
      <c r="K225" s="27">
        <v>5595</v>
      </c>
      <c r="L225" s="5">
        <v>15666</v>
      </c>
      <c r="M225" s="28">
        <v>41671</v>
      </c>
      <c r="N225" s="3">
        <v>2</v>
      </c>
      <c r="O225" s="29" t="s">
        <v>37</v>
      </c>
      <c r="P225" s="3">
        <v>2014</v>
      </c>
      <c r="Q225" s="6">
        <f>New_Finance_Data[[#This Row],[ Profit ]]/New_Finance_Data[[#This Row],[  Sales ]]</f>
        <v>0.73684210526315785</v>
      </c>
      <c r="R225" t="str">
        <f>IF(New_Finance_Data[[#This Row],[  Sales ]]&gt;=100000,"High",IF(New_Finance_Data[[#This Row],[  Sales ]]&gt;=50000,"Medium","Low"))</f>
        <v>Low</v>
      </c>
      <c r="S225" t="str">
        <f>IF(OR(ISBLANK(New_Finance_Data[[#This Row],[  Sales ]]),ISBLANK(New_Finance_Data[[#This Row],[ Profit ]])),"Missing","OK")</f>
        <v>OK</v>
      </c>
      <c r="T225" t="str">
        <f>TEXT(New_Finance_Data[[#This Row],[Date]],"MMM-YYYY")</f>
        <v>Feb-2014</v>
      </c>
      <c r="U225" t="str">
        <f>IF(New_Finance_Data[[#This Row],[ Profit ]]&gt;0,"Profit","Loss")</f>
        <v>Profit</v>
      </c>
      <c r="V225" t="str">
        <f>IF(New_Finance_Data[[#This Row],[  Sales ]]&gt;=50000,"High Sales","Low Sales")</f>
        <v>Low Sales</v>
      </c>
      <c r="W225" t="b">
        <f>ISNUMBER(New_Finance_Data[[#This Row],[Date]])</f>
        <v>1</v>
      </c>
    </row>
    <row r="226" spans="1:23" x14ac:dyDescent="0.2">
      <c r="A226" t="s">
        <v>28</v>
      </c>
      <c r="B226" t="s">
        <v>20</v>
      </c>
      <c r="C226" t="s">
        <v>17</v>
      </c>
      <c r="D226" t="s">
        <v>45</v>
      </c>
      <c r="E226" s="27">
        <v>1116</v>
      </c>
      <c r="F226" s="27">
        <v>3</v>
      </c>
      <c r="G226" s="27">
        <v>12</v>
      </c>
      <c r="H226" s="27">
        <v>13392</v>
      </c>
      <c r="I226" s="5">
        <v>669.6</v>
      </c>
      <c r="J226" s="27">
        <v>12722.4</v>
      </c>
      <c r="K226" s="27">
        <v>3348</v>
      </c>
      <c r="L226" s="5">
        <v>9374.4</v>
      </c>
      <c r="M226" s="28">
        <v>41671</v>
      </c>
      <c r="N226" s="3">
        <v>2</v>
      </c>
      <c r="O226" s="29" t="s">
        <v>37</v>
      </c>
      <c r="P226" s="3">
        <v>2014</v>
      </c>
      <c r="Q226" s="6">
        <f>New_Finance_Data[[#This Row],[ Profit ]]/New_Finance_Data[[#This Row],[  Sales ]]</f>
        <v>0.73684210526315785</v>
      </c>
      <c r="R226" t="str">
        <f>IF(New_Finance_Data[[#This Row],[  Sales ]]&gt;=100000,"High",IF(New_Finance_Data[[#This Row],[  Sales ]]&gt;=50000,"Medium","Low"))</f>
        <v>Low</v>
      </c>
      <c r="S226" t="str">
        <f>IF(OR(ISBLANK(New_Finance_Data[[#This Row],[  Sales ]]),ISBLANK(New_Finance_Data[[#This Row],[ Profit ]])),"Missing","OK")</f>
        <v>OK</v>
      </c>
      <c r="T226" t="str">
        <f>TEXT(New_Finance_Data[[#This Row],[Date]],"MMM-YYYY")</f>
        <v>Feb-2014</v>
      </c>
      <c r="U226" t="str">
        <f>IF(New_Finance_Data[[#This Row],[ Profit ]]&gt;0,"Profit","Loss")</f>
        <v>Profit</v>
      </c>
      <c r="V226" t="str">
        <f>IF(New_Finance_Data[[#This Row],[  Sales ]]&gt;=50000,"High Sales","Low Sales")</f>
        <v>Low Sales</v>
      </c>
      <c r="W226" t="b">
        <f>ISNUMBER(New_Finance_Data[[#This Row],[Date]])</f>
        <v>1</v>
      </c>
    </row>
    <row r="227" spans="1:23" x14ac:dyDescent="0.2">
      <c r="A227" t="s">
        <v>15</v>
      </c>
      <c r="B227" t="s">
        <v>22</v>
      </c>
      <c r="C227" t="s">
        <v>17</v>
      </c>
      <c r="D227" t="s">
        <v>45</v>
      </c>
      <c r="E227" s="27">
        <v>1563</v>
      </c>
      <c r="F227" s="27">
        <v>3</v>
      </c>
      <c r="G227" s="27">
        <v>20</v>
      </c>
      <c r="H227" s="27">
        <v>31260</v>
      </c>
      <c r="I227" s="5">
        <v>1563</v>
      </c>
      <c r="J227" s="27">
        <v>29697</v>
      </c>
      <c r="K227" s="27">
        <v>15630</v>
      </c>
      <c r="L227" s="5">
        <v>14067</v>
      </c>
      <c r="M227" s="28">
        <v>41760</v>
      </c>
      <c r="N227" s="3">
        <v>5</v>
      </c>
      <c r="O227" s="29" t="s">
        <v>44</v>
      </c>
      <c r="P227" s="3">
        <v>2014</v>
      </c>
      <c r="Q227" s="6">
        <f>New_Finance_Data[[#This Row],[ Profit ]]/New_Finance_Data[[#This Row],[  Sales ]]</f>
        <v>0.47368421052631576</v>
      </c>
      <c r="R227" t="str">
        <f>IF(New_Finance_Data[[#This Row],[  Sales ]]&gt;=100000,"High",IF(New_Finance_Data[[#This Row],[  Sales ]]&gt;=50000,"Medium","Low"))</f>
        <v>Low</v>
      </c>
      <c r="S227" t="str">
        <f>IF(OR(ISBLANK(New_Finance_Data[[#This Row],[  Sales ]]),ISBLANK(New_Finance_Data[[#This Row],[ Profit ]])),"Missing","OK")</f>
        <v>OK</v>
      </c>
      <c r="T227" t="str">
        <f>TEXT(New_Finance_Data[[#This Row],[Date]],"MMM-YYYY")</f>
        <v>May-2014</v>
      </c>
      <c r="U227" t="str">
        <f>IF(New_Finance_Data[[#This Row],[ Profit ]]&gt;0,"Profit","Loss")</f>
        <v>Profit</v>
      </c>
      <c r="V227" t="str">
        <f>IF(New_Finance_Data[[#This Row],[  Sales ]]&gt;=50000,"High Sales","Low Sales")</f>
        <v>Low Sales</v>
      </c>
      <c r="W227" t="b">
        <f>ISNUMBER(New_Finance_Data[[#This Row],[Date]])</f>
        <v>1</v>
      </c>
    </row>
    <row r="228" spans="1:23" x14ac:dyDescent="0.2">
      <c r="A228" t="s">
        <v>31</v>
      </c>
      <c r="B228" t="s">
        <v>35</v>
      </c>
      <c r="C228" t="s">
        <v>17</v>
      </c>
      <c r="D228" t="s">
        <v>45</v>
      </c>
      <c r="E228" s="27">
        <v>991</v>
      </c>
      <c r="F228" s="27">
        <v>3</v>
      </c>
      <c r="G228" s="27">
        <v>300</v>
      </c>
      <c r="H228" s="27">
        <v>297300</v>
      </c>
      <c r="I228" s="5">
        <v>14865</v>
      </c>
      <c r="J228" s="27">
        <v>282435</v>
      </c>
      <c r="K228" s="27">
        <v>247750</v>
      </c>
      <c r="L228" s="5">
        <v>34685</v>
      </c>
      <c r="M228" s="28">
        <v>41791</v>
      </c>
      <c r="N228" s="3">
        <v>6</v>
      </c>
      <c r="O228" s="29" t="s">
        <v>23</v>
      </c>
      <c r="P228" s="3">
        <v>2014</v>
      </c>
      <c r="Q228" s="6">
        <f>New_Finance_Data[[#This Row],[ Profit ]]/New_Finance_Data[[#This Row],[  Sales ]]</f>
        <v>0.12280701754385964</v>
      </c>
      <c r="R228" t="str">
        <f>IF(New_Finance_Data[[#This Row],[  Sales ]]&gt;=100000,"High",IF(New_Finance_Data[[#This Row],[  Sales ]]&gt;=50000,"Medium","Low"))</f>
        <v>High</v>
      </c>
      <c r="S228" t="str">
        <f>IF(OR(ISBLANK(New_Finance_Data[[#This Row],[  Sales ]]),ISBLANK(New_Finance_Data[[#This Row],[ Profit ]])),"Missing","OK")</f>
        <v>OK</v>
      </c>
      <c r="T228" t="str">
        <f>TEXT(New_Finance_Data[[#This Row],[Date]],"MMM-YYYY")</f>
        <v>Jun-2014</v>
      </c>
      <c r="U228" t="str">
        <f>IF(New_Finance_Data[[#This Row],[ Profit ]]&gt;0,"Profit","Loss")</f>
        <v>Profit</v>
      </c>
      <c r="V228" t="str">
        <f>IF(New_Finance_Data[[#This Row],[  Sales ]]&gt;=50000,"High Sales","Low Sales")</f>
        <v>High Sales</v>
      </c>
      <c r="W228" t="b">
        <f>ISNUMBER(New_Finance_Data[[#This Row],[Date]])</f>
        <v>1</v>
      </c>
    </row>
    <row r="229" spans="1:23" x14ac:dyDescent="0.2">
      <c r="A229" t="s">
        <v>15</v>
      </c>
      <c r="B229" t="s">
        <v>20</v>
      </c>
      <c r="C229" t="s">
        <v>17</v>
      </c>
      <c r="D229" t="s">
        <v>45</v>
      </c>
      <c r="E229" s="27">
        <v>1016</v>
      </c>
      <c r="F229" s="27">
        <v>3</v>
      </c>
      <c r="G229" s="27">
        <v>7</v>
      </c>
      <c r="H229" s="27">
        <v>7112</v>
      </c>
      <c r="I229" s="5">
        <v>355.6</v>
      </c>
      <c r="J229" s="27">
        <v>6756.4</v>
      </c>
      <c r="K229" s="27">
        <v>5080</v>
      </c>
      <c r="L229" s="5">
        <v>1676.4</v>
      </c>
      <c r="M229" s="28">
        <v>41579</v>
      </c>
      <c r="N229" s="3">
        <v>11</v>
      </c>
      <c r="O229" s="29" t="s">
        <v>38</v>
      </c>
      <c r="P229" s="3">
        <v>2013</v>
      </c>
      <c r="Q229" s="6">
        <f>New_Finance_Data[[#This Row],[ Profit ]]/New_Finance_Data[[#This Row],[  Sales ]]</f>
        <v>0.24812030075187971</v>
      </c>
      <c r="R229" t="str">
        <f>IF(New_Finance_Data[[#This Row],[  Sales ]]&gt;=100000,"High",IF(New_Finance_Data[[#This Row],[  Sales ]]&gt;=50000,"Medium","Low"))</f>
        <v>Low</v>
      </c>
      <c r="S229" t="str">
        <f>IF(OR(ISBLANK(New_Finance_Data[[#This Row],[  Sales ]]),ISBLANK(New_Finance_Data[[#This Row],[ Profit ]])),"Missing","OK")</f>
        <v>OK</v>
      </c>
      <c r="T229" t="str">
        <f>TEXT(New_Finance_Data[[#This Row],[Date]],"MMM-YYYY")</f>
        <v>Nov-2013</v>
      </c>
      <c r="U229" t="str">
        <f>IF(New_Finance_Data[[#This Row],[ Profit ]]&gt;0,"Profit","Loss")</f>
        <v>Profit</v>
      </c>
      <c r="V229" t="str">
        <f>IF(New_Finance_Data[[#This Row],[  Sales ]]&gt;=50000,"High Sales","Low Sales")</f>
        <v>Low Sales</v>
      </c>
      <c r="W229" t="b">
        <f>ISNUMBER(New_Finance_Data[[#This Row],[Date]])</f>
        <v>1</v>
      </c>
    </row>
    <row r="230" spans="1:23" x14ac:dyDescent="0.2">
      <c r="A230" t="s">
        <v>21</v>
      </c>
      <c r="B230" t="s">
        <v>24</v>
      </c>
      <c r="C230" t="s">
        <v>17</v>
      </c>
      <c r="D230" t="s">
        <v>45</v>
      </c>
      <c r="E230" s="27">
        <v>2791</v>
      </c>
      <c r="F230" s="27">
        <v>3</v>
      </c>
      <c r="G230" s="27">
        <v>15</v>
      </c>
      <c r="H230" s="27">
        <v>41865</v>
      </c>
      <c r="I230" s="5">
        <v>2093.25</v>
      </c>
      <c r="J230" s="27">
        <v>39771.75</v>
      </c>
      <c r="K230" s="27">
        <v>27910</v>
      </c>
      <c r="L230" s="5">
        <v>11861.75</v>
      </c>
      <c r="M230" s="28">
        <v>41944</v>
      </c>
      <c r="N230" s="3">
        <v>11</v>
      </c>
      <c r="O230" s="29" t="s">
        <v>38</v>
      </c>
      <c r="P230" s="3">
        <v>2014</v>
      </c>
      <c r="Q230" s="6">
        <f>New_Finance_Data[[#This Row],[ Profit ]]/New_Finance_Data[[#This Row],[  Sales ]]</f>
        <v>0.2982456140350877</v>
      </c>
      <c r="R230" t="str">
        <f>IF(New_Finance_Data[[#This Row],[  Sales ]]&gt;=100000,"High",IF(New_Finance_Data[[#This Row],[  Sales ]]&gt;=50000,"Medium","Low"))</f>
        <v>Low</v>
      </c>
      <c r="S230" t="str">
        <f>IF(OR(ISBLANK(New_Finance_Data[[#This Row],[  Sales ]]),ISBLANK(New_Finance_Data[[#This Row],[ Profit ]])),"Missing","OK")</f>
        <v>OK</v>
      </c>
      <c r="T230" t="str">
        <f>TEXT(New_Finance_Data[[#This Row],[Date]],"MMM-YYYY")</f>
        <v>Nov-2014</v>
      </c>
      <c r="U230" t="str">
        <f>IF(New_Finance_Data[[#This Row],[ Profit ]]&gt;0,"Profit","Loss")</f>
        <v>Profit</v>
      </c>
      <c r="V230" t="str">
        <f>IF(New_Finance_Data[[#This Row],[  Sales ]]&gt;=50000,"High Sales","Low Sales")</f>
        <v>Low Sales</v>
      </c>
      <c r="W230" t="b">
        <f>ISNUMBER(New_Finance_Data[[#This Row],[Date]])</f>
        <v>1</v>
      </c>
    </row>
    <row r="231" spans="1:23" x14ac:dyDescent="0.2">
      <c r="A231" t="s">
        <v>15</v>
      </c>
      <c r="B231" t="s">
        <v>35</v>
      </c>
      <c r="C231" t="s">
        <v>17</v>
      </c>
      <c r="D231" t="s">
        <v>45</v>
      </c>
      <c r="E231" s="27">
        <v>570</v>
      </c>
      <c r="F231" s="27">
        <v>3</v>
      </c>
      <c r="G231" s="27">
        <v>7</v>
      </c>
      <c r="H231" s="27">
        <v>3990</v>
      </c>
      <c r="I231" s="5">
        <v>199.5</v>
      </c>
      <c r="J231" s="27">
        <v>3790.5</v>
      </c>
      <c r="K231" s="27">
        <v>2850</v>
      </c>
      <c r="L231" s="5">
        <v>940.5</v>
      </c>
      <c r="M231" s="28">
        <v>41974</v>
      </c>
      <c r="N231" s="3">
        <v>12</v>
      </c>
      <c r="O231" s="29" t="s">
        <v>25</v>
      </c>
      <c r="P231" s="3">
        <v>2014</v>
      </c>
      <c r="Q231" s="6">
        <f>New_Finance_Data[[#This Row],[ Profit ]]/New_Finance_Data[[#This Row],[  Sales ]]</f>
        <v>0.24812030075187969</v>
      </c>
      <c r="R231" t="str">
        <f>IF(New_Finance_Data[[#This Row],[  Sales ]]&gt;=100000,"High",IF(New_Finance_Data[[#This Row],[  Sales ]]&gt;=50000,"Medium","Low"))</f>
        <v>Low</v>
      </c>
      <c r="S231" t="str">
        <f>IF(OR(ISBLANK(New_Finance_Data[[#This Row],[  Sales ]]),ISBLANK(New_Finance_Data[[#This Row],[ Profit ]])),"Missing","OK")</f>
        <v>OK</v>
      </c>
      <c r="T231" t="str">
        <f>TEXT(New_Finance_Data[[#This Row],[Date]],"MMM-YYYY")</f>
        <v>Dec-2014</v>
      </c>
      <c r="U231" t="str">
        <f>IF(New_Finance_Data[[#This Row],[ Profit ]]&gt;0,"Profit","Loss")</f>
        <v>Profit</v>
      </c>
      <c r="V231" t="str">
        <f>IF(New_Finance_Data[[#This Row],[  Sales ]]&gt;=50000,"High Sales","Low Sales")</f>
        <v>Low Sales</v>
      </c>
      <c r="W231" t="b">
        <f>ISNUMBER(New_Finance_Data[[#This Row],[Date]])</f>
        <v>1</v>
      </c>
    </row>
    <row r="232" spans="1:23" x14ac:dyDescent="0.2">
      <c r="A232" t="s">
        <v>15</v>
      </c>
      <c r="B232" t="s">
        <v>22</v>
      </c>
      <c r="C232" t="s">
        <v>17</v>
      </c>
      <c r="D232" t="s">
        <v>45</v>
      </c>
      <c r="E232" s="27">
        <v>2487</v>
      </c>
      <c r="F232" s="27">
        <v>3</v>
      </c>
      <c r="G232" s="27">
        <v>7</v>
      </c>
      <c r="H232" s="27">
        <v>17409</v>
      </c>
      <c r="I232" s="5">
        <v>870.45</v>
      </c>
      <c r="J232" s="27">
        <v>16538.55</v>
      </c>
      <c r="K232" s="27">
        <v>12435</v>
      </c>
      <c r="L232" s="5">
        <v>4103.55</v>
      </c>
      <c r="M232" s="28">
        <v>41974</v>
      </c>
      <c r="N232" s="3">
        <v>12</v>
      </c>
      <c r="O232" s="29" t="s">
        <v>25</v>
      </c>
      <c r="P232" s="3">
        <v>2014</v>
      </c>
      <c r="Q232" s="6">
        <f>New_Finance_Data[[#This Row],[ Profit ]]/New_Finance_Data[[#This Row],[  Sales ]]</f>
        <v>0.24812030075187971</v>
      </c>
      <c r="R232" t="str">
        <f>IF(New_Finance_Data[[#This Row],[  Sales ]]&gt;=100000,"High",IF(New_Finance_Data[[#This Row],[  Sales ]]&gt;=50000,"Medium","Low"))</f>
        <v>Low</v>
      </c>
      <c r="S232" t="str">
        <f>IF(OR(ISBLANK(New_Finance_Data[[#This Row],[  Sales ]]),ISBLANK(New_Finance_Data[[#This Row],[ Profit ]])),"Missing","OK")</f>
        <v>OK</v>
      </c>
      <c r="T232" t="str">
        <f>TEXT(New_Finance_Data[[#This Row],[Date]],"MMM-YYYY")</f>
        <v>Dec-2014</v>
      </c>
      <c r="U232" t="str">
        <f>IF(New_Finance_Data[[#This Row],[ Profit ]]&gt;0,"Profit","Loss")</f>
        <v>Profit</v>
      </c>
      <c r="V232" t="str">
        <f>IF(New_Finance_Data[[#This Row],[  Sales ]]&gt;=50000,"High Sales","Low Sales")</f>
        <v>Low Sales</v>
      </c>
      <c r="W232" t="b">
        <f>ISNUMBER(New_Finance_Data[[#This Row],[Date]])</f>
        <v>1</v>
      </c>
    </row>
    <row r="233" spans="1:23" x14ac:dyDescent="0.2">
      <c r="A233" t="s">
        <v>15</v>
      </c>
      <c r="B233" t="s">
        <v>22</v>
      </c>
      <c r="C233" t="s">
        <v>26</v>
      </c>
      <c r="D233" t="s">
        <v>45</v>
      </c>
      <c r="E233" s="27">
        <v>1384.5</v>
      </c>
      <c r="F233" s="27">
        <v>5</v>
      </c>
      <c r="G233" s="27">
        <v>350</v>
      </c>
      <c r="H233" s="27">
        <v>484575</v>
      </c>
      <c r="I233" s="5">
        <v>24228.75</v>
      </c>
      <c r="J233" s="27">
        <v>460346.25</v>
      </c>
      <c r="K233" s="27">
        <v>359970</v>
      </c>
      <c r="L233" s="5">
        <v>100376.25</v>
      </c>
      <c r="M233" s="28">
        <v>41640</v>
      </c>
      <c r="N233" s="3">
        <v>1</v>
      </c>
      <c r="O233" s="29" t="s">
        <v>19</v>
      </c>
      <c r="P233" s="3">
        <v>2014</v>
      </c>
      <c r="Q233" s="6">
        <f>New_Finance_Data[[#This Row],[ Profit ]]/New_Finance_Data[[#This Row],[  Sales ]]</f>
        <v>0.21804511278195488</v>
      </c>
      <c r="R233" t="str">
        <f>IF(New_Finance_Data[[#This Row],[  Sales ]]&gt;=100000,"High",IF(New_Finance_Data[[#This Row],[  Sales ]]&gt;=50000,"Medium","Low"))</f>
        <v>High</v>
      </c>
      <c r="S233" t="str">
        <f>IF(OR(ISBLANK(New_Finance_Data[[#This Row],[  Sales ]]),ISBLANK(New_Finance_Data[[#This Row],[ Profit ]])),"Missing","OK")</f>
        <v>OK</v>
      </c>
      <c r="T233" t="str">
        <f>TEXT(New_Finance_Data[[#This Row],[Date]],"MMM-YYYY")</f>
        <v>Jan-2014</v>
      </c>
      <c r="U233" t="str">
        <f>IF(New_Finance_Data[[#This Row],[ Profit ]]&gt;0,"Profit","Loss")</f>
        <v>Profit</v>
      </c>
      <c r="V233" t="str">
        <f>IF(New_Finance_Data[[#This Row],[  Sales ]]&gt;=50000,"High Sales","Low Sales")</f>
        <v>High Sales</v>
      </c>
      <c r="W233" t="b">
        <f>ISNUMBER(New_Finance_Data[[#This Row],[Date]])</f>
        <v>1</v>
      </c>
    </row>
    <row r="234" spans="1:23" x14ac:dyDescent="0.2">
      <c r="A234" t="s">
        <v>29</v>
      </c>
      <c r="B234" t="s">
        <v>35</v>
      </c>
      <c r="C234" t="s">
        <v>26</v>
      </c>
      <c r="D234" t="s">
        <v>45</v>
      </c>
      <c r="E234" s="27">
        <v>3627</v>
      </c>
      <c r="F234" s="27">
        <v>5</v>
      </c>
      <c r="G234" s="27">
        <v>125</v>
      </c>
      <c r="H234" s="27">
        <v>453375</v>
      </c>
      <c r="I234" s="5">
        <v>22668.75</v>
      </c>
      <c r="J234" s="27">
        <v>430706.25</v>
      </c>
      <c r="K234" s="27">
        <v>435240</v>
      </c>
      <c r="L234" s="5">
        <v>-4533.75</v>
      </c>
      <c r="M234" s="28">
        <v>41821</v>
      </c>
      <c r="N234" s="3">
        <v>7</v>
      </c>
      <c r="O234" s="29" t="s">
        <v>30</v>
      </c>
      <c r="P234" s="3">
        <v>2014</v>
      </c>
      <c r="Q234" s="6">
        <f>New_Finance_Data[[#This Row],[ Profit ]]/New_Finance_Data[[#This Row],[  Sales ]]</f>
        <v>-1.0526315789473684E-2</v>
      </c>
      <c r="R234" t="str">
        <f>IF(New_Finance_Data[[#This Row],[  Sales ]]&gt;=100000,"High",IF(New_Finance_Data[[#This Row],[  Sales ]]&gt;=50000,"Medium","Low"))</f>
        <v>High</v>
      </c>
      <c r="S234" t="str">
        <f>IF(OR(ISBLANK(New_Finance_Data[[#This Row],[  Sales ]]),ISBLANK(New_Finance_Data[[#This Row],[ Profit ]])),"Missing","OK")</f>
        <v>OK</v>
      </c>
      <c r="T234" t="str">
        <f>TEXT(New_Finance_Data[[#This Row],[Date]],"MMM-YYYY")</f>
        <v>Jul-2014</v>
      </c>
      <c r="U234" t="str">
        <f>IF(New_Finance_Data[[#This Row],[ Profit ]]&gt;0,"Profit","Loss")</f>
        <v>Loss</v>
      </c>
      <c r="V234" t="str">
        <f>IF(New_Finance_Data[[#This Row],[  Sales ]]&gt;=50000,"High Sales","Low Sales")</f>
        <v>High Sales</v>
      </c>
      <c r="W234" t="b">
        <f>ISNUMBER(New_Finance_Data[[#This Row],[Date]])</f>
        <v>1</v>
      </c>
    </row>
    <row r="235" spans="1:23" x14ac:dyDescent="0.2">
      <c r="A235" t="s">
        <v>15</v>
      </c>
      <c r="B235" t="s">
        <v>24</v>
      </c>
      <c r="C235" t="s">
        <v>26</v>
      </c>
      <c r="D235" t="s">
        <v>45</v>
      </c>
      <c r="E235" s="27">
        <v>720</v>
      </c>
      <c r="F235" s="27">
        <v>5</v>
      </c>
      <c r="G235" s="27">
        <v>350</v>
      </c>
      <c r="H235" s="27">
        <v>252000</v>
      </c>
      <c r="I235" s="5">
        <v>12600</v>
      </c>
      <c r="J235" s="27">
        <v>239400</v>
      </c>
      <c r="K235" s="27">
        <v>187200</v>
      </c>
      <c r="L235" s="5">
        <v>52200</v>
      </c>
      <c r="M235" s="28">
        <v>41518</v>
      </c>
      <c r="N235" s="3">
        <v>9</v>
      </c>
      <c r="O235" s="29" t="s">
        <v>33</v>
      </c>
      <c r="P235" s="3">
        <v>2013</v>
      </c>
      <c r="Q235" s="6">
        <f>New_Finance_Data[[#This Row],[ Profit ]]/New_Finance_Data[[#This Row],[  Sales ]]</f>
        <v>0.21804511278195488</v>
      </c>
      <c r="R235" t="str">
        <f>IF(New_Finance_Data[[#This Row],[  Sales ]]&gt;=100000,"High",IF(New_Finance_Data[[#This Row],[  Sales ]]&gt;=50000,"Medium","Low"))</f>
        <v>High</v>
      </c>
      <c r="S235" t="str">
        <f>IF(OR(ISBLANK(New_Finance_Data[[#This Row],[  Sales ]]),ISBLANK(New_Finance_Data[[#This Row],[ Profit ]])),"Missing","OK")</f>
        <v>OK</v>
      </c>
      <c r="T235" t="str">
        <f>TEXT(New_Finance_Data[[#This Row],[Date]],"MMM-YYYY")</f>
        <v>Sep-2013</v>
      </c>
      <c r="U235" t="str">
        <f>IF(New_Finance_Data[[#This Row],[ Profit ]]&gt;0,"Profit","Loss")</f>
        <v>Profit</v>
      </c>
      <c r="V235" t="str">
        <f>IF(New_Finance_Data[[#This Row],[  Sales ]]&gt;=50000,"High Sales","Low Sales")</f>
        <v>High Sales</v>
      </c>
      <c r="W235" t="b">
        <f>ISNUMBER(New_Finance_Data[[#This Row],[Date]])</f>
        <v>1</v>
      </c>
    </row>
    <row r="236" spans="1:23" x14ac:dyDescent="0.2">
      <c r="A236" t="s">
        <v>28</v>
      </c>
      <c r="B236" t="s">
        <v>20</v>
      </c>
      <c r="C236" t="s">
        <v>26</v>
      </c>
      <c r="D236" t="s">
        <v>45</v>
      </c>
      <c r="E236" s="27">
        <v>2342</v>
      </c>
      <c r="F236" s="27">
        <v>5</v>
      </c>
      <c r="G236" s="27">
        <v>12</v>
      </c>
      <c r="H236" s="27">
        <v>28104</v>
      </c>
      <c r="I236" s="5">
        <v>1405.2</v>
      </c>
      <c r="J236" s="27">
        <v>26698.799999999999</v>
      </c>
      <c r="K236" s="27">
        <v>7026</v>
      </c>
      <c r="L236" s="5">
        <v>19672.8</v>
      </c>
      <c r="M236" s="28">
        <v>41944</v>
      </c>
      <c r="N236" s="3">
        <v>11</v>
      </c>
      <c r="O236" s="29" t="s">
        <v>38</v>
      </c>
      <c r="P236" s="3">
        <v>2014</v>
      </c>
      <c r="Q236" s="6">
        <f>New_Finance_Data[[#This Row],[ Profit ]]/New_Finance_Data[[#This Row],[  Sales ]]</f>
        <v>0.73684210526315785</v>
      </c>
      <c r="R236" t="str">
        <f>IF(New_Finance_Data[[#This Row],[  Sales ]]&gt;=100000,"High",IF(New_Finance_Data[[#This Row],[  Sales ]]&gt;=50000,"Medium","Low"))</f>
        <v>Low</v>
      </c>
      <c r="S236" t="str">
        <f>IF(OR(ISBLANK(New_Finance_Data[[#This Row],[  Sales ]]),ISBLANK(New_Finance_Data[[#This Row],[ Profit ]])),"Missing","OK")</f>
        <v>OK</v>
      </c>
      <c r="T236" t="str">
        <f>TEXT(New_Finance_Data[[#This Row],[Date]],"MMM-YYYY")</f>
        <v>Nov-2014</v>
      </c>
      <c r="U236" t="str">
        <f>IF(New_Finance_Data[[#This Row],[ Profit ]]&gt;0,"Profit","Loss")</f>
        <v>Profit</v>
      </c>
      <c r="V236" t="str">
        <f>IF(New_Finance_Data[[#This Row],[  Sales ]]&gt;=50000,"High Sales","Low Sales")</f>
        <v>Low Sales</v>
      </c>
      <c r="W236" t="b">
        <f>ISNUMBER(New_Finance_Data[[#This Row],[Date]])</f>
        <v>1</v>
      </c>
    </row>
    <row r="237" spans="1:23" x14ac:dyDescent="0.2">
      <c r="A237" t="s">
        <v>31</v>
      </c>
      <c r="B237" t="s">
        <v>24</v>
      </c>
      <c r="C237" t="s">
        <v>26</v>
      </c>
      <c r="D237" t="s">
        <v>45</v>
      </c>
      <c r="E237" s="27">
        <v>1100</v>
      </c>
      <c r="F237" s="27">
        <v>5</v>
      </c>
      <c r="G237" s="27">
        <v>300</v>
      </c>
      <c r="H237" s="27">
        <v>330000</v>
      </c>
      <c r="I237" s="5">
        <v>16500</v>
      </c>
      <c r="J237" s="27">
        <v>313500</v>
      </c>
      <c r="K237" s="27">
        <v>275000</v>
      </c>
      <c r="L237" s="5">
        <v>38500</v>
      </c>
      <c r="M237" s="28">
        <v>41609</v>
      </c>
      <c r="N237" s="3">
        <v>12</v>
      </c>
      <c r="O237" s="29" t="s">
        <v>25</v>
      </c>
      <c r="P237" s="3">
        <v>2013</v>
      </c>
      <c r="Q237" s="6">
        <f>New_Finance_Data[[#This Row],[ Profit ]]/New_Finance_Data[[#This Row],[  Sales ]]</f>
        <v>0.12280701754385964</v>
      </c>
      <c r="R237" t="str">
        <f>IF(New_Finance_Data[[#This Row],[  Sales ]]&gt;=100000,"High",IF(New_Finance_Data[[#This Row],[  Sales ]]&gt;=50000,"Medium","Low"))</f>
        <v>High</v>
      </c>
      <c r="S237" t="str">
        <f>IF(OR(ISBLANK(New_Finance_Data[[#This Row],[  Sales ]]),ISBLANK(New_Finance_Data[[#This Row],[ Profit ]])),"Missing","OK")</f>
        <v>OK</v>
      </c>
      <c r="T237" t="str">
        <f>TEXT(New_Finance_Data[[#This Row],[Date]],"MMM-YYYY")</f>
        <v>Dec-2013</v>
      </c>
      <c r="U237" t="str">
        <f>IF(New_Finance_Data[[#This Row],[ Profit ]]&gt;0,"Profit","Loss")</f>
        <v>Profit</v>
      </c>
      <c r="V237" t="str">
        <f>IF(New_Finance_Data[[#This Row],[  Sales ]]&gt;=50000,"High Sales","Low Sales")</f>
        <v>High Sales</v>
      </c>
      <c r="W237" t="b">
        <f>ISNUMBER(New_Finance_Data[[#This Row],[Date]])</f>
        <v>1</v>
      </c>
    </row>
    <row r="238" spans="1:23" x14ac:dyDescent="0.2">
      <c r="A238" t="s">
        <v>15</v>
      </c>
      <c r="B238" t="s">
        <v>22</v>
      </c>
      <c r="C238" t="s">
        <v>36</v>
      </c>
      <c r="D238" t="s">
        <v>45</v>
      </c>
      <c r="E238" s="27">
        <v>1303</v>
      </c>
      <c r="F238" s="27">
        <v>10</v>
      </c>
      <c r="G238" s="27">
        <v>20</v>
      </c>
      <c r="H238" s="27">
        <v>26060</v>
      </c>
      <c r="I238" s="5">
        <v>1303</v>
      </c>
      <c r="J238" s="27">
        <v>24757</v>
      </c>
      <c r="K238" s="27">
        <v>13030</v>
      </c>
      <c r="L238" s="5">
        <v>11727</v>
      </c>
      <c r="M238" s="28">
        <v>41671</v>
      </c>
      <c r="N238" s="3">
        <v>2</v>
      </c>
      <c r="O238" s="29" t="s">
        <v>37</v>
      </c>
      <c r="P238" s="3">
        <v>2014</v>
      </c>
      <c r="Q238" s="6">
        <f>New_Finance_Data[[#This Row],[ Profit ]]/New_Finance_Data[[#This Row],[  Sales ]]</f>
        <v>0.47368421052631576</v>
      </c>
      <c r="R238" t="str">
        <f>IF(New_Finance_Data[[#This Row],[  Sales ]]&gt;=100000,"High",IF(New_Finance_Data[[#This Row],[  Sales ]]&gt;=50000,"Medium","Low"))</f>
        <v>Low</v>
      </c>
      <c r="S238" t="str">
        <f>IF(OR(ISBLANK(New_Finance_Data[[#This Row],[  Sales ]]),ISBLANK(New_Finance_Data[[#This Row],[ Profit ]])),"Missing","OK")</f>
        <v>OK</v>
      </c>
      <c r="T238" t="str">
        <f>TEXT(New_Finance_Data[[#This Row],[Date]],"MMM-YYYY")</f>
        <v>Feb-2014</v>
      </c>
      <c r="U238" t="str">
        <f>IF(New_Finance_Data[[#This Row],[ Profit ]]&gt;0,"Profit","Loss")</f>
        <v>Profit</v>
      </c>
      <c r="V238" t="str">
        <f>IF(New_Finance_Data[[#This Row],[  Sales ]]&gt;=50000,"High Sales","Low Sales")</f>
        <v>Low Sales</v>
      </c>
      <c r="W238" t="b">
        <f>ISNUMBER(New_Finance_Data[[#This Row],[Date]])</f>
        <v>1</v>
      </c>
    </row>
    <row r="239" spans="1:23" x14ac:dyDescent="0.2">
      <c r="A239" t="s">
        <v>29</v>
      </c>
      <c r="B239" t="s">
        <v>35</v>
      </c>
      <c r="C239" t="s">
        <v>36</v>
      </c>
      <c r="D239" t="s">
        <v>45</v>
      </c>
      <c r="E239" s="27">
        <v>2992</v>
      </c>
      <c r="F239" s="27">
        <v>10</v>
      </c>
      <c r="G239" s="27">
        <v>125</v>
      </c>
      <c r="H239" s="27">
        <v>374000</v>
      </c>
      <c r="I239" s="5">
        <v>18700</v>
      </c>
      <c r="J239" s="27">
        <v>355300</v>
      </c>
      <c r="K239" s="27">
        <v>359040</v>
      </c>
      <c r="L239" s="5">
        <v>-3740</v>
      </c>
      <c r="M239" s="28">
        <v>41699</v>
      </c>
      <c r="N239" s="3">
        <v>3</v>
      </c>
      <c r="O239" s="29" t="s">
        <v>27</v>
      </c>
      <c r="P239" s="3">
        <v>2014</v>
      </c>
      <c r="Q239" s="6">
        <f>New_Finance_Data[[#This Row],[ Profit ]]/New_Finance_Data[[#This Row],[  Sales ]]</f>
        <v>-1.0526315789473684E-2</v>
      </c>
      <c r="R239" t="str">
        <f>IF(New_Finance_Data[[#This Row],[  Sales ]]&gt;=100000,"High",IF(New_Finance_Data[[#This Row],[  Sales ]]&gt;=50000,"Medium","Low"))</f>
        <v>High</v>
      </c>
      <c r="S239" t="str">
        <f>IF(OR(ISBLANK(New_Finance_Data[[#This Row],[  Sales ]]),ISBLANK(New_Finance_Data[[#This Row],[ Profit ]])),"Missing","OK")</f>
        <v>OK</v>
      </c>
      <c r="T239" t="str">
        <f>TEXT(New_Finance_Data[[#This Row],[Date]],"MMM-YYYY")</f>
        <v>Mar-2014</v>
      </c>
      <c r="U239" t="str">
        <f>IF(New_Finance_Data[[#This Row],[ Profit ]]&gt;0,"Profit","Loss")</f>
        <v>Loss</v>
      </c>
      <c r="V239" t="str">
        <f>IF(New_Finance_Data[[#This Row],[  Sales ]]&gt;=50000,"High Sales","Low Sales")</f>
        <v>High Sales</v>
      </c>
      <c r="W239" t="b">
        <f>ISNUMBER(New_Finance_Data[[#This Row],[Date]])</f>
        <v>1</v>
      </c>
    </row>
    <row r="240" spans="1:23" x14ac:dyDescent="0.2">
      <c r="A240" t="s">
        <v>29</v>
      </c>
      <c r="B240" t="s">
        <v>22</v>
      </c>
      <c r="C240" t="s">
        <v>36</v>
      </c>
      <c r="D240" t="s">
        <v>45</v>
      </c>
      <c r="E240" s="27">
        <v>2385</v>
      </c>
      <c r="F240" s="27">
        <v>10</v>
      </c>
      <c r="G240" s="27">
        <v>125</v>
      </c>
      <c r="H240" s="27">
        <v>298125</v>
      </c>
      <c r="I240" s="5">
        <v>14906.25</v>
      </c>
      <c r="J240" s="27">
        <v>283218.75</v>
      </c>
      <c r="K240" s="27">
        <v>286200</v>
      </c>
      <c r="L240" s="5">
        <v>-2981.25</v>
      </c>
      <c r="M240" s="28">
        <v>41699</v>
      </c>
      <c r="N240" s="3">
        <v>3</v>
      </c>
      <c r="O240" s="29" t="s">
        <v>27</v>
      </c>
      <c r="P240" s="3">
        <v>2014</v>
      </c>
      <c r="Q240" s="6">
        <f>New_Finance_Data[[#This Row],[ Profit ]]/New_Finance_Data[[#This Row],[  Sales ]]</f>
        <v>-1.0526315789473684E-2</v>
      </c>
      <c r="R240" t="str">
        <f>IF(New_Finance_Data[[#This Row],[  Sales ]]&gt;=100000,"High",IF(New_Finance_Data[[#This Row],[  Sales ]]&gt;=50000,"Medium","Low"))</f>
        <v>High</v>
      </c>
      <c r="S240" t="str">
        <f>IF(OR(ISBLANK(New_Finance_Data[[#This Row],[  Sales ]]),ISBLANK(New_Finance_Data[[#This Row],[ Profit ]])),"Missing","OK")</f>
        <v>OK</v>
      </c>
      <c r="T240" t="str">
        <f>TEXT(New_Finance_Data[[#This Row],[Date]],"MMM-YYYY")</f>
        <v>Mar-2014</v>
      </c>
      <c r="U240" t="str">
        <f>IF(New_Finance_Data[[#This Row],[ Profit ]]&gt;0,"Profit","Loss")</f>
        <v>Loss</v>
      </c>
      <c r="V240" t="str">
        <f>IF(New_Finance_Data[[#This Row],[  Sales ]]&gt;=50000,"High Sales","Low Sales")</f>
        <v>High Sales</v>
      </c>
      <c r="W240" t="b">
        <f>ISNUMBER(New_Finance_Data[[#This Row],[Date]])</f>
        <v>1</v>
      </c>
    </row>
    <row r="241" spans="1:23" x14ac:dyDescent="0.2">
      <c r="A241" t="s">
        <v>31</v>
      </c>
      <c r="B241" t="s">
        <v>24</v>
      </c>
      <c r="C241" t="s">
        <v>36</v>
      </c>
      <c r="D241" t="s">
        <v>45</v>
      </c>
      <c r="E241" s="27">
        <v>1607</v>
      </c>
      <c r="F241" s="27">
        <v>10</v>
      </c>
      <c r="G241" s="27">
        <v>300</v>
      </c>
      <c r="H241" s="27">
        <v>482100</v>
      </c>
      <c r="I241" s="5">
        <v>24105</v>
      </c>
      <c r="J241" s="27">
        <v>457995</v>
      </c>
      <c r="K241" s="27">
        <v>401750</v>
      </c>
      <c r="L241" s="5">
        <v>56245</v>
      </c>
      <c r="M241" s="28">
        <v>41730</v>
      </c>
      <c r="N241" s="3">
        <v>4</v>
      </c>
      <c r="O241" s="29" t="s">
        <v>41</v>
      </c>
      <c r="P241" s="3">
        <v>2014</v>
      </c>
      <c r="Q241" s="6">
        <f>New_Finance_Data[[#This Row],[ Profit ]]/New_Finance_Data[[#This Row],[  Sales ]]</f>
        <v>0.12280701754385964</v>
      </c>
      <c r="R241" t="str">
        <f>IF(New_Finance_Data[[#This Row],[  Sales ]]&gt;=100000,"High",IF(New_Finance_Data[[#This Row],[  Sales ]]&gt;=50000,"Medium","Low"))</f>
        <v>High</v>
      </c>
      <c r="S241" t="str">
        <f>IF(OR(ISBLANK(New_Finance_Data[[#This Row],[  Sales ]]),ISBLANK(New_Finance_Data[[#This Row],[ Profit ]])),"Missing","OK")</f>
        <v>OK</v>
      </c>
      <c r="T241" t="str">
        <f>TEXT(New_Finance_Data[[#This Row],[Date]],"MMM-YYYY")</f>
        <v>Apr-2014</v>
      </c>
      <c r="U241" t="str">
        <f>IF(New_Finance_Data[[#This Row],[ Profit ]]&gt;0,"Profit","Loss")</f>
        <v>Profit</v>
      </c>
      <c r="V241" t="str">
        <f>IF(New_Finance_Data[[#This Row],[  Sales ]]&gt;=50000,"High Sales","Low Sales")</f>
        <v>High Sales</v>
      </c>
      <c r="W241" t="b">
        <f>ISNUMBER(New_Finance_Data[[#This Row],[Date]])</f>
        <v>1</v>
      </c>
    </row>
    <row r="242" spans="1:23" x14ac:dyDescent="0.2">
      <c r="A242" t="s">
        <v>15</v>
      </c>
      <c r="B242" t="s">
        <v>35</v>
      </c>
      <c r="C242" t="s">
        <v>36</v>
      </c>
      <c r="D242" t="s">
        <v>45</v>
      </c>
      <c r="E242" s="27">
        <v>2327</v>
      </c>
      <c r="F242" s="27">
        <v>10</v>
      </c>
      <c r="G242" s="27">
        <v>7</v>
      </c>
      <c r="H242" s="27">
        <v>16289</v>
      </c>
      <c r="I242" s="5">
        <v>814.45</v>
      </c>
      <c r="J242" s="27">
        <v>15474.55</v>
      </c>
      <c r="K242" s="27">
        <v>11635</v>
      </c>
      <c r="L242" s="5">
        <v>3839.55</v>
      </c>
      <c r="M242" s="28">
        <v>41760</v>
      </c>
      <c r="N242" s="3">
        <v>5</v>
      </c>
      <c r="O242" s="29" t="s">
        <v>44</v>
      </c>
      <c r="P242" s="3">
        <v>2014</v>
      </c>
      <c r="Q242" s="6">
        <f>New_Finance_Data[[#This Row],[ Profit ]]/New_Finance_Data[[#This Row],[  Sales ]]</f>
        <v>0.24812030075187971</v>
      </c>
      <c r="R242" t="str">
        <f>IF(New_Finance_Data[[#This Row],[  Sales ]]&gt;=100000,"High",IF(New_Finance_Data[[#This Row],[  Sales ]]&gt;=50000,"Medium","Low"))</f>
        <v>Low</v>
      </c>
      <c r="S242" t="str">
        <f>IF(OR(ISBLANK(New_Finance_Data[[#This Row],[  Sales ]]),ISBLANK(New_Finance_Data[[#This Row],[ Profit ]])),"Missing","OK")</f>
        <v>OK</v>
      </c>
      <c r="T242" t="str">
        <f>TEXT(New_Finance_Data[[#This Row],[Date]],"MMM-YYYY")</f>
        <v>May-2014</v>
      </c>
      <c r="U242" t="str">
        <f>IF(New_Finance_Data[[#This Row],[ Profit ]]&gt;0,"Profit","Loss")</f>
        <v>Profit</v>
      </c>
      <c r="V242" t="str">
        <f>IF(New_Finance_Data[[#This Row],[  Sales ]]&gt;=50000,"High Sales","Low Sales")</f>
        <v>Low Sales</v>
      </c>
      <c r="W242" t="b">
        <f>ISNUMBER(New_Finance_Data[[#This Row],[Date]])</f>
        <v>1</v>
      </c>
    </row>
    <row r="243" spans="1:23" x14ac:dyDescent="0.2">
      <c r="A243" t="s">
        <v>31</v>
      </c>
      <c r="B243" t="s">
        <v>35</v>
      </c>
      <c r="C243" t="s">
        <v>36</v>
      </c>
      <c r="D243" t="s">
        <v>45</v>
      </c>
      <c r="E243" s="27">
        <v>991</v>
      </c>
      <c r="F243" s="27">
        <v>10</v>
      </c>
      <c r="G243" s="27">
        <v>300</v>
      </c>
      <c r="H243" s="27">
        <v>297300</v>
      </c>
      <c r="I243" s="5">
        <v>14865</v>
      </c>
      <c r="J243" s="27">
        <v>282435</v>
      </c>
      <c r="K243" s="27">
        <v>247750</v>
      </c>
      <c r="L243" s="5">
        <v>34685</v>
      </c>
      <c r="M243" s="28">
        <v>41791</v>
      </c>
      <c r="N243" s="3">
        <v>6</v>
      </c>
      <c r="O243" s="29" t="s">
        <v>23</v>
      </c>
      <c r="P243" s="3">
        <v>2014</v>
      </c>
      <c r="Q243" s="6">
        <f>New_Finance_Data[[#This Row],[ Profit ]]/New_Finance_Data[[#This Row],[  Sales ]]</f>
        <v>0.12280701754385964</v>
      </c>
      <c r="R243" t="str">
        <f>IF(New_Finance_Data[[#This Row],[  Sales ]]&gt;=100000,"High",IF(New_Finance_Data[[#This Row],[  Sales ]]&gt;=50000,"Medium","Low"))</f>
        <v>High</v>
      </c>
      <c r="S243" t="str">
        <f>IF(OR(ISBLANK(New_Finance_Data[[#This Row],[  Sales ]]),ISBLANK(New_Finance_Data[[#This Row],[ Profit ]])),"Missing","OK")</f>
        <v>OK</v>
      </c>
      <c r="T243" t="str">
        <f>TEXT(New_Finance_Data[[#This Row],[Date]],"MMM-YYYY")</f>
        <v>Jun-2014</v>
      </c>
      <c r="U243" t="str">
        <f>IF(New_Finance_Data[[#This Row],[ Profit ]]&gt;0,"Profit","Loss")</f>
        <v>Profit</v>
      </c>
      <c r="V243" t="str">
        <f>IF(New_Finance_Data[[#This Row],[  Sales ]]&gt;=50000,"High Sales","Low Sales")</f>
        <v>High Sales</v>
      </c>
      <c r="W243" t="b">
        <f>ISNUMBER(New_Finance_Data[[#This Row],[Date]])</f>
        <v>1</v>
      </c>
    </row>
    <row r="244" spans="1:23" x14ac:dyDescent="0.2">
      <c r="A244" t="s">
        <v>15</v>
      </c>
      <c r="B244" t="s">
        <v>35</v>
      </c>
      <c r="C244" t="s">
        <v>36</v>
      </c>
      <c r="D244" t="s">
        <v>45</v>
      </c>
      <c r="E244" s="27">
        <v>602</v>
      </c>
      <c r="F244" s="27">
        <v>10</v>
      </c>
      <c r="G244" s="27">
        <v>350</v>
      </c>
      <c r="H244" s="27">
        <v>210700</v>
      </c>
      <c r="I244" s="5">
        <v>10535</v>
      </c>
      <c r="J244" s="27">
        <v>200165</v>
      </c>
      <c r="K244" s="27">
        <v>156520</v>
      </c>
      <c r="L244" s="5">
        <v>43645</v>
      </c>
      <c r="M244" s="28">
        <v>41791</v>
      </c>
      <c r="N244" s="3">
        <v>6</v>
      </c>
      <c r="O244" s="29" t="s">
        <v>23</v>
      </c>
      <c r="P244" s="3">
        <v>2014</v>
      </c>
      <c r="Q244" s="6">
        <f>New_Finance_Data[[#This Row],[ Profit ]]/New_Finance_Data[[#This Row],[  Sales ]]</f>
        <v>0.21804511278195488</v>
      </c>
      <c r="R244" t="str">
        <f>IF(New_Finance_Data[[#This Row],[  Sales ]]&gt;=100000,"High",IF(New_Finance_Data[[#This Row],[  Sales ]]&gt;=50000,"Medium","Low"))</f>
        <v>High</v>
      </c>
      <c r="S244" t="str">
        <f>IF(OR(ISBLANK(New_Finance_Data[[#This Row],[  Sales ]]),ISBLANK(New_Finance_Data[[#This Row],[ Profit ]])),"Missing","OK")</f>
        <v>OK</v>
      </c>
      <c r="T244" t="str">
        <f>TEXT(New_Finance_Data[[#This Row],[Date]],"MMM-YYYY")</f>
        <v>Jun-2014</v>
      </c>
      <c r="U244" t="str">
        <f>IF(New_Finance_Data[[#This Row],[ Profit ]]&gt;0,"Profit","Loss")</f>
        <v>Profit</v>
      </c>
      <c r="V244" t="str">
        <f>IF(New_Finance_Data[[#This Row],[  Sales ]]&gt;=50000,"High Sales","Low Sales")</f>
        <v>High Sales</v>
      </c>
      <c r="W244" t="b">
        <f>ISNUMBER(New_Finance_Data[[#This Row],[Date]])</f>
        <v>1</v>
      </c>
    </row>
    <row r="245" spans="1:23" x14ac:dyDescent="0.2">
      <c r="A245" t="s">
        <v>21</v>
      </c>
      <c r="B245" t="s">
        <v>22</v>
      </c>
      <c r="C245" t="s">
        <v>36</v>
      </c>
      <c r="D245" t="s">
        <v>45</v>
      </c>
      <c r="E245" s="27">
        <v>2620</v>
      </c>
      <c r="F245" s="27">
        <v>10</v>
      </c>
      <c r="G245" s="27">
        <v>15</v>
      </c>
      <c r="H245" s="27">
        <v>39300</v>
      </c>
      <c r="I245" s="5">
        <v>1965</v>
      </c>
      <c r="J245" s="27">
        <v>37335</v>
      </c>
      <c r="K245" s="27">
        <v>26200</v>
      </c>
      <c r="L245" s="5">
        <v>11135</v>
      </c>
      <c r="M245" s="28">
        <v>41883</v>
      </c>
      <c r="N245" s="3">
        <v>9</v>
      </c>
      <c r="O245" s="29" t="s">
        <v>33</v>
      </c>
      <c r="P245" s="3">
        <v>2014</v>
      </c>
      <c r="Q245" s="6">
        <f>New_Finance_Data[[#This Row],[ Profit ]]/New_Finance_Data[[#This Row],[  Sales ]]</f>
        <v>0.2982456140350877</v>
      </c>
      <c r="R245" t="str">
        <f>IF(New_Finance_Data[[#This Row],[  Sales ]]&gt;=100000,"High",IF(New_Finance_Data[[#This Row],[  Sales ]]&gt;=50000,"Medium","Low"))</f>
        <v>Low</v>
      </c>
      <c r="S245" t="str">
        <f>IF(OR(ISBLANK(New_Finance_Data[[#This Row],[  Sales ]]),ISBLANK(New_Finance_Data[[#This Row],[ Profit ]])),"Missing","OK")</f>
        <v>OK</v>
      </c>
      <c r="T245" t="str">
        <f>TEXT(New_Finance_Data[[#This Row],[Date]],"MMM-YYYY")</f>
        <v>Sep-2014</v>
      </c>
      <c r="U245" t="str">
        <f>IF(New_Finance_Data[[#This Row],[ Profit ]]&gt;0,"Profit","Loss")</f>
        <v>Profit</v>
      </c>
      <c r="V245" t="str">
        <f>IF(New_Finance_Data[[#This Row],[  Sales ]]&gt;=50000,"High Sales","Low Sales")</f>
        <v>Low Sales</v>
      </c>
      <c r="W245" t="b">
        <f>ISNUMBER(New_Finance_Data[[#This Row],[Date]])</f>
        <v>1</v>
      </c>
    </row>
    <row r="246" spans="1:23" x14ac:dyDescent="0.2">
      <c r="A246" t="s">
        <v>15</v>
      </c>
      <c r="B246" t="s">
        <v>16</v>
      </c>
      <c r="C246" t="s">
        <v>36</v>
      </c>
      <c r="D246" t="s">
        <v>45</v>
      </c>
      <c r="E246" s="27">
        <v>1228</v>
      </c>
      <c r="F246" s="27">
        <v>10</v>
      </c>
      <c r="G246" s="27">
        <v>350</v>
      </c>
      <c r="H246" s="27">
        <v>429800</v>
      </c>
      <c r="I246" s="5">
        <v>21490</v>
      </c>
      <c r="J246" s="27">
        <v>408310</v>
      </c>
      <c r="K246" s="27">
        <v>319280</v>
      </c>
      <c r="L246" s="5">
        <v>89030</v>
      </c>
      <c r="M246" s="28">
        <v>41548</v>
      </c>
      <c r="N246" s="3">
        <v>10</v>
      </c>
      <c r="O246" s="29" t="s">
        <v>34</v>
      </c>
      <c r="P246" s="3">
        <v>2013</v>
      </c>
      <c r="Q246" s="6">
        <f>New_Finance_Data[[#This Row],[ Profit ]]/New_Finance_Data[[#This Row],[  Sales ]]</f>
        <v>0.21804511278195488</v>
      </c>
      <c r="R246" t="str">
        <f>IF(New_Finance_Data[[#This Row],[  Sales ]]&gt;=100000,"High",IF(New_Finance_Data[[#This Row],[  Sales ]]&gt;=50000,"Medium","Low"))</f>
        <v>High</v>
      </c>
      <c r="S246" t="str">
        <f>IF(OR(ISBLANK(New_Finance_Data[[#This Row],[  Sales ]]),ISBLANK(New_Finance_Data[[#This Row],[ Profit ]])),"Missing","OK")</f>
        <v>OK</v>
      </c>
      <c r="T246" t="str">
        <f>TEXT(New_Finance_Data[[#This Row],[Date]],"MMM-YYYY")</f>
        <v>Oct-2013</v>
      </c>
      <c r="U246" t="str">
        <f>IF(New_Finance_Data[[#This Row],[ Profit ]]&gt;0,"Profit","Loss")</f>
        <v>Profit</v>
      </c>
      <c r="V246" t="str">
        <f>IF(New_Finance_Data[[#This Row],[  Sales ]]&gt;=50000,"High Sales","Low Sales")</f>
        <v>High Sales</v>
      </c>
      <c r="W246" t="b">
        <f>ISNUMBER(New_Finance_Data[[#This Row],[Date]])</f>
        <v>1</v>
      </c>
    </row>
    <row r="247" spans="1:23" x14ac:dyDescent="0.2">
      <c r="A247" t="s">
        <v>15</v>
      </c>
      <c r="B247" t="s">
        <v>16</v>
      </c>
      <c r="C247" t="s">
        <v>36</v>
      </c>
      <c r="D247" t="s">
        <v>45</v>
      </c>
      <c r="E247" s="27">
        <v>1389</v>
      </c>
      <c r="F247" s="27">
        <v>10</v>
      </c>
      <c r="G247" s="27">
        <v>20</v>
      </c>
      <c r="H247" s="27">
        <v>27780</v>
      </c>
      <c r="I247" s="5">
        <v>1389</v>
      </c>
      <c r="J247" s="27">
        <v>26391</v>
      </c>
      <c r="K247" s="27">
        <v>13890</v>
      </c>
      <c r="L247" s="5">
        <v>12501</v>
      </c>
      <c r="M247" s="28">
        <v>41548</v>
      </c>
      <c r="N247" s="3">
        <v>10</v>
      </c>
      <c r="O247" s="29" t="s">
        <v>34</v>
      </c>
      <c r="P247" s="3">
        <v>2013</v>
      </c>
      <c r="Q247" s="6">
        <f>New_Finance_Data[[#This Row],[ Profit ]]/New_Finance_Data[[#This Row],[  Sales ]]</f>
        <v>0.47368421052631576</v>
      </c>
      <c r="R247" t="str">
        <f>IF(New_Finance_Data[[#This Row],[  Sales ]]&gt;=100000,"High",IF(New_Finance_Data[[#This Row],[  Sales ]]&gt;=50000,"Medium","Low"))</f>
        <v>Low</v>
      </c>
      <c r="S247" t="str">
        <f>IF(OR(ISBLANK(New_Finance_Data[[#This Row],[  Sales ]]),ISBLANK(New_Finance_Data[[#This Row],[ Profit ]])),"Missing","OK")</f>
        <v>OK</v>
      </c>
      <c r="T247" t="str">
        <f>TEXT(New_Finance_Data[[#This Row],[Date]],"MMM-YYYY")</f>
        <v>Oct-2013</v>
      </c>
      <c r="U247" t="str">
        <f>IF(New_Finance_Data[[#This Row],[ Profit ]]&gt;0,"Profit","Loss")</f>
        <v>Profit</v>
      </c>
      <c r="V247" t="str">
        <f>IF(New_Finance_Data[[#This Row],[  Sales ]]&gt;=50000,"High Sales","Low Sales")</f>
        <v>Low Sales</v>
      </c>
      <c r="W247" t="b">
        <f>ISNUMBER(New_Finance_Data[[#This Row],[Date]])</f>
        <v>1</v>
      </c>
    </row>
    <row r="248" spans="1:23" x14ac:dyDescent="0.2">
      <c r="A248" t="s">
        <v>29</v>
      </c>
      <c r="B248" t="s">
        <v>35</v>
      </c>
      <c r="C248" t="s">
        <v>36</v>
      </c>
      <c r="D248" t="s">
        <v>45</v>
      </c>
      <c r="E248" s="27">
        <v>861</v>
      </c>
      <c r="F248" s="27">
        <v>10</v>
      </c>
      <c r="G248" s="27">
        <v>125</v>
      </c>
      <c r="H248" s="27">
        <v>107625</v>
      </c>
      <c r="I248" s="5">
        <v>5381.25</v>
      </c>
      <c r="J248" s="27">
        <v>102243.75</v>
      </c>
      <c r="K248" s="27">
        <v>103320</v>
      </c>
      <c r="L248" s="5">
        <v>-1076.25</v>
      </c>
      <c r="M248" s="28">
        <v>41913</v>
      </c>
      <c r="N248" s="3">
        <v>10</v>
      </c>
      <c r="O248" s="29" t="s">
        <v>34</v>
      </c>
      <c r="P248" s="3">
        <v>2014</v>
      </c>
      <c r="Q248" s="6">
        <f>New_Finance_Data[[#This Row],[ Profit ]]/New_Finance_Data[[#This Row],[  Sales ]]</f>
        <v>-1.0526315789473684E-2</v>
      </c>
      <c r="R248" t="str">
        <f>IF(New_Finance_Data[[#This Row],[  Sales ]]&gt;=100000,"High",IF(New_Finance_Data[[#This Row],[  Sales ]]&gt;=50000,"Medium","Low"))</f>
        <v>High</v>
      </c>
      <c r="S248" t="str">
        <f>IF(OR(ISBLANK(New_Finance_Data[[#This Row],[  Sales ]]),ISBLANK(New_Finance_Data[[#This Row],[ Profit ]])),"Missing","OK")</f>
        <v>OK</v>
      </c>
      <c r="T248" t="str">
        <f>TEXT(New_Finance_Data[[#This Row],[Date]],"MMM-YYYY")</f>
        <v>Oct-2014</v>
      </c>
      <c r="U248" t="str">
        <f>IF(New_Finance_Data[[#This Row],[ Profit ]]&gt;0,"Profit","Loss")</f>
        <v>Loss</v>
      </c>
      <c r="V248" t="str">
        <f>IF(New_Finance_Data[[#This Row],[  Sales ]]&gt;=50000,"High Sales","Low Sales")</f>
        <v>High Sales</v>
      </c>
      <c r="W248" t="b">
        <f>ISNUMBER(New_Finance_Data[[#This Row],[Date]])</f>
        <v>1</v>
      </c>
    </row>
    <row r="249" spans="1:23" x14ac:dyDescent="0.2">
      <c r="A249" t="s">
        <v>29</v>
      </c>
      <c r="B249" t="s">
        <v>22</v>
      </c>
      <c r="C249" t="s">
        <v>36</v>
      </c>
      <c r="D249" t="s">
        <v>45</v>
      </c>
      <c r="E249" s="27">
        <v>704</v>
      </c>
      <c r="F249" s="27">
        <v>10</v>
      </c>
      <c r="G249" s="27">
        <v>125</v>
      </c>
      <c r="H249" s="27">
        <v>88000</v>
      </c>
      <c r="I249" s="5">
        <v>4400</v>
      </c>
      <c r="J249" s="27">
        <v>83600</v>
      </c>
      <c r="K249" s="27">
        <v>84480</v>
      </c>
      <c r="L249" s="5">
        <v>-880</v>
      </c>
      <c r="M249" s="28">
        <v>41548</v>
      </c>
      <c r="N249" s="3">
        <v>10</v>
      </c>
      <c r="O249" s="29" t="s">
        <v>34</v>
      </c>
      <c r="P249" s="3">
        <v>2013</v>
      </c>
      <c r="Q249" s="6">
        <f>New_Finance_Data[[#This Row],[ Profit ]]/New_Finance_Data[[#This Row],[  Sales ]]</f>
        <v>-1.0526315789473684E-2</v>
      </c>
      <c r="R249" t="str">
        <f>IF(New_Finance_Data[[#This Row],[  Sales ]]&gt;=100000,"High",IF(New_Finance_Data[[#This Row],[  Sales ]]&gt;=50000,"Medium","Low"))</f>
        <v>Medium</v>
      </c>
      <c r="S249" t="str">
        <f>IF(OR(ISBLANK(New_Finance_Data[[#This Row],[  Sales ]]),ISBLANK(New_Finance_Data[[#This Row],[ Profit ]])),"Missing","OK")</f>
        <v>OK</v>
      </c>
      <c r="T249" t="str">
        <f>TEXT(New_Finance_Data[[#This Row],[Date]],"MMM-YYYY")</f>
        <v>Oct-2013</v>
      </c>
      <c r="U249" t="str">
        <f>IF(New_Finance_Data[[#This Row],[ Profit ]]&gt;0,"Profit","Loss")</f>
        <v>Loss</v>
      </c>
      <c r="V249" t="str">
        <f>IF(New_Finance_Data[[#This Row],[  Sales ]]&gt;=50000,"High Sales","Low Sales")</f>
        <v>High Sales</v>
      </c>
      <c r="W249" t="b">
        <f>ISNUMBER(New_Finance_Data[[#This Row],[Date]])</f>
        <v>1</v>
      </c>
    </row>
    <row r="250" spans="1:23" x14ac:dyDescent="0.2">
      <c r="A250" t="s">
        <v>15</v>
      </c>
      <c r="B250" t="s">
        <v>16</v>
      </c>
      <c r="C250" t="s">
        <v>36</v>
      </c>
      <c r="D250" t="s">
        <v>45</v>
      </c>
      <c r="E250" s="27">
        <v>1802</v>
      </c>
      <c r="F250" s="27">
        <v>10</v>
      </c>
      <c r="G250" s="27">
        <v>20</v>
      </c>
      <c r="H250" s="27">
        <v>36040</v>
      </c>
      <c r="I250" s="5">
        <v>1802</v>
      </c>
      <c r="J250" s="27">
        <v>34238</v>
      </c>
      <c r="K250" s="27">
        <v>18020</v>
      </c>
      <c r="L250" s="5">
        <v>16218</v>
      </c>
      <c r="M250" s="28">
        <v>41609</v>
      </c>
      <c r="N250" s="3">
        <v>12</v>
      </c>
      <c r="O250" s="29" t="s">
        <v>25</v>
      </c>
      <c r="P250" s="3">
        <v>2013</v>
      </c>
      <c r="Q250" s="6">
        <f>New_Finance_Data[[#This Row],[ Profit ]]/New_Finance_Data[[#This Row],[  Sales ]]</f>
        <v>0.47368421052631576</v>
      </c>
      <c r="R250" t="str">
        <f>IF(New_Finance_Data[[#This Row],[  Sales ]]&gt;=100000,"High",IF(New_Finance_Data[[#This Row],[  Sales ]]&gt;=50000,"Medium","Low"))</f>
        <v>Low</v>
      </c>
      <c r="S250" t="str">
        <f>IF(OR(ISBLANK(New_Finance_Data[[#This Row],[  Sales ]]),ISBLANK(New_Finance_Data[[#This Row],[ Profit ]])),"Missing","OK")</f>
        <v>OK</v>
      </c>
      <c r="T250" t="str">
        <f>TEXT(New_Finance_Data[[#This Row],[Date]],"MMM-YYYY")</f>
        <v>Dec-2013</v>
      </c>
      <c r="U250" t="str">
        <f>IF(New_Finance_Data[[#This Row],[ Profit ]]&gt;0,"Profit","Loss")</f>
        <v>Profit</v>
      </c>
      <c r="V250" t="str">
        <f>IF(New_Finance_Data[[#This Row],[  Sales ]]&gt;=50000,"High Sales","Low Sales")</f>
        <v>Low Sales</v>
      </c>
      <c r="W250" t="b">
        <f>ISNUMBER(New_Finance_Data[[#This Row],[Date]])</f>
        <v>1</v>
      </c>
    </row>
    <row r="251" spans="1:23" x14ac:dyDescent="0.2">
      <c r="A251" t="s">
        <v>15</v>
      </c>
      <c r="B251" t="s">
        <v>35</v>
      </c>
      <c r="C251" t="s">
        <v>36</v>
      </c>
      <c r="D251" t="s">
        <v>45</v>
      </c>
      <c r="E251" s="27">
        <v>2663</v>
      </c>
      <c r="F251" s="27">
        <v>10</v>
      </c>
      <c r="G251" s="27">
        <v>20</v>
      </c>
      <c r="H251" s="27">
        <v>53260</v>
      </c>
      <c r="I251" s="5">
        <v>2663</v>
      </c>
      <c r="J251" s="27">
        <v>50597</v>
      </c>
      <c r="K251" s="27">
        <v>26630</v>
      </c>
      <c r="L251" s="5">
        <v>23967</v>
      </c>
      <c r="M251" s="28">
        <v>41974</v>
      </c>
      <c r="N251" s="3">
        <v>12</v>
      </c>
      <c r="O251" s="29" t="s">
        <v>25</v>
      </c>
      <c r="P251" s="3">
        <v>2014</v>
      </c>
      <c r="Q251" s="6">
        <f>New_Finance_Data[[#This Row],[ Profit ]]/New_Finance_Data[[#This Row],[  Sales ]]</f>
        <v>0.47368421052631576</v>
      </c>
      <c r="R251" t="str">
        <f>IF(New_Finance_Data[[#This Row],[  Sales ]]&gt;=100000,"High",IF(New_Finance_Data[[#This Row],[  Sales ]]&gt;=50000,"Medium","Low"))</f>
        <v>Medium</v>
      </c>
      <c r="S251" t="str">
        <f>IF(OR(ISBLANK(New_Finance_Data[[#This Row],[  Sales ]]),ISBLANK(New_Finance_Data[[#This Row],[ Profit ]])),"Missing","OK")</f>
        <v>OK</v>
      </c>
      <c r="T251" t="str">
        <f>TEXT(New_Finance_Data[[#This Row],[Date]],"MMM-YYYY")</f>
        <v>Dec-2014</v>
      </c>
      <c r="U251" t="str">
        <f>IF(New_Finance_Data[[#This Row],[ Profit ]]&gt;0,"Profit","Loss")</f>
        <v>Profit</v>
      </c>
      <c r="V251" t="str">
        <f>IF(New_Finance_Data[[#This Row],[  Sales ]]&gt;=50000,"High Sales","Low Sales")</f>
        <v>High Sales</v>
      </c>
      <c r="W251" t="b">
        <f>ISNUMBER(New_Finance_Data[[#This Row],[Date]])</f>
        <v>1</v>
      </c>
    </row>
    <row r="252" spans="1:23" x14ac:dyDescent="0.2">
      <c r="A252" t="s">
        <v>15</v>
      </c>
      <c r="B252" t="s">
        <v>22</v>
      </c>
      <c r="C252" t="s">
        <v>36</v>
      </c>
      <c r="D252" t="s">
        <v>45</v>
      </c>
      <c r="E252" s="27">
        <v>2136</v>
      </c>
      <c r="F252" s="27">
        <v>10</v>
      </c>
      <c r="G252" s="27">
        <v>7</v>
      </c>
      <c r="H252" s="27">
        <v>14952</v>
      </c>
      <c r="I252" s="5">
        <v>747.6</v>
      </c>
      <c r="J252" s="27">
        <v>14204.4</v>
      </c>
      <c r="K252" s="27">
        <v>10680</v>
      </c>
      <c r="L252" s="5">
        <v>3524.4</v>
      </c>
      <c r="M252" s="28">
        <v>41609</v>
      </c>
      <c r="N252" s="3">
        <v>12</v>
      </c>
      <c r="O252" s="29" t="s">
        <v>25</v>
      </c>
      <c r="P252" s="3">
        <v>2013</v>
      </c>
      <c r="Q252" s="6">
        <f>New_Finance_Data[[#This Row],[ Profit ]]/New_Finance_Data[[#This Row],[  Sales ]]</f>
        <v>0.24812030075187971</v>
      </c>
      <c r="R252" t="str">
        <f>IF(New_Finance_Data[[#This Row],[  Sales ]]&gt;=100000,"High",IF(New_Finance_Data[[#This Row],[  Sales ]]&gt;=50000,"Medium","Low"))</f>
        <v>Low</v>
      </c>
      <c r="S252" t="str">
        <f>IF(OR(ISBLANK(New_Finance_Data[[#This Row],[  Sales ]]),ISBLANK(New_Finance_Data[[#This Row],[ Profit ]])),"Missing","OK")</f>
        <v>OK</v>
      </c>
      <c r="T252" t="str">
        <f>TEXT(New_Finance_Data[[#This Row],[Date]],"MMM-YYYY")</f>
        <v>Dec-2013</v>
      </c>
      <c r="U252" t="str">
        <f>IF(New_Finance_Data[[#This Row],[ Profit ]]&gt;0,"Profit","Loss")</f>
        <v>Profit</v>
      </c>
      <c r="V252" t="str">
        <f>IF(New_Finance_Data[[#This Row],[  Sales ]]&gt;=50000,"High Sales","Low Sales")</f>
        <v>Low Sales</v>
      </c>
      <c r="W252" t="b">
        <f>ISNUMBER(New_Finance_Data[[#This Row],[Date]])</f>
        <v>1</v>
      </c>
    </row>
    <row r="253" spans="1:23" x14ac:dyDescent="0.2">
      <c r="A253" t="s">
        <v>21</v>
      </c>
      <c r="B253" t="s">
        <v>20</v>
      </c>
      <c r="C253" t="s">
        <v>36</v>
      </c>
      <c r="D253" t="s">
        <v>45</v>
      </c>
      <c r="E253" s="27">
        <v>2116</v>
      </c>
      <c r="F253" s="27">
        <v>10</v>
      </c>
      <c r="G253" s="27">
        <v>15</v>
      </c>
      <c r="H253" s="27">
        <v>31740</v>
      </c>
      <c r="I253" s="5">
        <v>1587</v>
      </c>
      <c r="J253" s="27">
        <v>30153</v>
      </c>
      <c r="K253" s="27">
        <v>21160</v>
      </c>
      <c r="L253" s="5">
        <v>8993</v>
      </c>
      <c r="M253" s="28">
        <v>41609</v>
      </c>
      <c r="N253" s="3">
        <v>12</v>
      </c>
      <c r="O253" s="29" t="s">
        <v>25</v>
      </c>
      <c r="P253" s="3">
        <v>2013</v>
      </c>
      <c r="Q253" s="6">
        <f>New_Finance_Data[[#This Row],[ Profit ]]/New_Finance_Data[[#This Row],[  Sales ]]</f>
        <v>0.2982456140350877</v>
      </c>
      <c r="R253" t="str">
        <f>IF(New_Finance_Data[[#This Row],[  Sales ]]&gt;=100000,"High",IF(New_Finance_Data[[#This Row],[  Sales ]]&gt;=50000,"Medium","Low"))</f>
        <v>Low</v>
      </c>
      <c r="S253" t="str">
        <f>IF(OR(ISBLANK(New_Finance_Data[[#This Row],[  Sales ]]),ISBLANK(New_Finance_Data[[#This Row],[ Profit ]])),"Missing","OK")</f>
        <v>OK</v>
      </c>
      <c r="T253" t="str">
        <f>TEXT(New_Finance_Data[[#This Row],[Date]],"MMM-YYYY")</f>
        <v>Dec-2013</v>
      </c>
      <c r="U253" t="str">
        <f>IF(New_Finance_Data[[#This Row],[ Profit ]]&gt;0,"Profit","Loss")</f>
        <v>Profit</v>
      </c>
      <c r="V253" t="str">
        <f>IF(New_Finance_Data[[#This Row],[  Sales ]]&gt;=50000,"High Sales","Low Sales")</f>
        <v>Low Sales</v>
      </c>
      <c r="W253" t="b">
        <f>ISNUMBER(New_Finance_Data[[#This Row],[Date]])</f>
        <v>1</v>
      </c>
    </row>
    <row r="254" spans="1:23" x14ac:dyDescent="0.2">
      <c r="A254" t="s">
        <v>21</v>
      </c>
      <c r="B254" t="s">
        <v>35</v>
      </c>
      <c r="C254" t="s">
        <v>39</v>
      </c>
      <c r="D254" t="s">
        <v>45</v>
      </c>
      <c r="E254" s="27">
        <v>555</v>
      </c>
      <c r="F254" s="27">
        <v>120</v>
      </c>
      <c r="G254" s="27">
        <v>15</v>
      </c>
      <c r="H254" s="27">
        <v>8325</v>
      </c>
      <c r="I254" s="5">
        <v>416.25</v>
      </c>
      <c r="J254" s="27">
        <v>7908.75</v>
      </c>
      <c r="K254" s="27">
        <v>5550</v>
      </c>
      <c r="L254" s="5">
        <v>2358.75</v>
      </c>
      <c r="M254" s="28">
        <v>41640</v>
      </c>
      <c r="N254" s="3">
        <v>1</v>
      </c>
      <c r="O254" s="29" t="s">
        <v>19</v>
      </c>
      <c r="P254" s="3">
        <v>2014</v>
      </c>
      <c r="Q254" s="6">
        <f>New_Finance_Data[[#This Row],[ Profit ]]/New_Finance_Data[[#This Row],[  Sales ]]</f>
        <v>0.2982456140350877</v>
      </c>
      <c r="R254" t="str">
        <f>IF(New_Finance_Data[[#This Row],[  Sales ]]&gt;=100000,"High",IF(New_Finance_Data[[#This Row],[  Sales ]]&gt;=50000,"Medium","Low"))</f>
        <v>Low</v>
      </c>
      <c r="S254" t="str">
        <f>IF(OR(ISBLANK(New_Finance_Data[[#This Row],[  Sales ]]),ISBLANK(New_Finance_Data[[#This Row],[ Profit ]])),"Missing","OK")</f>
        <v>OK</v>
      </c>
      <c r="T254" t="str">
        <f>TEXT(New_Finance_Data[[#This Row],[Date]],"MMM-YYYY")</f>
        <v>Jan-2014</v>
      </c>
      <c r="U254" t="str">
        <f>IF(New_Finance_Data[[#This Row],[ Profit ]]&gt;0,"Profit","Loss")</f>
        <v>Profit</v>
      </c>
      <c r="V254" t="str">
        <f>IF(New_Finance_Data[[#This Row],[  Sales ]]&gt;=50000,"High Sales","Low Sales")</f>
        <v>Low Sales</v>
      </c>
      <c r="W254" t="b">
        <f>ISNUMBER(New_Finance_Data[[#This Row],[Date]])</f>
        <v>1</v>
      </c>
    </row>
    <row r="255" spans="1:23" x14ac:dyDescent="0.2">
      <c r="A255" t="s">
        <v>21</v>
      </c>
      <c r="B255" t="s">
        <v>24</v>
      </c>
      <c r="C255" t="s">
        <v>39</v>
      </c>
      <c r="D255" t="s">
        <v>45</v>
      </c>
      <c r="E255" s="27">
        <v>2861</v>
      </c>
      <c r="F255" s="27">
        <v>120</v>
      </c>
      <c r="G255" s="27">
        <v>15</v>
      </c>
      <c r="H255" s="27">
        <v>42915</v>
      </c>
      <c r="I255" s="5">
        <v>2145.75</v>
      </c>
      <c r="J255" s="27">
        <v>40769.25</v>
      </c>
      <c r="K255" s="27">
        <v>28610</v>
      </c>
      <c r="L255" s="5">
        <v>12159.25</v>
      </c>
      <c r="M255" s="28">
        <v>41640</v>
      </c>
      <c r="N255" s="3">
        <v>1</v>
      </c>
      <c r="O255" s="29" t="s">
        <v>19</v>
      </c>
      <c r="P255" s="3">
        <v>2014</v>
      </c>
      <c r="Q255" s="6">
        <f>New_Finance_Data[[#This Row],[ Profit ]]/New_Finance_Data[[#This Row],[  Sales ]]</f>
        <v>0.2982456140350877</v>
      </c>
      <c r="R255" t="str">
        <f>IF(New_Finance_Data[[#This Row],[  Sales ]]&gt;=100000,"High",IF(New_Finance_Data[[#This Row],[  Sales ]]&gt;=50000,"Medium","Low"))</f>
        <v>Low</v>
      </c>
      <c r="S255" t="str">
        <f>IF(OR(ISBLANK(New_Finance_Data[[#This Row],[  Sales ]]),ISBLANK(New_Finance_Data[[#This Row],[ Profit ]])),"Missing","OK")</f>
        <v>OK</v>
      </c>
      <c r="T255" t="str">
        <f>TEXT(New_Finance_Data[[#This Row],[Date]],"MMM-YYYY")</f>
        <v>Jan-2014</v>
      </c>
      <c r="U255" t="str">
        <f>IF(New_Finance_Data[[#This Row],[ Profit ]]&gt;0,"Profit","Loss")</f>
        <v>Profit</v>
      </c>
      <c r="V255" t="str">
        <f>IF(New_Finance_Data[[#This Row],[  Sales ]]&gt;=50000,"High Sales","Low Sales")</f>
        <v>Low Sales</v>
      </c>
      <c r="W255" t="b">
        <f>ISNUMBER(New_Finance_Data[[#This Row],[Date]])</f>
        <v>1</v>
      </c>
    </row>
    <row r="256" spans="1:23" x14ac:dyDescent="0.2">
      <c r="A256" t="s">
        <v>29</v>
      </c>
      <c r="B256" t="s">
        <v>20</v>
      </c>
      <c r="C256" t="s">
        <v>39</v>
      </c>
      <c r="D256" t="s">
        <v>45</v>
      </c>
      <c r="E256" s="27">
        <v>807</v>
      </c>
      <c r="F256" s="27">
        <v>120</v>
      </c>
      <c r="G256" s="27">
        <v>125</v>
      </c>
      <c r="H256" s="27">
        <v>100875</v>
      </c>
      <c r="I256" s="5">
        <v>5043.75</v>
      </c>
      <c r="J256" s="27">
        <v>95831.25</v>
      </c>
      <c r="K256" s="27">
        <v>96840</v>
      </c>
      <c r="L256" s="5">
        <v>-1008.75</v>
      </c>
      <c r="M256" s="28">
        <v>41671</v>
      </c>
      <c r="N256" s="3">
        <v>2</v>
      </c>
      <c r="O256" s="29" t="s">
        <v>37</v>
      </c>
      <c r="P256" s="3">
        <v>2014</v>
      </c>
      <c r="Q256" s="6">
        <f>New_Finance_Data[[#This Row],[ Profit ]]/New_Finance_Data[[#This Row],[  Sales ]]</f>
        <v>-1.0526315789473684E-2</v>
      </c>
      <c r="R256" t="str">
        <f>IF(New_Finance_Data[[#This Row],[  Sales ]]&gt;=100000,"High",IF(New_Finance_Data[[#This Row],[  Sales ]]&gt;=50000,"Medium","Low"))</f>
        <v>Medium</v>
      </c>
      <c r="S256" t="str">
        <f>IF(OR(ISBLANK(New_Finance_Data[[#This Row],[  Sales ]]),ISBLANK(New_Finance_Data[[#This Row],[ Profit ]])),"Missing","OK")</f>
        <v>OK</v>
      </c>
      <c r="T256" t="str">
        <f>TEXT(New_Finance_Data[[#This Row],[Date]],"MMM-YYYY")</f>
        <v>Feb-2014</v>
      </c>
      <c r="U256" t="str">
        <f>IF(New_Finance_Data[[#This Row],[ Profit ]]&gt;0,"Profit","Loss")</f>
        <v>Loss</v>
      </c>
      <c r="V256" t="str">
        <f>IF(New_Finance_Data[[#This Row],[  Sales ]]&gt;=50000,"High Sales","Low Sales")</f>
        <v>High Sales</v>
      </c>
      <c r="W256" t="b">
        <f>ISNUMBER(New_Finance_Data[[#This Row],[Date]])</f>
        <v>1</v>
      </c>
    </row>
    <row r="257" spans="1:23" x14ac:dyDescent="0.2">
      <c r="A257" t="s">
        <v>15</v>
      </c>
      <c r="B257" t="s">
        <v>35</v>
      </c>
      <c r="C257" t="s">
        <v>39</v>
      </c>
      <c r="D257" t="s">
        <v>45</v>
      </c>
      <c r="E257" s="27">
        <v>602</v>
      </c>
      <c r="F257" s="27">
        <v>120</v>
      </c>
      <c r="G257" s="27">
        <v>350</v>
      </c>
      <c r="H257" s="27">
        <v>210700</v>
      </c>
      <c r="I257" s="5">
        <v>10535</v>
      </c>
      <c r="J257" s="27">
        <v>200165</v>
      </c>
      <c r="K257" s="27">
        <v>156520</v>
      </c>
      <c r="L257" s="5">
        <v>43645</v>
      </c>
      <c r="M257" s="28">
        <v>41791</v>
      </c>
      <c r="N257" s="3">
        <v>6</v>
      </c>
      <c r="O257" s="29" t="s">
        <v>23</v>
      </c>
      <c r="P257" s="3">
        <v>2014</v>
      </c>
      <c r="Q257" s="6">
        <f>New_Finance_Data[[#This Row],[ Profit ]]/New_Finance_Data[[#This Row],[  Sales ]]</f>
        <v>0.21804511278195488</v>
      </c>
      <c r="R257" t="str">
        <f>IF(New_Finance_Data[[#This Row],[  Sales ]]&gt;=100000,"High",IF(New_Finance_Data[[#This Row],[  Sales ]]&gt;=50000,"Medium","Low"))</f>
        <v>High</v>
      </c>
      <c r="S257" t="str">
        <f>IF(OR(ISBLANK(New_Finance_Data[[#This Row],[  Sales ]]),ISBLANK(New_Finance_Data[[#This Row],[ Profit ]])),"Missing","OK")</f>
        <v>OK</v>
      </c>
      <c r="T257" t="str">
        <f>TEXT(New_Finance_Data[[#This Row],[Date]],"MMM-YYYY")</f>
        <v>Jun-2014</v>
      </c>
      <c r="U257" t="str">
        <f>IF(New_Finance_Data[[#This Row],[ Profit ]]&gt;0,"Profit","Loss")</f>
        <v>Profit</v>
      </c>
      <c r="V257" t="str">
        <f>IF(New_Finance_Data[[#This Row],[  Sales ]]&gt;=50000,"High Sales","Low Sales")</f>
        <v>High Sales</v>
      </c>
      <c r="W257" t="b">
        <f>ISNUMBER(New_Finance_Data[[#This Row],[Date]])</f>
        <v>1</v>
      </c>
    </row>
    <row r="258" spans="1:23" x14ac:dyDescent="0.2">
      <c r="A258" t="s">
        <v>15</v>
      </c>
      <c r="B258" t="s">
        <v>35</v>
      </c>
      <c r="C258" t="s">
        <v>39</v>
      </c>
      <c r="D258" t="s">
        <v>45</v>
      </c>
      <c r="E258" s="27">
        <v>2832</v>
      </c>
      <c r="F258" s="27">
        <v>120</v>
      </c>
      <c r="G258" s="27">
        <v>20</v>
      </c>
      <c r="H258" s="27">
        <v>56640</v>
      </c>
      <c r="I258" s="5">
        <v>2832</v>
      </c>
      <c r="J258" s="27">
        <v>53808</v>
      </c>
      <c r="K258" s="27">
        <v>28320</v>
      </c>
      <c r="L258" s="5">
        <v>25488</v>
      </c>
      <c r="M258" s="28">
        <v>41852</v>
      </c>
      <c r="N258" s="3">
        <v>8</v>
      </c>
      <c r="O258" s="29" t="s">
        <v>32</v>
      </c>
      <c r="P258" s="3">
        <v>2014</v>
      </c>
      <c r="Q258" s="6">
        <f>New_Finance_Data[[#This Row],[ Profit ]]/New_Finance_Data[[#This Row],[  Sales ]]</f>
        <v>0.47368421052631576</v>
      </c>
      <c r="R258" t="str">
        <f>IF(New_Finance_Data[[#This Row],[  Sales ]]&gt;=100000,"High",IF(New_Finance_Data[[#This Row],[  Sales ]]&gt;=50000,"Medium","Low"))</f>
        <v>Medium</v>
      </c>
      <c r="S258" t="str">
        <f>IF(OR(ISBLANK(New_Finance_Data[[#This Row],[  Sales ]]),ISBLANK(New_Finance_Data[[#This Row],[ Profit ]])),"Missing","OK")</f>
        <v>OK</v>
      </c>
      <c r="T258" t="str">
        <f>TEXT(New_Finance_Data[[#This Row],[Date]],"MMM-YYYY")</f>
        <v>Aug-2014</v>
      </c>
      <c r="U258" t="str">
        <f>IF(New_Finance_Data[[#This Row],[ Profit ]]&gt;0,"Profit","Loss")</f>
        <v>Profit</v>
      </c>
      <c r="V258" t="str">
        <f>IF(New_Finance_Data[[#This Row],[  Sales ]]&gt;=50000,"High Sales","Low Sales")</f>
        <v>High Sales</v>
      </c>
      <c r="W258" t="b">
        <f>ISNUMBER(New_Finance_Data[[#This Row],[Date]])</f>
        <v>1</v>
      </c>
    </row>
    <row r="259" spans="1:23" x14ac:dyDescent="0.2">
      <c r="A259" t="s">
        <v>15</v>
      </c>
      <c r="B259" t="s">
        <v>22</v>
      </c>
      <c r="C259" t="s">
        <v>39</v>
      </c>
      <c r="D259" t="s">
        <v>45</v>
      </c>
      <c r="E259" s="27">
        <v>1579</v>
      </c>
      <c r="F259" s="27">
        <v>120</v>
      </c>
      <c r="G259" s="27">
        <v>20</v>
      </c>
      <c r="H259" s="27">
        <v>31580</v>
      </c>
      <c r="I259" s="5">
        <v>1579</v>
      </c>
      <c r="J259" s="27">
        <v>30001</v>
      </c>
      <c r="K259" s="27">
        <v>15790</v>
      </c>
      <c r="L259" s="5">
        <v>14211</v>
      </c>
      <c r="M259" s="28">
        <v>41852</v>
      </c>
      <c r="N259" s="3">
        <v>8</v>
      </c>
      <c r="O259" s="29" t="s">
        <v>32</v>
      </c>
      <c r="P259" s="3">
        <v>2014</v>
      </c>
      <c r="Q259" s="6">
        <f>New_Finance_Data[[#This Row],[ Profit ]]/New_Finance_Data[[#This Row],[  Sales ]]</f>
        <v>0.47368421052631576</v>
      </c>
      <c r="R259" t="str">
        <f>IF(New_Finance_Data[[#This Row],[  Sales ]]&gt;=100000,"High",IF(New_Finance_Data[[#This Row],[  Sales ]]&gt;=50000,"Medium","Low"))</f>
        <v>Low</v>
      </c>
      <c r="S259" t="str">
        <f>IF(OR(ISBLANK(New_Finance_Data[[#This Row],[  Sales ]]),ISBLANK(New_Finance_Data[[#This Row],[ Profit ]])),"Missing","OK")</f>
        <v>OK</v>
      </c>
      <c r="T259" t="str">
        <f>TEXT(New_Finance_Data[[#This Row],[Date]],"MMM-YYYY")</f>
        <v>Aug-2014</v>
      </c>
      <c r="U259" t="str">
        <f>IF(New_Finance_Data[[#This Row],[ Profit ]]&gt;0,"Profit","Loss")</f>
        <v>Profit</v>
      </c>
      <c r="V259" t="str">
        <f>IF(New_Finance_Data[[#This Row],[  Sales ]]&gt;=50000,"High Sales","Low Sales")</f>
        <v>Low Sales</v>
      </c>
      <c r="W259" t="b">
        <f>ISNUMBER(New_Finance_Data[[#This Row],[Date]])</f>
        <v>1</v>
      </c>
    </row>
    <row r="260" spans="1:23" x14ac:dyDescent="0.2">
      <c r="A260" t="s">
        <v>29</v>
      </c>
      <c r="B260" t="s">
        <v>35</v>
      </c>
      <c r="C260" t="s">
        <v>39</v>
      </c>
      <c r="D260" t="s">
        <v>45</v>
      </c>
      <c r="E260" s="27">
        <v>861</v>
      </c>
      <c r="F260" s="27">
        <v>120</v>
      </c>
      <c r="G260" s="27">
        <v>125</v>
      </c>
      <c r="H260" s="27">
        <v>107625</v>
      </c>
      <c r="I260" s="5">
        <v>5381.25</v>
      </c>
      <c r="J260" s="27">
        <v>102243.75</v>
      </c>
      <c r="K260" s="27">
        <v>103320</v>
      </c>
      <c r="L260" s="5">
        <v>-1076.25</v>
      </c>
      <c r="M260" s="28">
        <v>41913</v>
      </c>
      <c r="N260" s="3">
        <v>10</v>
      </c>
      <c r="O260" s="29" t="s">
        <v>34</v>
      </c>
      <c r="P260" s="3">
        <v>2014</v>
      </c>
      <c r="Q260" s="6">
        <f>New_Finance_Data[[#This Row],[ Profit ]]/New_Finance_Data[[#This Row],[  Sales ]]</f>
        <v>-1.0526315789473684E-2</v>
      </c>
      <c r="R260" t="str">
        <f>IF(New_Finance_Data[[#This Row],[  Sales ]]&gt;=100000,"High",IF(New_Finance_Data[[#This Row],[  Sales ]]&gt;=50000,"Medium","Low"))</f>
        <v>High</v>
      </c>
      <c r="S260" t="str">
        <f>IF(OR(ISBLANK(New_Finance_Data[[#This Row],[  Sales ]]),ISBLANK(New_Finance_Data[[#This Row],[ Profit ]])),"Missing","OK")</f>
        <v>OK</v>
      </c>
      <c r="T260" t="str">
        <f>TEXT(New_Finance_Data[[#This Row],[Date]],"MMM-YYYY")</f>
        <v>Oct-2014</v>
      </c>
      <c r="U260" t="str">
        <f>IF(New_Finance_Data[[#This Row],[ Profit ]]&gt;0,"Profit","Loss")</f>
        <v>Loss</v>
      </c>
      <c r="V260" t="str">
        <f>IF(New_Finance_Data[[#This Row],[  Sales ]]&gt;=50000,"High Sales","Low Sales")</f>
        <v>High Sales</v>
      </c>
      <c r="W260" t="b">
        <f>ISNUMBER(New_Finance_Data[[#This Row],[Date]])</f>
        <v>1</v>
      </c>
    </row>
    <row r="261" spans="1:23" x14ac:dyDescent="0.2">
      <c r="A261" t="s">
        <v>29</v>
      </c>
      <c r="B261" t="s">
        <v>22</v>
      </c>
      <c r="C261" t="s">
        <v>39</v>
      </c>
      <c r="D261" t="s">
        <v>45</v>
      </c>
      <c r="E261" s="27">
        <v>704</v>
      </c>
      <c r="F261" s="27">
        <v>120</v>
      </c>
      <c r="G261" s="27">
        <v>125</v>
      </c>
      <c r="H261" s="27">
        <v>88000</v>
      </c>
      <c r="I261" s="5">
        <v>4400</v>
      </c>
      <c r="J261" s="27">
        <v>83600</v>
      </c>
      <c r="K261" s="27">
        <v>84480</v>
      </c>
      <c r="L261" s="5">
        <v>-880</v>
      </c>
      <c r="M261" s="28">
        <v>41548</v>
      </c>
      <c r="N261" s="3">
        <v>10</v>
      </c>
      <c r="O261" s="29" t="s">
        <v>34</v>
      </c>
      <c r="P261" s="3">
        <v>2013</v>
      </c>
      <c r="Q261" s="6">
        <f>New_Finance_Data[[#This Row],[ Profit ]]/New_Finance_Data[[#This Row],[  Sales ]]</f>
        <v>-1.0526315789473684E-2</v>
      </c>
      <c r="R261" t="str">
        <f>IF(New_Finance_Data[[#This Row],[  Sales ]]&gt;=100000,"High",IF(New_Finance_Data[[#This Row],[  Sales ]]&gt;=50000,"Medium","Low"))</f>
        <v>Medium</v>
      </c>
      <c r="S261" t="str">
        <f>IF(OR(ISBLANK(New_Finance_Data[[#This Row],[  Sales ]]),ISBLANK(New_Finance_Data[[#This Row],[ Profit ]])),"Missing","OK")</f>
        <v>OK</v>
      </c>
      <c r="T261" t="str">
        <f>TEXT(New_Finance_Data[[#This Row],[Date]],"MMM-YYYY")</f>
        <v>Oct-2013</v>
      </c>
      <c r="U261" t="str">
        <f>IF(New_Finance_Data[[#This Row],[ Profit ]]&gt;0,"Profit","Loss")</f>
        <v>Loss</v>
      </c>
      <c r="V261" t="str">
        <f>IF(New_Finance_Data[[#This Row],[  Sales ]]&gt;=50000,"High Sales","Low Sales")</f>
        <v>High Sales</v>
      </c>
      <c r="W261" t="b">
        <f>ISNUMBER(New_Finance_Data[[#This Row],[Date]])</f>
        <v>1</v>
      </c>
    </row>
    <row r="262" spans="1:23" x14ac:dyDescent="0.2">
      <c r="A262" t="s">
        <v>15</v>
      </c>
      <c r="B262" t="s">
        <v>22</v>
      </c>
      <c r="C262" t="s">
        <v>39</v>
      </c>
      <c r="D262" t="s">
        <v>45</v>
      </c>
      <c r="E262" s="27">
        <v>1033</v>
      </c>
      <c r="F262" s="27">
        <v>120</v>
      </c>
      <c r="G262" s="27">
        <v>20</v>
      </c>
      <c r="H262" s="27">
        <v>20660</v>
      </c>
      <c r="I262" s="5">
        <v>1033</v>
      </c>
      <c r="J262" s="27">
        <v>19627</v>
      </c>
      <c r="K262" s="27">
        <v>10330</v>
      </c>
      <c r="L262" s="5">
        <v>9297</v>
      </c>
      <c r="M262" s="28">
        <v>41609</v>
      </c>
      <c r="N262" s="3">
        <v>12</v>
      </c>
      <c r="O262" s="29" t="s">
        <v>25</v>
      </c>
      <c r="P262" s="3">
        <v>2013</v>
      </c>
      <c r="Q262" s="6">
        <f>New_Finance_Data[[#This Row],[ Profit ]]/New_Finance_Data[[#This Row],[  Sales ]]</f>
        <v>0.47368421052631576</v>
      </c>
      <c r="R262" t="str">
        <f>IF(New_Finance_Data[[#This Row],[  Sales ]]&gt;=100000,"High",IF(New_Finance_Data[[#This Row],[  Sales ]]&gt;=50000,"Medium","Low"))</f>
        <v>Low</v>
      </c>
      <c r="S262" t="str">
        <f>IF(OR(ISBLANK(New_Finance_Data[[#This Row],[  Sales ]]),ISBLANK(New_Finance_Data[[#This Row],[ Profit ]])),"Missing","OK")</f>
        <v>OK</v>
      </c>
      <c r="T262" t="str">
        <f>TEXT(New_Finance_Data[[#This Row],[Date]],"MMM-YYYY")</f>
        <v>Dec-2013</v>
      </c>
      <c r="U262" t="str">
        <f>IF(New_Finance_Data[[#This Row],[ Profit ]]&gt;0,"Profit","Loss")</f>
        <v>Profit</v>
      </c>
      <c r="V262" t="str">
        <f>IF(New_Finance_Data[[#This Row],[  Sales ]]&gt;=50000,"High Sales","Low Sales")</f>
        <v>Low Sales</v>
      </c>
      <c r="W262" t="b">
        <f>ISNUMBER(New_Finance_Data[[#This Row],[Date]])</f>
        <v>1</v>
      </c>
    </row>
    <row r="263" spans="1:23" x14ac:dyDescent="0.2">
      <c r="A263" t="s">
        <v>31</v>
      </c>
      <c r="B263" t="s">
        <v>20</v>
      </c>
      <c r="C263" t="s">
        <v>39</v>
      </c>
      <c r="D263" t="s">
        <v>45</v>
      </c>
      <c r="E263" s="27">
        <v>1250</v>
      </c>
      <c r="F263" s="27">
        <v>120</v>
      </c>
      <c r="G263" s="27">
        <v>300</v>
      </c>
      <c r="H263" s="27">
        <v>375000</v>
      </c>
      <c r="I263" s="5">
        <v>18750</v>
      </c>
      <c r="J263" s="27">
        <v>356250</v>
      </c>
      <c r="K263" s="27">
        <v>312500</v>
      </c>
      <c r="L263" s="5">
        <v>43750</v>
      </c>
      <c r="M263" s="28">
        <v>41974</v>
      </c>
      <c r="N263" s="3">
        <v>12</v>
      </c>
      <c r="O263" s="29" t="s">
        <v>25</v>
      </c>
      <c r="P263" s="3">
        <v>2014</v>
      </c>
      <c r="Q263" s="6">
        <f>New_Finance_Data[[#This Row],[ Profit ]]/New_Finance_Data[[#This Row],[  Sales ]]</f>
        <v>0.12280701754385964</v>
      </c>
      <c r="R263" t="str">
        <f>IF(New_Finance_Data[[#This Row],[  Sales ]]&gt;=100000,"High",IF(New_Finance_Data[[#This Row],[  Sales ]]&gt;=50000,"Medium","Low"))</f>
        <v>High</v>
      </c>
      <c r="S263" t="str">
        <f>IF(OR(ISBLANK(New_Finance_Data[[#This Row],[  Sales ]]),ISBLANK(New_Finance_Data[[#This Row],[ Profit ]])),"Missing","OK")</f>
        <v>OK</v>
      </c>
      <c r="T263" t="str">
        <f>TEXT(New_Finance_Data[[#This Row],[Date]],"MMM-YYYY")</f>
        <v>Dec-2014</v>
      </c>
      <c r="U263" t="str">
        <f>IF(New_Finance_Data[[#This Row],[ Profit ]]&gt;0,"Profit","Loss")</f>
        <v>Profit</v>
      </c>
      <c r="V263" t="str">
        <f>IF(New_Finance_Data[[#This Row],[  Sales ]]&gt;=50000,"High Sales","Low Sales")</f>
        <v>High Sales</v>
      </c>
      <c r="W263" t="b">
        <f>ISNUMBER(New_Finance_Data[[#This Row],[Date]])</f>
        <v>1</v>
      </c>
    </row>
    <row r="264" spans="1:23" x14ac:dyDescent="0.2">
      <c r="A264" t="s">
        <v>15</v>
      </c>
      <c r="B264" t="s">
        <v>16</v>
      </c>
      <c r="C264" t="s">
        <v>40</v>
      </c>
      <c r="D264" t="s">
        <v>45</v>
      </c>
      <c r="E264" s="27">
        <v>1389</v>
      </c>
      <c r="F264" s="27">
        <v>250</v>
      </c>
      <c r="G264" s="27">
        <v>20</v>
      </c>
      <c r="H264" s="27">
        <v>27780</v>
      </c>
      <c r="I264" s="5">
        <v>1389</v>
      </c>
      <c r="J264" s="27">
        <v>26391</v>
      </c>
      <c r="K264" s="27">
        <v>13890</v>
      </c>
      <c r="L264" s="5">
        <v>12501</v>
      </c>
      <c r="M264" s="28">
        <v>41548</v>
      </c>
      <c r="N264" s="3">
        <v>10</v>
      </c>
      <c r="O264" s="29" t="s">
        <v>34</v>
      </c>
      <c r="P264" s="3">
        <v>2013</v>
      </c>
      <c r="Q264" s="6">
        <f>New_Finance_Data[[#This Row],[ Profit ]]/New_Finance_Data[[#This Row],[  Sales ]]</f>
        <v>0.47368421052631576</v>
      </c>
      <c r="R264" t="str">
        <f>IF(New_Finance_Data[[#This Row],[  Sales ]]&gt;=100000,"High",IF(New_Finance_Data[[#This Row],[  Sales ]]&gt;=50000,"Medium","Low"))</f>
        <v>Low</v>
      </c>
      <c r="S264" t="str">
        <f>IF(OR(ISBLANK(New_Finance_Data[[#This Row],[  Sales ]]),ISBLANK(New_Finance_Data[[#This Row],[ Profit ]])),"Missing","OK")</f>
        <v>OK</v>
      </c>
      <c r="T264" t="str">
        <f>TEXT(New_Finance_Data[[#This Row],[Date]],"MMM-YYYY")</f>
        <v>Oct-2013</v>
      </c>
      <c r="U264" t="str">
        <f>IF(New_Finance_Data[[#This Row],[ Profit ]]&gt;0,"Profit","Loss")</f>
        <v>Profit</v>
      </c>
      <c r="V264" t="str">
        <f>IF(New_Finance_Data[[#This Row],[  Sales ]]&gt;=50000,"High Sales","Low Sales")</f>
        <v>Low Sales</v>
      </c>
      <c r="W264" t="b">
        <f>ISNUMBER(New_Finance_Data[[#This Row],[Date]])</f>
        <v>1</v>
      </c>
    </row>
    <row r="265" spans="1:23" x14ac:dyDescent="0.2">
      <c r="A265" t="s">
        <v>15</v>
      </c>
      <c r="B265" t="s">
        <v>35</v>
      </c>
      <c r="C265" t="s">
        <v>40</v>
      </c>
      <c r="D265" t="s">
        <v>45</v>
      </c>
      <c r="E265" s="27">
        <v>1265</v>
      </c>
      <c r="F265" s="27">
        <v>250</v>
      </c>
      <c r="G265" s="27">
        <v>20</v>
      </c>
      <c r="H265" s="27">
        <v>25300</v>
      </c>
      <c r="I265" s="5">
        <v>1265</v>
      </c>
      <c r="J265" s="27">
        <v>24035</v>
      </c>
      <c r="K265" s="27">
        <v>12650</v>
      </c>
      <c r="L265" s="5">
        <v>11385</v>
      </c>
      <c r="M265" s="28">
        <v>41579</v>
      </c>
      <c r="N265" s="3">
        <v>11</v>
      </c>
      <c r="O265" s="29" t="s">
        <v>38</v>
      </c>
      <c r="P265" s="3">
        <v>2013</v>
      </c>
      <c r="Q265" s="6">
        <f>New_Finance_Data[[#This Row],[ Profit ]]/New_Finance_Data[[#This Row],[  Sales ]]</f>
        <v>0.47368421052631576</v>
      </c>
      <c r="R265" t="str">
        <f>IF(New_Finance_Data[[#This Row],[  Sales ]]&gt;=100000,"High",IF(New_Finance_Data[[#This Row],[  Sales ]]&gt;=50000,"Medium","Low"))</f>
        <v>Low</v>
      </c>
      <c r="S265" t="str">
        <f>IF(OR(ISBLANK(New_Finance_Data[[#This Row],[  Sales ]]),ISBLANK(New_Finance_Data[[#This Row],[ Profit ]])),"Missing","OK")</f>
        <v>OK</v>
      </c>
      <c r="T265" t="str">
        <f>TEXT(New_Finance_Data[[#This Row],[Date]],"MMM-YYYY")</f>
        <v>Nov-2013</v>
      </c>
      <c r="U265" t="str">
        <f>IF(New_Finance_Data[[#This Row],[ Profit ]]&gt;0,"Profit","Loss")</f>
        <v>Profit</v>
      </c>
      <c r="V265" t="str">
        <f>IF(New_Finance_Data[[#This Row],[  Sales ]]&gt;=50000,"High Sales","Low Sales")</f>
        <v>Low Sales</v>
      </c>
      <c r="W265" t="b">
        <f>ISNUMBER(New_Finance_Data[[#This Row],[Date]])</f>
        <v>1</v>
      </c>
    </row>
    <row r="266" spans="1:23" x14ac:dyDescent="0.2">
      <c r="A266" t="s">
        <v>15</v>
      </c>
      <c r="B266" t="s">
        <v>20</v>
      </c>
      <c r="C266" t="s">
        <v>40</v>
      </c>
      <c r="D266" t="s">
        <v>45</v>
      </c>
      <c r="E266" s="27">
        <v>2297</v>
      </c>
      <c r="F266" s="27">
        <v>250</v>
      </c>
      <c r="G266" s="27">
        <v>20</v>
      </c>
      <c r="H266" s="27">
        <v>45940</v>
      </c>
      <c r="I266" s="5">
        <v>2297</v>
      </c>
      <c r="J266" s="27">
        <v>43643</v>
      </c>
      <c r="K266" s="27">
        <v>22970</v>
      </c>
      <c r="L266" s="5">
        <v>20673</v>
      </c>
      <c r="M266" s="28">
        <v>41579</v>
      </c>
      <c r="N266" s="3">
        <v>11</v>
      </c>
      <c r="O266" s="29" t="s">
        <v>38</v>
      </c>
      <c r="P266" s="3">
        <v>2013</v>
      </c>
      <c r="Q266" s="6">
        <f>New_Finance_Data[[#This Row],[ Profit ]]/New_Finance_Data[[#This Row],[  Sales ]]</f>
        <v>0.47368421052631576</v>
      </c>
      <c r="R266" t="str">
        <f>IF(New_Finance_Data[[#This Row],[  Sales ]]&gt;=100000,"High",IF(New_Finance_Data[[#This Row],[  Sales ]]&gt;=50000,"Medium","Low"))</f>
        <v>Low</v>
      </c>
      <c r="S266" t="str">
        <f>IF(OR(ISBLANK(New_Finance_Data[[#This Row],[  Sales ]]),ISBLANK(New_Finance_Data[[#This Row],[ Profit ]])),"Missing","OK")</f>
        <v>OK</v>
      </c>
      <c r="T266" t="str">
        <f>TEXT(New_Finance_Data[[#This Row],[Date]],"MMM-YYYY")</f>
        <v>Nov-2013</v>
      </c>
      <c r="U266" t="str">
        <f>IF(New_Finance_Data[[#This Row],[ Profit ]]&gt;0,"Profit","Loss")</f>
        <v>Profit</v>
      </c>
      <c r="V266" t="str">
        <f>IF(New_Finance_Data[[#This Row],[  Sales ]]&gt;=50000,"High Sales","Low Sales")</f>
        <v>Low Sales</v>
      </c>
      <c r="W266" t="b">
        <f>ISNUMBER(New_Finance_Data[[#This Row],[Date]])</f>
        <v>1</v>
      </c>
    </row>
    <row r="267" spans="1:23" x14ac:dyDescent="0.2">
      <c r="A267" t="s">
        <v>15</v>
      </c>
      <c r="B267" t="s">
        <v>35</v>
      </c>
      <c r="C267" t="s">
        <v>40</v>
      </c>
      <c r="D267" t="s">
        <v>45</v>
      </c>
      <c r="E267" s="27">
        <v>2663</v>
      </c>
      <c r="F267" s="27">
        <v>250</v>
      </c>
      <c r="G267" s="27">
        <v>20</v>
      </c>
      <c r="H267" s="27">
        <v>53260</v>
      </c>
      <c r="I267" s="5">
        <v>2663</v>
      </c>
      <c r="J267" s="27">
        <v>50597</v>
      </c>
      <c r="K267" s="27">
        <v>26630</v>
      </c>
      <c r="L267" s="5">
        <v>23967</v>
      </c>
      <c r="M267" s="28">
        <v>41974</v>
      </c>
      <c r="N267" s="3">
        <v>12</v>
      </c>
      <c r="O267" s="29" t="s">
        <v>25</v>
      </c>
      <c r="P267" s="3">
        <v>2014</v>
      </c>
      <c r="Q267" s="6">
        <f>New_Finance_Data[[#This Row],[ Profit ]]/New_Finance_Data[[#This Row],[  Sales ]]</f>
        <v>0.47368421052631576</v>
      </c>
      <c r="R267" t="str">
        <f>IF(New_Finance_Data[[#This Row],[  Sales ]]&gt;=100000,"High",IF(New_Finance_Data[[#This Row],[  Sales ]]&gt;=50000,"Medium","Low"))</f>
        <v>Medium</v>
      </c>
      <c r="S267" t="str">
        <f>IF(OR(ISBLANK(New_Finance_Data[[#This Row],[  Sales ]]),ISBLANK(New_Finance_Data[[#This Row],[ Profit ]])),"Missing","OK")</f>
        <v>OK</v>
      </c>
      <c r="T267" t="str">
        <f>TEXT(New_Finance_Data[[#This Row],[Date]],"MMM-YYYY")</f>
        <v>Dec-2014</v>
      </c>
      <c r="U267" t="str">
        <f>IF(New_Finance_Data[[#This Row],[ Profit ]]&gt;0,"Profit","Loss")</f>
        <v>Profit</v>
      </c>
      <c r="V267" t="str">
        <f>IF(New_Finance_Data[[#This Row],[  Sales ]]&gt;=50000,"High Sales","Low Sales")</f>
        <v>High Sales</v>
      </c>
      <c r="W267" t="b">
        <f>ISNUMBER(New_Finance_Data[[#This Row],[Date]])</f>
        <v>1</v>
      </c>
    </row>
    <row r="268" spans="1:23" x14ac:dyDescent="0.2">
      <c r="A268" t="s">
        <v>15</v>
      </c>
      <c r="B268" t="s">
        <v>35</v>
      </c>
      <c r="C268" t="s">
        <v>40</v>
      </c>
      <c r="D268" t="s">
        <v>45</v>
      </c>
      <c r="E268" s="27">
        <v>570</v>
      </c>
      <c r="F268" s="27">
        <v>250</v>
      </c>
      <c r="G268" s="27">
        <v>7</v>
      </c>
      <c r="H268" s="27">
        <v>3990</v>
      </c>
      <c r="I268" s="5">
        <v>199.5</v>
      </c>
      <c r="J268" s="27">
        <v>3790.5</v>
      </c>
      <c r="K268" s="27">
        <v>2850</v>
      </c>
      <c r="L268" s="5">
        <v>940.5</v>
      </c>
      <c r="M268" s="28">
        <v>41974</v>
      </c>
      <c r="N268" s="3">
        <v>12</v>
      </c>
      <c r="O268" s="29" t="s">
        <v>25</v>
      </c>
      <c r="P268" s="3">
        <v>2014</v>
      </c>
      <c r="Q268" s="6">
        <f>New_Finance_Data[[#This Row],[ Profit ]]/New_Finance_Data[[#This Row],[  Sales ]]</f>
        <v>0.24812030075187969</v>
      </c>
      <c r="R268" t="str">
        <f>IF(New_Finance_Data[[#This Row],[  Sales ]]&gt;=100000,"High",IF(New_Finance_Data[[#This Row],[  Sales ]]&gt;=50000,"Medium","Low"))</f>
        <v>Low</v>
      </c>
      <c r="S268" t="str">
        <f>IF(OR(ISBLANK(New_Finance_Data[[#This Row],[  Sales ]]),ISBLANK(New_Finance_Data[[#This Row],[ Profit ]])),"Missing","OK")</f>
        <v>OK</v>
      </c>
      <c r="T268" t="str">
        <f>TEXT(New_Finance_Data[[#This Row],[Date]],"MMM-YYYY")</f>
        <v>Dec-2014</v>
      </c>
      <c r="U268" t="str">
        <f>IF(New_Finance_Data[[#This Row],[ Profit ]]&gt;0,"Profit","Loss")</f>
        <v>Profit</v>
      </c>
      <c r="V268" t="str">
        <f>IF(New_Finance_Data[[#This Row],[  Sales ]]&gt;=50000,"High Sales","Low Sales")</f>
        <v>Low Sales</v>
      </c>
      <c r="W268" t="b">
        <f>ISNUMBER(New_Finance_Data[[#This Row],[Date]])</f>
        <v>1</v>
      </c>
    </row>
    <row r="269" spans="1:23" x14ac:dyDescent="0.2">
      <c r="A269" t="s">
        <v>15</v>
      </c>
      <c r="B269" t="s">
        <v>22</v>
      </c>
      <c r="C269" t="s">
        <v>40</v>
      </c>
      <c r="D269" t="s">
        <v>45</v>
      </c>
      <c r="E269" s="27">
        <v>2487</v>
      </c>
      <c r="F269" s="27">
        <v>250</v>
      </c>
      <c r="G269" s="27">
        <v>7</v>
      </c>
      <c r="H269" s="27">
        <v>17409</v>
      </c>
      <c r="I269" s="5">
        <v>870.45</v>
      </c>
      <c r="J269" s="27">
        <v>16538.55</v>
      </c>
      <c r="K269" s="27">
        <v>12435</v>
      </c>
      <c r="L269" s="5">
        <v>4103.55</v>
      </c>
      <c r="M269" s="28">
        <v>41974</v>
      </c>
      <c r="N269" s="3">
        <v>12</v>
      </c>
      <c r="O269" s="29" t="s">
        <v>25</v>
      </c>
      <c r="P269" s="3">
        <v>2014</v>
      </c>
      <c r="Q269" s="6">
        <f>New_Finance_Data[[#This Row],[ Profit ]]/New_Finance_Data[[#This Row],[  Sales ]]</f>
        <v>0.24812030075187971</v>
      </c>
      <c r="R269" t="str">
        <f>IF(New_Finance_Data[[#This Row],[  Sales ]]&gt;=100000,"High",IF(New_Finance_Data[[#This Row],[  Sales ]]&gt;=50000,"Medium","Low"))</f>
        <v>Low</v>
      </c>
      <c r="S269" t="str">
        <f>IF(OR(ISBLANK(New_Finance_Data[[#This Row],[  Sales ]]),ISBLANK(New_Finance_Data[[#This Row],[ Profit ]])),"Missing","OK")</f>
        <v>OK</v>
      </c>
      <c r="T269" t="str">
        <f>TEXT(New_Finance_Data[[#This Row],[Date]],"MMM-YYYY")</f>
        <v>Dec-2014</v>
      </c>
      <c r="U269" t="str">
        <f>IF(New_Finance_Data[[#This Row],[ Profit ]]&gt;0,"Profit","Loss")</f>
        <v>Profit</v>
      </c>
      <c r="V269" t="str">
        <f>IF(New_Finance_Data[[#This Row],[  Sales ]]&gt;=50000,"High Sales","Low Sales")</f>
        <v>Low Sales</v>
      </c>
      <c r="W269" t="b">
        <f>ISNUMBER(New_Finance_Data[[#This Row],[Date]])</f>
        <v>1</v>
      </c>
    </row>
    <row r="270" spans="1:23" x14ac:dyDescent="0.2">
      <c r="A270" t="s">
        <v>15</v>
      </c>
      <c r="B270" t="s">
        <v>20</v>
      </c>
      <c r="C270" t="s">
        <v>42</v>
      </c>
      <c r="D270" t="s">
        <v>45</v>
      </c>
      <c r="E270" s="27">
        <v>1350</v>
      </c>
      <c r="F270" s="27">
        <v>260</v>
      </c>
      <c r="G270" s="27">
        <v>350</v>
      </c>
      <c r="H270" s="27">
        <v>472500</v>
      </c>
      <c r="I270" s="5">
        <v>23625</v>
      </c>
      <c r="J270" s="27">
        <v>448875</v>
      </c>
      <c r="K270" s="27">
        <v>351000</v>
      </c>
      <c r="L270" s="5">
        <v>97875</v>
      </c>
      <c r="M270" s="28">
        <v>41671</v>
      </c>
      <c r="N270" s="3">
        <v>2</v>
      </c>
      <c r="O270" s="29" t="s">
        <v>37</v>
      </c>
      <c r="P270" s="3">
        <v>2014</v>
      </c>
      <c r="Q270" s="6">
        <f>New_Finance_Data[[#This Row],[ Profit ]]/New_Finance_Data[[#This Row],[  Sales ]]</f>
        <v>0.21804511278195488</v>
      </c>
      <c r="R270" t="str">
        <f>IF(New_Finance_Data[[#This Row],[  Sales ]]&gt;=100000,"High",IF(New_Finance_Data[[#This Row],[  Sales ]]&gt;=50000,"Medium","Low"))</f>
        <v>High</v>
      </c>
      <c r="S270" t="str">
        <f>IF(OR(ISBLANK(New_Finance_Data[[#This Row],[  Sales ]]),ISBLANK(New_Finance_Data[[#This Row],[ Profit ]])),"Missing","OK")</f>
        <v>OK</v>
      </c>
      <c r="T270" t="str">
        <f>TEXT(New_Finance_Data[[#This Row],[Date]],"MMM-YYYY")</f>
        <v>Feb-2014</v>
      </c>
      <c r="U270" t="str">
        <f>IF(New_Finance_Data[[#This Row],[ Profit ]]&gt;0,"Profit","Loss")</f>
        <v>Profit</v>
      </c>
      <c r="V270" t="str">
        <f>IF(New_Finance_Data[[#This Row],[  Sales ]]&gt;=50000,"High Sales","Low Sales")</f>
        <v>High Sales</v>
      </c>
      <c r="W270" t="b">
        <f>ISNUMBER(New_Finance_Data[[#This Row],[Date]])</f>
        <v>1</v>
      </c>
    </row>
    <row r="271" spans="1:23" x14ac:dyDescent="0.2">
      <c r="A271" t="s">
        <v>15</v>
      </c>
      <c r="B271" t="s">
        <v>16</v>
      </c>
      <c r="C271" t="s">
        <v>42</v>
      </c>
      <c r="D271" t="s">
        <v>45</v>
      </c>
      <c r="E271" s="27">
        <v>552</v>
      </c>
      <c r="F271" s="27">
        <v>260</v>
      </c>
      <c r="G271" s="27">
        <v>350</v>
      </c>
      <c r="H271" s="27">
        <v>193200</v>
      </c>
      <c r="I271" s="5">
        <v>9660</v>
      </c>
      <c r="J271" s="27">
        <v>183540</v>
      </c>
      <c r="K271" s="27">
        <v>143520</v>
      </c>
      <c r="L271" s="5">
        <v>40020</v>
      </c>
      <c r="M271" s="28">
        <v>41852</v>
      </c>
      <c r="N271" s="3">
        <v>8</v>
      </c>
      <c r="O271" s="29" t="s">
        <v>32</v>
      </c>
      <c r="P271" s="3">
        <v>2014</v>
      </c>
      <c r="Q271" s="6">
        <f>New_Finance_Data[[#This Row],[ Profit ]]/New_Finance_Data[[#This Row],[  Sales ]]</f>
        <v>0.21804511278195488</v>
      </c>
      <c r="R271" t="str">
        <f>IF(New_Finance_Data[[#This Row],[  Sales ]]&gt;=100000,"High",IF(New_Finance_Data[[#This Row],[  Sales ]]&gt;=50000,"Medium","Low"))</f>
        <v>High</v>
      </c>
      <c r="S271" t="str">
        <f>IF(OR(ISBLANK(New_Finance_Data[[#This Row],[  Sales ]]),ISBLANK(New_Finance_Data[[#This Row],[ Profit ]])),"Missing","OK")</f>
        <v>OK</v>
      </c>
      <c r="T271" t="str">
        <f>TEXT(New_Finance_Data[[#This Row],[Date]],"MMM-YYYY")</f>
        <v>Aug-2014</v>
      </c>
      <c r="U271" t="str">
        <f>IF(New_Finance_Data[[#This Row],[ Profit ]]&gt;0,"Profit","Loss")</f>
        <v>Profit</v>
      </c>
      <c r="V271" t="str">
        <f>IF(New_Finance_Data[[#This Row],[  Sales ]]&gt;=50000,"High Sales","Low Sales")</f>
        <v>High Sales</v>
      </c>
      <c r="W271" t="b">
        <f>ISNUMBER(New_Finance_Data[[#This Row],[Date]])</f>
        <v>1</v>
      </c>
    </row>
    <row r="272" spans="1:23" x14ac:dyDescent="0.2">
      <c r="A272" t="s">
        <v>15</v>
      </c>
      <c r="B272" t="s">
        <v>16</v>
      </c>
      <c r="C272" t="s">
        <v>42</v>
      </c>
      <c r="D272" t="s">
        <v>45</v>
      </c>
      <c r="E272" s="27">
        <v>1228</v>
      </c>
      <c r="F272" s="27">
        <v>260</v>
      </c>
      <c r="G272" s="27">
        <v>350</v>
      </c>
      <c r="H272" s="27">
        <v>429800</v>
      </c>
      <c r="I272" s="5">
        <v>21490</v>
      </c>
      <c r="J272" s="27">
        <v>408310</v>
      </c>
      <c r="K272" s="27">
        <v>319280</v>
      </c>
      <c r="L272" s="5">
        <v>89030</v>
      </c>
      <c r="M272" s="28">
        <v>41548</v>
      </c>
      <c r="N272" s="3">
        <v>10</v>
      </c>
      <c r="O272" s="29" t="s">
        <v>34</v>
      </c>
      <c r="P272" s="3">
        <v>2013</v>
      </c>
      <c r="Q272" s="6">
        <f>New_Finance_Data[[#This Row],[ Profit ]]/New_Finance_Data[[#This Row],[  Sales ]]</f>
        <v>0.21804511278195488</v>
      </c>
      <c r="R272" t="str">
        <f>IF(New_Finance_Data[[#This Row],[  Sales ]]&gt;=100000,"High",IF(New_Finance_Data[[#This Row],[  Sales ]]&gt;=50000,"Medium","Low"))</f>
        <v>High</v>
      </c>
      <c r="S272" t="str">
        <f>IF(OR(ISBLANK(New_Finance_Data[[#This Row],[  Sales ]]),ISBLANK(New_Finance_Data[[#This Row],[ Profit ]])),"Missing","OK")</f>
        <v>OK</v>
      </c>
      <c r="T272" t="str">
        <f>TEXT(New_Finance_Data[[#This Row],[Date]],"MMM-YYYY")</f>
        <v>Oct-2013</v>
      </c>
      <c r="U272" t="str">
        <f>IF(New_Finance_Data[[#This Row],[ Profit ]]&gt;0,"Profit","Loss")</f>
        <v>Profit</v>
      </c>
      <c r="V272" t="str">
        <f>IF(New_Finance_Data[[#This Row],[  Sales ]]&gt;=50000,"High Sales","Low Sales")</f>
        <v>High Sales</v>
      </c>
      <c r="W272" t="b">
        <f>ISNUMBER(New_Finance_Data[[#This Row],[Date]])</f>
        <v>1</v>
      </c>
    </row>
    <row r="273" spans="1:23" x14ac:dyDescent="0.2">
      <c r="A273" t="s">
        <v>31</v>
      </c>
      <c r="B273" t="s">
        <v>20</v>
      </c>
      <c r="C273" t="s">
        <v>42</v>
      </c>
      <c r="D273" t="s">
        <v>45</v>
      </c>
      <c r="E273" s="27">
        <v>1250</v>
      </c>
      <c r="F273" s="27">
        <v>260</v>
      </c>
      <c r="G273" s="27">
        <v>300</v>
      </c>
      <c r="H273" s="27">
        <v>375000</v>
      </c>
      <c r="I273" s="5">
        <v>18750</v>
      </c>
      <c r="J273" s="27">
        <v>356250</v>
      </c>
      <c r="K273" s="27">
        <v>312500</v>
      </c>
      <c r="L273" s="5">
        <v>43750</v>
      </c>
      <c r="M273" s="28">
        <v>41974</v>
      </c>
      <c r="N273" s="3">
        <v>12</v>
      </c>
      <c r="O273" s="29" t="s">
        <v>25</v>
      </c>
      <c r="P273" s="3">
        <v>2014</v>
      </c>
      <c r="Q273" s="6">
        <f>New_Finance_Data[[#This Row],[ Profit ]]/New_Finance_Data[[#This Row],[  Sales ]]</f>
        <v>0.12280701754385964</v>
      </c>
      <c r="R273" t="str">
        <f>IF(New_Finance_Data[[#This Row],[  Sales ]]&gt;=100000,"High",IF(New_Finance_Data[[#This Row],[  Sales ]]&gt;=50000,"Medium","Low"))</f>
        <v>High</v>
      </c>
      <c r="S273" t="str">
        <f>IF(OR(ISBLANK(New_Finance_Data[[#This Row],[  Sales ]]),ISBLANK(New_Finance_Data[[#This Row],[ Profit ]])),"Missing","OK")</f>
        <v>OK</v>
      </c>
      <c r="T273" t="str">
        <f>TEXT(New_Finance_Data[[#This Row],[Date]],"MMM-YYYY")</f>
        <v>Dec-2014</v>
      </c>
      <c r="U273" t="str">
        <f>IF(New_Finance_Data[[#This Row],[ Profit ]]&gt;0,"Profit","Loss")</f>
        <v>Profit</v>
      </c>
      <c r="V273" t="str">
        <f>IF(New_Finance_Data[[#This Row],[  Sales ]]&gt;=50000,"High Sales","Low Sales")</f>
        <v>High Sales</v>
      </c>
      <c r="W273" t="b">
        <f>ISNUMBER(New_Finance_Data[[#This Row],[Date]])</f>
        <v>1</v>
      </c>
    </row>
    <row r="274" spans="1:23" x14ac:dyDescent="0.2">
      <c r="A274" t="s">
        <v>21</v>
      </c>
      <c r="B274" t="s">
        <v>22</v>
      </c>
      <c r="C274" t="s">
        <v>36</v>
      </c>
      <c r="D274" t="s">
        <v>45</v>
      </c>
      <c r="E274" s="27">
        <v>3801</v>
      </c>
      <c r="F274" s="27">
        <v>10</v>
      </c>
      <c r="G274" s="27">
        <v>15</v>
      </c>
      <c r="H274" s="27">
        <v>57015</v>
      </c>
      <c r="I274" s="5">
        <v>3420.9</v>
      </c>
      <c r="J274" s="27">
        <v>53594.1</v>
      </c>
      <c r="K274" s="27">
        <v>38010</v>
      </c>
      <c r="L274" s="5">
        <v>15584.1</v>
      </c>
      <c r="M274" s="28">
        <v>41730</v>
      </c>
      <c r="N274" s="3">
        <v>4</v>
      </c>
      <c r="O274" s="29" t="s">
        <v>41</v>
      </c>
      <c r="P274" s="3">
        <v>2014</v>
      </c>
      <c r="Q274" s="6">
        <f>New_Finance_Data[[#This Row],[ Profit ]]/New_Finance_Data[[#This Row],[  Sales ]]</f>
        <v>0.29078014184397166</v>
      </c>
      <c r="R274" t="str">
        <f>IF(New_Finance_Data[[#This Row],[  Sales ]]&gt;=100000,"High",IF(New_Finance_Data[[#This Row],[  Sales ]]&gt;=50000,"Medium","Low"))</f>
        <v>Medium</v>
      </c>
      <c r="S274" t="str">
        <f>IF(OR(ISBLANK(New_Finance_Data[[#This Row],[  Sales ]]),ISBLANK(New_Finance_Data[[#This Row],[ Profit ]])),"Missing","OK")</f>
        <v>OK</v>
      </c>
      <c r="T274" t="str">
        <f>TEXT(New_Finance_Data[[#This Row],[Date]],"MMM-YYYY")</f>
        <v>Apr-2014</v>
      </c>
      <c r="U274" t="str">
        <f>IF(New_Finance_Data[[#This Row],[ Profit ]]&gt;0,"Profit","Loss")</f>
        <v>Profit</v>
      </c>
      <c r="V274" t="str">
        <f>IF(New_Finance_Data[[#This Row],[  Sales ]]&gt;=50000,"High Sales","Low Sales")</f>
        <v>High Sales</v>
      </c>
      <c r="W274" t="b">
        <f>ISNUMBER(New_Finance_Data[[#This Row],[Date]])</f>
        <v>1</v>
      </c>
    </row>
    <row r="275" spans="1:23" x14ac:dyDescent="0.2">
      <c r="A275" t="s">
        <v>15</v>
      </c>
      <c r="B275" t="s">
        <v>35</v>
      </c>
      <c r="C275" t="s">
        <v>17</v>
      </c>
      <c r="D275" t="s">
        <v>45</v>
      </c>
      <c r="E275" s="27">
        <v>1117.5</v>
      </c>
      <c r="F275" s="27">
        <v>3</v>
      </c>
      <c r="G275" s="27">
        <v>20</v>
      </c>
      <c r="H275" s="27">
        <v>22350</v>
      </c>
      <c r="I275" s="5">
        <v>1341</v>
      </c>
      <c r="J275" s="27">
        <v>21009</v>
      </c>
      <c r="K275" s="27">
        <v>11175</v>
      </c>
      <c r="L275" s="5">
        <v>9834</v>
      </c>
      <c r="M275" s="28">
        <v>41640</v>
      </c>
      <c r="N275" s="3">
        <v>1</v>
      </c>
      <c r="O275" s="29" t="s">
        <v>19</v>
      </c>
      <c r="P275" s="3">
        <v>2014</v>
      </c>
      <c r="Q275" s="6">
        <f>New_Finance_Data[[#This Row],[ Profit ]]/New_Finance_Data[[#This Row],[  Sales ]]</f>
        <v>0.46808510638297873</v>
      </c>
      <c r="R275" t="str">
        <f>IF(New_Finance_Data[[#This Row],[  Sales ]]&gt;=100000,"High",IF(New_Finance_Data[[#This Row],[  Sales ]]&gt;=50000,"Medium","Low"))</f>
        <v>Low</v>
      </c>
      <c r="S275" t="str">
        <f>IF(OR(ISBLANK(New_Finance_Data[[#This Row],[  Sales ]]),ISBLANK(New_Finance_Data[[#This Row],[ Profit ]])),"Missing","OK")</f>
        <v>OK</v>
      </c>
      <c r="T275" t="str">
        <f>TEXT(New_Finance_Data[[#This Row],[Date]],"MMM-YYYY")</f>
        <v>Jan-2014</v>
      </c>
      <c r="U275" t="str">
        <f>IF(New_Finance_Data[[#This Row],[ Profit ]]&gt;0,"Profit","Loss")</f>
        <v>Profit</v>
      </c>
      <c r="V275" t="str">
        <f>IF(New_Finance_Data[[#This Row],[  Sales ]]&gt;=50000,"High Sales","Low Sales")</f>
        <v>Low Sales</v>
      </c>
      <c r="W275" t="b">
        <f>ISNUMBER(New_Finance_Data[[#This Row],[Date]])</f>
        <v>1</v>
      </c>
    </row>
    <row r="276" spans="1:23" x14ac:dyDescent="0.2">
      <c r="A276" t="s">
        <v>21</v>
      </c>
      <c r="B276" t="s">
        <v>16</v>
      </c>
      <c r="C276" t="s">
        <v>17</v>
      </c>
      <c r="D276" t="s">
        <v>45</v>
      </c>
      <c r="E276" s="27">
        <v>2844</v>
      </c>
      <c r="F276" s="27">
        <v>3</v>
      </c>
      <c r="G276" s="27">
        <v>15</v>
      </c>
      <c r="H276" s="27">
        <v>42660</v>
      </c>
      <c r="I276" s="5">
        <v>2559.6</v>
      </c>
      <c r="J276" s="27">
        <v>40100.400000000001</v>
      </c>
      <c r="K276" s="27">
        <v>28440</v>
      </c>
      <c r="L276" s="5">
        <v>11660.4</v>
      </c>
      <c r="M276" s="28">
        <v>41791</v>
      </c>
      <c r="N276" s="3">
        <v>6</v>
      </c>
      <c r="O276" s="29" t="s">
        <v>23</v>
      </c>
      <c r="P276" s="3">
        <v>2014</v>
      </c>
      <c r="Q276" s="6">
        <f>New_Finance_Data[[#This Row],[ Profit ]]/New_Finance_Data[[#This Row],[  Sales ]]</f>
        <v>0.29078014184397161</v>
      </c>
      <c r="R276" t="str">
        <f>IF(New_Finance_Data[[#This Row],[  Sales ]]&gt;=100000,"High",IF(New_Finance_Data[[#This Row],[  Sales ]]&gt;=50000,"Medium","Low"))</f>
        <v>Low</v>
      </c>
      <c r="S276" t="str">
        <f>IF(OR(ISBLANK(New_Finance_Data[[#This Row],[  Sales ]]),ISBLANK(New_Finance_Data[[#This Row],[ Profit ]])),"Missing","OK")</f>
        <v>OK</v>
      </c>
      <c r="T276" t="str">
        <f>TEXT(New_Finance_Data[[#This Row],[Date]],"MMM-YYYY")</f>
        <v>Jun-2014</v>
      </c>
      <c r="U276" t="str">
        <f>IF(New_Finance_Data[[#This Row],[ Profit ]]&gt;0,"Profit","Loss")</f>
        <v>Profit</v>
      </c>
      <c r="V276" t="str">
        <f>IF(New_Finance_Data[[#This Row],[  Sales ]]&gt;=50000,"High Sales","Low Sales")</f>
        <v>Low Sales</v>
      </c>
      <c r="W276" t="b">
        <f>ISNUMBER(New_Finance_Data[[#This Row],[Date]])</f>
        <v>1</v>
      </c>
    </row>
    <row r="277" spans="1:23" x14ac:dyDescent="0.2">
      <c r="A277" t="s">
        <v>28</v>
      </c>
      <c r="B277" t="s">
        <v>24</v>
      </c>
      <c r="C277" t="s">
        <v>17</v>
      </c>
      <c r="D277" t="s">
        <v>45</v>
      </c>
      <c r="E277" s="27">
        <v>562</v>
      </c>
      <c r="F277" s="27">
        <v>3</v>
      </c>
      <c r="G277" s="27">
        <v>12</v>
      </c>
      <c r="H277" s="27">
        <v>6744</v>
      </c>
      <c r="I277" s="5">
        <v>404.64</v>
      </c>
      <c r="J277" s="27">
        <v>6339.36</v>
      </c>
      <c r="K277" s="27">
        <v>1686</v>
      </c>
      <c r="L277" s="5">
        <v>4653.3599999999997</v>
      </c>
      <c r="M277" s="28">
        <v>41883</v>
      </c>
      <c r="N277" s="3">
        <v>9</v>
      </c>
      <c r="O277" s="29" t="s">
        <v>33</v>
      </c>
      <c r="P277" s="3">
        <v>2014</v>
      </c>
      <c r="Q277" s="6">
        <f>New_Finance_Data[[#This Row],[ Profit ]]/New_Finance_Data[[#This Row],[  Sales ]]</f>
        <v>0.73404255319148937</v>
      </c>
      <c r="R277" t="str">
        <f>IF(New_Finance_Data[[#This Row],[  Sales ]]&gt;=100000,"High",IF(New_Finance_Data[[#This Row],[  Sales ]]&gt;=50000,"Medium","Low"))</f>
        <v>Low</v>
      </c>
      <c r="S277" t="str">
        <f>IF(OR(ISBLANK(New_Finance_Data[[#This Row],[  Sales ]]),ISBLANK(New_Finance_Data[[#This Row],[ Profit ]])),"Missing","OK")</f>
        <v>OK</v>
      </c>
      <c r="T277" t="str">
        <f>TEXT(New_Finance_Data[[#This Row],[Date]],"MMM-YYYY")</f>
        <v>Sep-2014</v>
      </c>
      <c r="U277" t="str">
        <f>IF(New_Finance_Data[[#This Row],[ Profit ]]&gt;0,"Profit","Loss")</f>
        <v>Profit</v>
      </c>
      <c r="V277" t="str">
        <f>IF(New_Finance_Data[[#This Row],[  Sales ]]&gt;=50000,"High Sales","Low Sales")</f>
        <v>Low Sales</v>
      </c>
      <c r="W277" t="b">
        <f>ISNUMBER(New_Finance_Data[[#This Row],[Date]])</f>
        <v>1</v>
      </c>
    </row>
    <row r="278" spans="1:23" x14ac:dyDescent="0.2">
      <c r="A278" t="s">
        <v>28</v>
      </c>
      <c r="B278" t="s">
        <v>16</v>
      </c>
      <c r="C278" t="s">
        <v>17</v>
      </c>
      <c r="D278" t="s">
        <v>45</v>
      </c>
      <c r="E278" s="27">
        <v>2299</v>
      </c>
      <c r="F278" s="27">
        <v>3</v>
      </c>
      <c r="G278" s="27">
        <v>12</v>
      </c>
      <c r="H278" s="27">
        <v>27588</v>
      </c>
      <c r="I278" s="5">
        <v>1655.28</v>
      </c>
      <c r="J278" s="27">
        <v>25932.720000000001</v>
      </c>
      <c r="K278" s="27">
        <v>6897</v>
      </c>
      <c r="L278" s="5">
        <v>19035.72</v>
      </c>
      <c r="M278" s="28">
        <v>41548</v>
      </c>
      <c r="N278" s="3">
        <v>10</v>
      </c>
      <c r="O278" s="29" t="s">
        <v>34</v>
      </c>
      <c r="P278" s="3">
        <v>2013</v>
      </c>
      <c r="Q278" s="6">
        <f>New_Finance_Data[[#This Row],[ Profit ]]/New_Finance_Data[[#This Row],[  Sales ]]</f>
        <v>0.73404255319148937</v>
      </c>
      <c r="R278" t="str">
        <f>IF(New_Finance_Data[[#This Row],[  Sales ]]&gt;=100000,"High",IF(New_Finance_Data[[#This Row],[  Sales ]]&gt;=50000,"Medium","Low"))</f>
        <v>Low</v>
      </c>
      <c r="S278" t="str">
        <f>IF(OR(ISBLANK(New_Finance_Data[[#This Row],[  Sales ]]),ISBLANK(New_Finance_Data[[#This Row],[ Profit ]])),"Missing","OK")</f>
        <v>OK</v>
      </c>
      <c r="T278" t="str">
        <f>TEXT(New_Finance_Data[[#This Row],[Date]],"MMM-YYYY")</f>
        <v>Oct-2013</v>
      </c>
      <c r="U278" t="str">
        <f>IF(New_Finance_Data[[#This Row],[ Profit ]]&gt;0,"Profit","Loss")</f>
        <v>Profit</v>
      </c>
      <c r="V278" t="str">
        <f>IF(New_Finance_Data[[#This Row],[  Sales ]]&gt;=50000,"High Sales","Low Sales")</f>
        <v>Low Sales</v>
      </c>
      <c r="W278" t="b">
        <f>ISNUMBER(New_Finance_Data[[#This Row],[Date]])</f>
        <v>1</v>
      </c>
    </row>
    <row r="279" spans="1:23" x14ac:dyDescent="0.2">
      <c r="A279" t="s">
        <v>21</v>
      </c>
      <c r="B279" t="s">
        <v>35</v>
      </c>
      <c r="C279" t="s">
        <v>17</v>
      </c>
      <c r="D279" t="s">
        <v>45</v>
      </c>
      <c r="E279" s="27">
        <v>2030</v>
      </c>
      <c r="F279" s="27">
        <v>3</v>
      </c>
      <c r="G279" s="27">
        <v>15</v>
      </c>
      <c r="H279" s="27">
        <v>30450</v>
      </c>
      <c r="I279" s="5">
        <v>1827</v>
      </c>
      <c r="J279" s="27">
        <v>28623</v>
      </c>
      <c r="K279" s="27">
        <v>20300</v>
      </c>
      <c r="L279" s="5">
        <v>8323</v>
      </c>
      <c r="M279" s="28">
        <v>41944</v>
      </c>
      <c r="N279" s="3">
        <v>11</v>
      </c>
      <c r="O279" s="29" t="s">
        <v>38</v>
      </c>
      <c r="P279" s="3">
        <v>2014</v>
      </c>
      <c r="Q279" s="6">
        <f>New_Finance_Data[[#This Row],[ Profit ]]/New_Finance_Data[[#This Row],[  Sales ]]</f>
        <v>0.29078014184397161</v>
      </c>
      <c r="R279" t="str">
        <f>IF(New_Finance_Data[[#This Row],[  Sales ]]&gt;=100000,"High",IF(New_Finance_Data[[#This Row],[  Sales ]]&gt;=50000,"Medium","Low"))</f>
        <v>Low</v>
      </c>
      <c r="S279" t="str">
        <f>IF(OR(ISBLANK(New_Finance_Data[[#This Row],[  Sales ]]),ISBLANK(New_Finance_Data[[#This Row],[ Profit ]])),"Missing","OK")</f>
        <v>OK</v>
      </c>
      <c r="T279" t="str">
        <f>TEXT(New_Finance_Data[[#This Row],[Date]],"MMM-YYYY")</f>
        <v>Nov-2014</v>
      </c>
      <c r="U279" t="str">
        <f>IF(New_Finance_Data[[#This Row],[ Profit ]]&gt;0,"Profit","Loss")</f>
        <v>Profit</v>
      </c>
      <c r="V279" t="str">
        <f>IF(New_Finance_Data[[#This Row],[  Sales ]]&gt;=50000,"High Sales","Low Sales")</f>
        <v>Low Sales</v>
      </c>
      <c r="W279" t="b">
        <f>ISNUMBER(New_Finance_Data[[#This Row],[Date]])</f>
        <v>1</v>
      </c>
    </row>
    <row r="280" spans="1:23" x14ac:dyDescent="0.2">
      <c r="A280" t="s">
        <v>15</v>
      </c>
      <c r="B280" t="s">
        <v>35</v>
      </c>
      <c r="C280" t="s">
        <v>17</v>
      </c>
      <c r="D280" t="s">
        <v>45</v>
      </c>
      <c r="E280" s="27">
        <v>263</v>
      </c>
      <c r="F280" s="27">
        <v>3</v>
      </c>
      <c r="G280" s="27">
        <v>7</v>
      </c>
      <c r="H280" s="27">
        <v>1841</v>
      </c>
      <c r="I280" s="5">
        <v>110.46</v>
      </c>
      <c r="J280" s="27">
        <v>1730.54</v>
      </c>
      <c r="K280" s="27">
        <v>1315</v>
      </c>
      <c r="L280" s="5">
        <v>415.54</v>
      </c>
      <c r="M280" s="28">
        <v>41579</v>
      </c>
      <c r="N280" s="3">
        <v>11</v>
      </c>
      <c r="O280" s="29" t="s">
        <v>38</v>
      </c>
      <c r="P280" s="3">
        <v>2013</v>
      </c>
      <c r="Q280" s="6">
        <f>New_Finance_Data[[#This Row],[ Profit ]]/New_Finance_Data[[#This Row],[  Sales ]]</f>
        <v>0.24012158054711247</v>
      </c>
      <c r="R280" t="str">
        <f>IF(New_Finance_Data[[#This Row],[  Sales ]]&gt;=100000,"High",IF(New_Finance_Data[[#This Row],[  Sales ]]&gt;=50000,"Medium","Low"))</f>
        <v>Low</v>
      </c>
      <c r="S280" t="str">
        <f>IF(OR(ISBLANK(New_Finance_Data[[#This Row],[  Sales ]]),ISBLANK(New_Finance_Data[[#This Row],[ Profit ]])),"Missing","OK")</f>
        <v>OK</v>
      </c>
      <c r="T280" t="str">
        <f>TEXT(New_Finance_Data[[#This Row],[Date]],"MMM-YYYY")</f>
        <v>Nov-2013</v>
      </c>
      <c r="U280" t="str">
        <f>IF(New_Finance_Data[[#This Row],[ Profit ]]&gt;0,"Profit","Loss")</f>
        <v>Profit</v>
      </c>
      <c r="V280" t="str">
        <f>IF(New_Finance_Data[[#This Row],[  Sales ]]&gt;=50000,"High Sales","Low Sales")</f>
        <v>Low Sales</v>
      </c>
      <c r="W280" t="b">
        <f>ISNUMBER(New_Finance_Data[[#This Row],[Date]])</f>
        <v>1</v>
      </c>
    </row>
    <row r="281" spans="1:23" x14ac:dyDescent="0.2">
      <c r="A281" t="s">
        <v>29</v>
      </c>
      <c r="B281" t="s">
        <v>20</v>
      </c>
      <c r="C281" t="s">
        <v>17</v>
      </c>
      <c r="D281" t="s">
        <v>45</v>
      </c>
      <c r="E281" s="27">
        <v>887</v>
      </c>
      <c r="F281" s="27">
        <v>3</v>
      </c>
      <c r="G281" s="27">
        <v>125</v>
      </c>
      <c r="H281" s="27">
        <v>110875</v>
      </c>
      <c r="I281" s="5">
        <v>6652.5</v>
      </c>
      <c r="J281" s="27">
        <v>104222.5</v>
      </c>
      <c r="K281" s="27">
        <v>106440</v>
      </c>
      <c r="L281" s="5">
        <v>-2217.5</v>
      </c>
      <c r="M281" s="28">
        <v>41609</v>
      </c>
      <c r="N281" s="3">
        <v>12</v>
      </c>
      <c r="O281" s="29" t="s">
        <v>25</v>
      </c>
      <c r="P281" s="3">
        <v>2013</v>
      </c>
      <c r="Q281" s="6">
        <f>New_Finance_Data[[#This Row],[ Profit ]]/New_Finance_Data[[#This Row],[  Sales ]]</f>
        <v>-2.1276595744680851E-2</v>
      </c>
      <c r="R281" t="str">
        <f>IF(New_Finance_Data[[#This Row],[  Sales ]]&gt;=100000,"High",IF(New_Finance_Data[[#This Row],[  Sales ]]&gt;=50000,"Medium","Low"))</f>
        <v>High</v>
      </c>
      <c r="S281" t="str">
        <f>IF(OR(ISBLANK(New_Finance_Data[[#This Row],[  Sales ]]),ISBLANK(New_Finance_Data[[#This Row],[ Profit ]])),"Missing","OK")</f>
        <v>OK</v>
      </c>
      <c r="T281" t="str">
        <f>TEXT(New_Finance_Data[[#This Row],[Date]],"MMM-YYYY")</f>
        <v>Dec-2013</v>
      </c>
      <c r="U281" t="str">
        <f>IF(New_Finance_Data[[#This Row],[ Profit ]]&gt;0,"Profit","Loss")</f>
        <v>Loss</v>
      </c>
      <c r="V281" t="str">
        <f>IF(New_Finance_Data[[#This Row],[  Sales ]]&gt;=50000,"High Sales","Low Sales")</f>
        <v>High Sales</v>
      </c>
      <c r="W281" t="b">
        <f>ISNUMBER(New_Finance_Data[[#This Row],[Date]])</f>
        <v>1</v>
      </c>
    </row>
    <row r="282" spans="1:23" x14ac:dyDescent="0.2">
      <c r="A282" t="s">
        <v>15</v>
      </c>
      <c r="B282" t="s">
        <v>24</v>
      </c>
      <c r="C282" t="s">
        <v>26</v>
      </c>
      <c r="D282" t="s">
        <v>45</v>
      </c>
      <c r="E282" s="27">
        <v>980</v>
      </c>
      <c r="F282" s="27">
        <v>5</v>
      </c>
      <c r="G282" s="27">
        <v>350</v>
      </c>
      <c r="H282" s="27">
        <v>343000</v>
      </c>
      <c r="I282" s="5">
        <v>20580</v>
      </c>
      <c r="J282" s="27">
        <v>322420</v>
      </c>
      <c r="K282" s="27">
        <v>254800</v>
      </c>
      <c r="L282" s="5">
        <v>67620</v>
      </c>
      <c r="M282" s="28">
        <v>41730</v>
      </c>
      <c r="N282" s="3">
        <v>4</v>
      </c>
      <c r="O282" s="29" t="s">
        <v>41</v>
      </c>
      <c r="P282" s="3">
        <v>2014</v>
      </c>
      <c r="Q282" s="6">
        <f>New_Finance_Data[[#This Row],[ Profit ]]/New_Finance_Data[[#This Row],[  Sales ]]</f>
        <v>0.20972644376899696</v>
      </c>
      <c r="R282" t="str">
        <f>IF(New_Finance_Data[[#This Row],[  Sales ]]&gt;=100000,"High",IF(New_Finance_Data[[#This Row],[  Sales ]]&gt;=50000,"Medium","Low"))</f>
        <v>High</v>
      </c>
      <c r="S282" t="str">
        <f>IF(OR(ISBLANK(New_Finance_Data[[#This Row],[  Sales ]]),ISBLANK(New_Finance_Data[[#This Row],[ Profit ]])),"Missing","OK")</f>
        <v>OK</v>
      </c>
      <c r="T282" t="str">
        <f>TEXT(New_Finance_Data[[#This Row],[Date]],"MMM-YYYY")</f>
        <v>Apr-2014</v>
      </c>
      <c r="U282" t="str">
        <f>IF(New_Finance_Data[[#This Row],[ Profit ]]&gt;0,"Profit","Loss")</f>
        <v>Profit</v>
      </c>
      <c r="V282" t="str">
        <f>IF(New_Finance_Data[[#This Row],[  Sales ]]&gt;=50000,"High Sales","Low Sales")</f>
        <v>High Sales</v>
      </c>
      <c r="W282" t="b">
        <f>ISNUMBER(New_Finance_Data[[#This Row],[Date]])</f>
        <v>1</v>
      </c>
    </row>
    <row r="283" spans="1:23" x14ac:dyDescent="0.2">
      <c r="A283" t="s">
        <v>15</v>
      </c>
      <c r="B283" t="s">
        <v>20</v>
      </c>
      <c r="C283" t="s">
        <v>26</v>
      </c>
      <c r="D283" t="s">
        <v>45</v>
      </c>
      <c r="E283" s="27">
        <v>1460</v>
      </c>
      <c r="F283" s="27">
        <v>5</v>
      </c>
      <c r="G283" s="27">
        <v>350</v>
      </c>
      <c r="H283" s="27">
        <v>511000</v>
      </c>
      <c r="I283" s="5">
        <v>30660</v>
      </c>
      <c r="J283" s="27">
        <v>480340</v>
      </c>
      <c r="K283" s="27">
        <v>379600</v>
      </c>
      <c r="L283" s="5">
        <v>100740</v>
      </c>
      <c r="M283" s="28">
        <v>41760</v>
      </c>
      <c r="N283" s="3">
        <v>5</v>
      </c>
      <c r="O283" s="29" t="s">
        <v>44</v>
      </c>
      <c r="P283" s="3">
        <v>2014</v>
      </c>
      <c r="Q283" s="6">
        <f>New_Finance_Data[[#This Row],[ Profit ]]/New_Finance_Data[[#This Row],[  Sales ]]</f>
        <v>0.20972644376899696</v>
      </c>
      <c r="R283" t="str">
        <f>IF(New_Finance_Data[[#This Row],[  Sales ]]&gt;=100000,"High",IF(New_Finance_Data[[#This Row],[  Sales ]]&gt;=50000,"Medium","Low"))</f>
        <v>High</v>
      </c>
      <c r="S283" t="str">
        <f>IF(OR(ISBLANK(New_Finance_Data[[#This Row],[  Sales ]]),ISBLANK(New_Finance_Data[[#This Row],[ Profit ]])),"Missing","OK")</f>
        <v>OK</v>
      </c>
      <c r="T283" t="str">
        <f>TEXT(New_Finance_Data[[#This Row],[Date]],"MMM-YYYY")</f>
        <v>May-2014</v>
      </c>
      <c r="U283" t="str">
        <f>IF(New_Finance_Data[[#This Row],[ Profit ]]&gt;0,"Profit","Loss")</f>
        <v>Profit</v>
      </c>
      <c r="V283" t="str">
        <f>IF(New_Finance_Data[[#This Row],[  Sales ]]&gt;=50000,"High Sales","Low Sales")</f>
        <v>High Sales</v>
      </c>
      <c r="W283" t="b">
        <f>ISNUMBER(New_Finance_Data[[#This Row],[Date]])</f>
        <v>1</v>
      </c>
    </row>
    <row r="284" spans="1:23" x14ac:dyDescent="0.2">
      <c r="A284" t="s">
        <v>15</v>
      </c>
      <c r="B284" t="s">
        <v>22</v>
      </c>
      <c r="C284" t="s">
        <v>26</v>
      </c>
      <c r="D284" t="s">
        <v>45</v>
      </c>
      <c r="E284" s="27">
        <v>1403</v>
      </c>
      <c r="F284" s="27">
        <v>5</v>
      </c>
      <c r="G284" s="27">
        <v>7</v>
      </c>
      <c r="H284" s="27">
        <v>9821</v>
      </c>
      <c r="I284" s="5">
        <v>589.26</v>
      </c>
      <c r="J284" s="27">
        <v>9231.74</v>
      </c>
      <c r="K284" s="27">
        <v>7015</v>
      </c>
      <c r="L284" s="5">
        <v>2216.7399999999998</v>
      </c>
      <c r="M284" s="28">
        <v>41548</v>
      </c>
      <c r="N284" s="3">
        <v>10</v>
      </c>
      <c r="O284" s="29" t="s">
        <v>34</v>
      </c>
      <c r="P284" s="3">
        <v>2013</v>
      </c>
      <c r="Q284" s="6">
        <f>New_Finance_Data[[#This Row],[ Profit ]]/New_Finance_Data[[#This Row],[  Sales ]]</f>
        <v>0.24012158054711244</v>
      </c>
      <c r="R284" t="str">
        <f>IF(New_Finance_Data[[#This Row],[  Sales ]]&gt;=100000,"High",IF(New_Finance_Data[[#This Row],[  Sales ]]&gt;=50000,"Medium","Low"))</f>
        <v>Low</v>
      </c>
      <c r="S284" t="str">
        <f>IF(OR(ISBLANK(New_Finance_Data[[#This Row],[  Sales ]]),ISBLANK(New_Finance_Data[[#This Row],[ Profit ]])),"Missing","OK")</f>
        <v>OK</v>
      </c>
      <c r="T284" t="str">
        <f>TEXT(New_Finance_Data[[#This Row],[Date]],"MMM-YYYY")</f>
        <v>Oct-2013</v>
      </c>
      <c r="U284" t="str">
        <f>IF(New_Finance_Data[[#This Row],[ Profit ]]&gt;0,"Profit","Loss")</f>
        <v>Profit</v>
      </c>
      <c r="V284" t="str">
        <f>IF(New_Finance_Data[[#This Row],[  Sales ]]&gt;=50000,"High Sales","Low Sales")</f>
        <v>Low Sales</v>
      </c>
      <c r="W284" t="b">
        <f>ISNUMBER(New_Finance_Data[[#This Row],[Date]])</f>
        <v>1</v>
      </c>
    </row>
    <row r="285" spans="1:23" x14ac:dyDescent="0.2">
      <c r="A285" t="s">
        <v>28</v>
      </c>
      <c r="B285" t="s">
        <v>35</v>
      </c>
      <c r="C285" t="s">
        <v>26</v>
      </c>
      <c r="D285" t="s">
        <v>45</v>
      </c>
      <c r="E285" s="27">
        <v>2723</v>
      </c>
      <c r="F285" s="27">
        <v>5</v>
      </c>
      <c r="G285" s="27">
        <v>12</v>
      </c>
      <c r="H285" s="27">
        <v>32676</v>
      </c>
      <c r="I285" s="5">
        <v>1960.56</v>
      </c>
      <c r="J285" s="27">
        <v>30715.439999999999</v>
      </c>
      <c r="K285" s="27">
        <v>8169</v>
      </c>
      <c r="L285" s="5">
        <v>22546.44</v>
      </c>
      <c r="M285" s="28">
        <v>41944</v>
      </c>
      <c r="N285" s="3">
        <v>11</v>
      </c>
      <c r="O285" s="29" t="s">
        <v>38</v>
      </c>
      <c r="P285" s="3">
        <v>2014</v>
      </c>
      <c r="Q285" s="6">
        <f>New_Finance_Data[[#This Row],[ Profit ]]/New_Finance_Data[[#This Row],[  Sales ]]</f>
        <v>0.73404255319148937</v>
      </c>
      <c r="R285" t="str">
        <f>IF(New_Finance_Data[[#This Row],[  Sales ]]&gt;=100000,"High",IF(New_Finance_Data[[#This Row],[  Sales ]]&gt;=50000,"Medium","Low"))</f>
        <v>Low</v>
      </c>
      <c r="S285" t="str">
        <f>IF(OR(ISBLANK(New_Finance_Data[[#This Row],[  Sales ]]),ISBLANK(New_Finance_Data[[#This Row],[ Profit ]])),"Missing","OK")</f>
        <v>OK</v>
      </c>
      <c r="T285" t="str">
        <f>TEXT(New_Finance_Data[[#This Row],[Date]],"MMM-YYYY")</f>
        <v>Nov-2014</v>
      </c>
      <c r="U285" t="str">
        <f>IF(New_Finance_Data[[#This Row],[ Profit ]]&gt;0,"Profit","Loss")</f>
        <v>Profit</v>
      </c>
      <c r="V285" t="str">
        <f>IF(New_Finance_Data[[#This Row],[  Sales ]]&gt;=50000,"High Sales","Low Sales")</f>
        <v>Low Sales</v>
      </c>
      <c r="W285" t="b">
        <f>ISNUMBER(New_Finance_Data[[#This Row],[Date]])</f>
        <v>1</v>
      </c>
    </row>
    <row r="286" spans="1:23" x14ac:dyDescent="0.2">
      <c r="A286" t="s">
        <v>15</v>
      </c>
      <c r="B286" t="s">
        <v>22</v>
      </c>
      <c r="C286" t="s">
        <v>36</v>
      </c>
      <c r="D286" t="s">
        <v>45</v>
      </c>
      <c r="E286" s="27">
        <v>1496</v>
      </c>
      <c r="F286" s="27">
        <v>10</v>
      </c>
      <c r="G286" s="27">
        <v>350</v>
      </c>
      <c r="H286" s="27">
        <v>523600</v>
      </c>
      <c r="I286" s="5">
        <v>31416</v>
      </c>
      <c r="J286" s="27">
        <v>492184</v>
      </c>
      <c r="K286" s="27">
        <v>388960</v>
      </c>
      <c r="L286" s="5">
        <v>103224</v>
      </c>
      <c r="M286" s="28">
        <v>41791</v>
      </c>
      <c r="N286" s="3">
        <v>6</v>
      </c>
      <c r="O286" s="29" t="s">
        <v>23</v>
      </c>
      <c r="P286" s="3">
        <v>2014</v>
      </c>
      <c r="Q286" s="6">
        <f>New_Finance_Data[[#This Row],[ Profit ]]/New_Finance_Data[[#This Row],[  Sales ]]</f>
        <v>0.20972644376899696</v>
      </c>
      <c r="R286" t="str">
        <f>IF(New_Finance_Data[[#This Row],[  Sales ]]&gt;=100000,"High",IF(New_Finance_Data[[#This Row],[  Sales ]]&gt;=50000,"Medium","Low"))</f>
        <v>High</v>
      </c>
      <c r="S286" t="str">
        <f>IF(OR(ISBLANK(New_Finance_Data[[#This Row],[  Sales ]]),ISBLANK(New_Finance_Data[[#This Row],[ Profit ]])),"Missing","OK")</f>
        <v>OK</v>
      </c>
      <c r="T286" t="str">
        <f>TEXT(New_Finance_Data[[#This Row],[Date]],"MMM-YYYY")</f>
        <v>Jun-2014</v>
      </c>
      <c r="U286" t="str">
        <f>IF(New_Finance_Data[[#This Row],[ Profit ]]&gt;0,"Profit","Loss")</f>
        <v>Profit</v>
      </c>
      <c r="V286" t="str">
        <f>IF(New_Finance_Data[[#This Row],[  Sales ]]&gt;=50000,"High Sales","Low Sales")</f>
        <v>High Sales</v>
      </c>
      <c r="W286" t="b">
        <f>ISNUMBER(New_Finance_Data[[#This Row],[Date]])</f>
        <v>1</v>
      </c>
    </row>
    <row r="287" spans="1:23" x14ac:dyDescent="0.2">
      <c r="A287" t="s">
        <v>28</v>
      </c>
      <c r="B287" t="s">
        <v>16</v>
      </c>
      <c r="C287" t="s">
        <v>36</v>
      </c>
      <c r="D287" t="s">
        <v>45</v>
      </c>
      <c r="E287" s="27">
        <v>2299</v>
      </c>
      <c r="F287" s="27">
        <v>10</v>
      </c>
      <c r="G287" s="27">
        <v>12</v>
      </c>
      <c r="H287" s="27">
        <v>27588</v>
      </c>
      <c r="I287" s="5">
        <v>1655.28</v>
      </c>
      <c r="J287" s="27">
        <v>25932.720000000001</v>
      </c>
      <c r="K287" s="27">
        <v>6897</v>
      </c>
      <c r="L287" s="5">
        <v>19035.72</v>
      </c>
      <c r="M287" s="28">
        <v>41548</v>
      </c>
      <c r="N287" s="3">
        <v>10</v>
      </c>
      <c r="O287" s="29" t="s">
        <v>34</v>
      </c>
      <c r="P287" s="3">
        <v>2013</v>
      </c>
      <c r="Q287" s="6">
        <f>New_Finance_Data[[#This Row],[ Profit ]]/New_Finance_Data[[#This Row],[  Sales ]]</f>
        <v>0.73404255319148937</v>
      </c>
      <c r="R287" t="str">
        <f>IF(New_Finance_Data[[#This Row],[  Sales ]]&gt;=100000,"High",IF(New_Finance_Data[[#This Row],[  Sales ]]&gt;=50000,"Medium","Low"))</f>
        <v>Low</v>
      </c>
      <c r="S287" t="str">
        <f>IF(OR(ISBLANK(New_Finance_Data[[#This Row],[  Sales ]]),ISBLANK(New_Finance_Data[[#This Row],[ Profit ]])),"Missing","OK")</f>
        <v>OK</v>
      </c>
      <c r="T287" t="str">
        <f>TEXT(New_Finance_Data[[#This Row],[Date]],"MMM-YYYY")</f>
        <v>Oct-2013</v>
      </c>
      <c r="U287" t="str">
        <f>IF(New_Finance_Data[[#This Row],[ Profit ]]&gt;0,"Profit","Loss")</f>
        <v>Profit</v>
      </c>
      <c r="V287" t="str">
        <f>IF(New_Finance_Data[[#This Row],[  Sales ]]&gt;=50000,"High Sales","Low Sales")</f>
        <v>Low Sales</v>
      </c>
      <c r="W287" t="b">
        <f>ISNUMBER(New_Finance_Data[[#This Row],[Date]])</f>
        <v>1</v>
      </c>
    </row>
    <row r="288" spans="1:23" x14ac:dyDescent="0.2">
      <c r="A288" t="s">
        <v>15</v>
      </c>
      <c r="B288" t="s">
        <v>35</v>
      </c>
      <c r="C288" t="s">
        <v>36</v>
      </c>
      <c r="D288" t="s">
        <v>45</v>
      </c>
      <c r="E288" s="27">
        <v>727</v>
      </c>
      <c r="F288" s="27">
        <v>10</v>
      </c>
      <c r="G288" s="27">
        <v>350</v>
      </c>
      <c r="H288" s="27">
        <v>254450</v>
      </c>
      <c r="I288" s="5">
        <v>15267</v>
      </c>
      <c r="J288" s="27">
        <v>239183</v>
      </c>
      <c r="K288" s="27">
        <v>189020</v>
      </c>
      <c r="L288" s="5">
        <v>50163</v>
      </c>
      <c r="M288" s="28">
        <v>41548</v>
      </c>
      <c r="N288" s="3">
        <v>10</v>
      </c>
      <c r="O288" s="29" t="s">
        <v>34</v>
      </c>
      <c r="P288" s="3">
        <v>2013</v>
      </c>
      <c r="Q288" s="6">
        <f>New_Finance_Data[[#This Row],[ Profit ]]/New_Finance_Data[[#This Row],[  Sales ]]</f>
        <v>0.20972644376899696</v>
      </c>
      <c r="R288" t="str">
        <f>IF(New_Finance_Data[[#This Row],[  Sales ]]&gt;=100000,"High",IF(New_Finance_Data[[#This Row],[  Sales ]]&gt;=50000,"Medium","Low"))</f>
        <v>High</v>
      </c>
      <c r="S288" t="str">
        <f>IF(OR(ISBLANK(New_Finance_Data[[#This Row],[  Sales ]]),ISBLANK(New_Finance_Data[[#This Row],[ Profit ]])),"Missing","OK")</f>
        <v>OK</v>
      </c>
      <c r="T288" t="str">
        <f>TEXT(New_Finance_Data[[#This Row],[Date]],"MMM-YYYY")</f>
        <v>Oct-2013</v>
      </c>
      <c r="U288" t="str">
        <f>IF(New_Finance_Data[[#This Row],[ Profit ]]&gt;0,"Profit","Loss")</f>
        <v>Profit</v>
      </c>
      <c r="V288" t="str">
        <f>IF(New_Finance_Data[[#This Row],[  Sales ]]&gt;=50000,"High Sales","Low Sales")</f>
        <v>High Sales</v>
      </c>
      <c r="W288" t="b">
        <f>ISNUMBER(New_Finance_Data[[#This Row],[Date]])</f>
        <v>1</v>
      </c>
    </row>
    <row r="289" spans="1:23" x14ac:dyDescent="0.2">
      <c r="A289" t="s">
        <v>29</v>
      </c>
      <c r="B289" t="s">
        <v>16</v>
      </c>
      <c r="C289" t="s">
        <v>39</v>
      </c>
      <c r="D289" t="s">
        <v>45</v>
      </c>
      <c r="E289" s="27">
        <v>952</v>
      </c>
      <c r="F289" s="27">
        <v>120</v>
      </c>
      <c r="G289" s="27">
        <v>125</v>
      </c>
      <c r="H289" s="27">
        <v>119000</v>
      </c>
      <c r="I289" s="5">
        <v>7140</v>
      </c>
      <c r="J289" s="27">
        <v>111860</v>
      </c>
      <c r="K289" s="27">
        <v>114240</v>
      </c>
      <c r="L289" s="5">
        <v>-2380</v>
      </c>
      <c r="M289" s="28">
        <v>41671</v>
      </c>
      <c r="N289" s="3">
        <v>2</v>
      </c>
      <c r="O289" s="29" t="s">
        <v>37</v>
      </c>
      <c r="P289" s="3">
        <v>2014</v>
      </c>
      <c r="Q289" s="6">
        <f>New_Finance_Data[[#This Row],[ Profit ]]/New_Finance_Data[[#This Row],[  Sales ]]</f>
        <v>-2.1276595744680851E-2</v>
      </c>
      <c r="R289" t="str">
        <f>IF(New_Finance_Data[[#This Row],[  Sales ]]&gt;=100000,"High",IF(New_Finance_Data[[#This Row],[  Sales ]]&gt;=50000,"Medium","Low"))</f>
        <v>High</v>
      </c>
      <c r="S289" t="str">
        <f>IF(OR(ISBLANK(New_Finance_Data[[#This Row],[  Sales ]]),ISBLANK(New_Finance_Data[[#This Row],[ Profit ]])),"Missing","OK")</f>
        <v>OK</v>
      </c>
      <c r="T289" t="str">
        <f>TEXT(New_Finance_Data[[#This Row],[Date]],"MMM-YYYY")</f>
        <v>Feb-2014</v>
      </c>
      <c r="U289" t="str">
        <f>IF(New_Finance_Data[[#This Row],[ Profit ]]&gt;0,"Profit","Loss")</f>
        <v>Loss</v>
      </c>
      <c r="V289" t="str">
        <f>IF(New_Finance_Data[[#This Row],[  Sales ]]&gt;=50000,"High Sales","Low Sales")</f>
        <v>High Sales</v>
      </c>
      <c r="W289" t="b">
        <f>ISNUMBER(New_Finance_Data[[#This Row],[Date]])</f>
        <v>1</v>
      </c>
    </row>
    <row r="290" spans="1:23" x14ac:dyDescent="0.2">
      <c r="A290" t="s">
        <v>29</v>
      </c>
      <c r="B290" t="s">
        <v>35</v>
      </c>
      <c r="C290" t="s">
        <v>39</v>
      </c>
      <c r="D290" t="s">
        <v>45</v>
      </c>
      <c r="E290" s="27">
        <v>2755</v>
      </c>
      <c r="F290" s="27">
        <v>120</v>
      </c>
      <c r="G290" s="27">
        <v>125</v>
      </c>
      <c r="H290" s="27">
        <v>344375</v>
      </c>
      <c r="I290" s="5">
        <v>20662.5</v>
      </c>
      <c r="J290" s="27">
        <v>323712.5</v>
      </c>
      <c r="K290" s="27">
        <v>330600</v>
      </c>
      <c r="L290" s="5">
        <v>-6887.5</v>
      </c>
      <c r="M290" s="28">
        <v>41671</v>
      </c>
      <c r="N290" s="3">
        <v>2</v>
      </c>
      <c r="O290" s="29" t="s">
        <v>37</v>
      </c>
      <c r="P290" s="3">
        <v>2014</v>
      </c>
      <c r="Q290" s="6">
        <f>New_Finance_Data[[#This Row],[ Profit ]]/New_Finance_Data[[#This Row],[  Sales ]]</f>
        <v>-2.1276595744680851E-2</v>
      </c>
      <c r="R290" t="str">
        <f>IF(New_Finance_Data[[#This Row],[  Sales ]]&gt;=100000,"High",IF(New_Finance_Data[[#This Row],[  Sales ]]&gt;=50000,"Medium","Low"))</f>
        <v>High</v>
      </c>
      <c r="S290" t="str">
        <f>IF(OR(ISBLANK(New_Finance_Data[[#This Row],[  Sales ]]),ISBLANK(New_Finance_Data[[#This Row],[ Profit ]])),"Missing","OK")</f>
        <v>OK</v>
      </c>
      <c r="T290" t="str">
        <f>TEXT(New_Finance_Data[[#This Row],[Date]],"MMM-YYYY")</f>
        <v>Feb-2014</v>
      </c>
      <c r="U290" t="str">
        <f>IF(New_Finance_Data[[#This Row],[ Profit ]]&gt;0,"Profit","Loss")</f>
        <v>Loss</v>
      </c>
      <c r="V290" t="str">
        <f>IF(New_Finance_Data[[#This Row],[  Sales ]]&gt;=50000,"High Sales","Low Sales")</f>
        <v>High Sales</v>
      </c>
      <c r="W290" t="b">
        <f>ISNUMBER(New_Finance_Data[[#This Row],[Date]])</f>
        <v>1</v>
      </c>
    </row>
    <row r="291" spans="1:23" x14ac:dyDescent="0.2">
      <c r="A291" t="s">
        <v>21</v>
      </c>
      <c r="B291" t="s">
        <v>20</v>
      </c>
      <c r="C291" t="s">
        <v>39</v>
      </c>
      <c r="D291" t="s">
        <v>45</v>
      </c>
      <c r="E291" s="27">
        <v>1530</v>
      </c>
      <c r="F291" s="27">
        <v>120</v>
      </c>
      <c r="G291" s="27">
        <v>15</v>
      </c>
      <c r="H291" s="27">
        <v>22950</v>
      </c>
      <c r="I291" s="5">
        <v>1377</v>
      </c>
      <c r="J291" s="27">
        <v>21573</v>
      </c>
      <c r="K291" s="27">
        <v>15300</v>
      </c>
      <c r="L291" s="5">
        <v>6273</v>
      </c>
      <c r="M291" s="28">
        <v>41760</v>
      </c>
      <c r="N291" s="3">
        <v>5</v>
      </c>
      <c r="O291" s="29" t="s">
        <v>44</v>
      </c>
      <c r="P291" s="3">
        <v>2014</v>
      </c>
      <c r="Q291" s="6">
        <f>New_Finance_Data[[#This Row],[ Profit ]]/New_Finance_Data[[#This Row],[  Sales ]]</f>
        <v>0.29078014184397161</v>
      </c>
      <c r="R291" t="str">
        <f>IF(New_Finance_Data[[#This Row],[  Sales ]]&gt;=100000,"High",IF(New_Finance_Data[[#This Row],[  Sales ]]&gt;=50000,"Medium","Low"))</f>
        <v>Low</v>
      </c>
      <c r="S291" t="str">
        <f>IF(OR(ISBLANK(New_Finance_Data[[#This Row],[  Sales ]]),ISBLANK(New_Finance_Data[[#This Row],[ Profit ]])),"Missing","OK")</f>
        <v>OK</v>
      </c>
      <c r="T291" t="str">
        <f>TEXT(New_Finance_Data[[#This Row],[Date]],"MMM-YYYY")</f>
        <v>May-2014</v>
      </c>
      <c r="U291" t="str">
        <f>IF(New_Finance_Data[[#This Row],[ Profit ]]&gt;0,"Profit","Loss")</f>
        <v>Profit</v>
      </c>
      <c r="V291" t="str">
        <f>IF(New_Finance_Data[[#This Row],[  Sales ]]&gt;=50000,"High Sales","Low Sales")</f>
        <v>Low Sales</v>
      </c>
      <c r="W291" t="b">
        <f>ISNUMBER(New_Finance_Data[[#This Row],[Date]])</f>
        <v>1</v>
      </c>
    </row>
    <row r="292" spans="1:23" x14ac:dyDescent="0.2">
      <c r="A292" t="s">
        <v>15</v>
      </c>
      <c r="B292" t="s">
        <v>22</v>
      </c>
      <c r="C292" t="s">
        <v>39</v>
      </c>
      <c r="D292" t="s">
        <v>45</v>
      </c>
      <c r="E292" s="27">
        <v>1496</v>
      </c>
      <c r="F292" s="27">
        <v>120</v>
      </c>
      <c r="G292" s="27">
        <v>350</v>
      </c>
      <c r="H292" s="27">
        <v>523600</v>
      </c>
      <c r="I292" s="5">
        <v>31416</v>
      </c>
      <c r="J292" s="27">
        <v>492184</v>
      </c>
      <c r="K292" s="27">
        <v>388960</v>
      </c>
      <c r="L292" s="5">
        <v>103224</v>
      </c>
      <c r="M292" s="28">
        <v>41791</v>
      </c>
      <c r="N292" s="3">
        <v>6</v>
      </c>
      <c r="O292" s="29" t="s">
        <v>23</v>
      </c>
      <c r="P292" s="3">
        <v>2014</v>
      </c>
      <c r="Q292" s="6">
        <f>New_Finance_Data[[#This Row],[ Profit ]]/New_Finance_Data[[#This Row],[  Sales ]]</f>
        <v>0.20972644376899696</v>
      </c>
      <c r="R292" t="str">
        <f>IF(New_Finance_Data[[#This Row],[  Sales ]]&gt;=100000,"High",IF(New_Finance_Data[[#This Row],[  Sales ]]&gt;=50000,"Medium","Low"))</f>
        <v>High</v>
      </c>
      <c r="S292" t="str">
        <f>IF(OR(ISBLANK(New_Finance_Data[[#This Row],[  Sales ]]),ISBLANK(New_Finance_Data[[#This Row],[ Profit ]])),"Missing","OK")</f>
        <v>OK</v>
      </c>
      <c r="T292" t="str">
        <f>TEXT(New_Finance_Data[[#This Row],[Date]],"MMM-YYYY")</f>
        <v>Jun-2014</v>
      </c>
      <c r="U292" t="str">
        <f>IF(New_Finance_Data[[#This Row],[ Profit ]]&gt;0,"Profit","Loss")</f>
        <v>Profit</v>
      </c>
      <c r="V292" t="str">
        <f>IF(New_Finance_Data[[#This Row],[  Sales ]]&gt;=50000,"High Sales","Low Sales")</f>
        <v>High Sales</v>
      </c>
      <c r="W292" t="b">
        <f>ISNUMBER(New_Finance_Data[[#This Row],[Date]])</f>
        <v>1</v>
      </c>
    </row>
    <row r="293" spans="1:23" x14ac:dyDescent="0.2">
      <c r="A293" t="s">
        <v>15</v>
      </c>
      <c r="B293" t="s">
        <v>24</v>
      </c>
      <c r="C293" t="s">
        <v>39</v>
      </c>
      <c r="D293" t="s">
        <v>45</v>
      </c>
      <c r="E293" s="27">
        <v>1498</v>
      </c>
      <c r="F293" s="27">
        <v>120</v>
      </c>
      <c r="G293" s="27">
        <v>7</v>
      </c>
      <c r="H293" s="27">
        <v>10486</v>
      </c>
      <c r="I293" s="5">
        <v>629.16</v>
      </c>
      <c r="J293" s="27">
        <v>9856.84</v>
      </c>
      <c r="K293" s="27">
        <v>7490</v>
      </c>
      <c r="L293" s="5">
        <v>2366.84</v>
      </c>
      <c r="M293" s="28">
        <v>41791</v>
      </c>
      <c r="N293" s="3">
        <v>6</v>
      </c>
      <c r="O293" s="29" t="s">
        <v>23</v>
      </c>
      <c r="P293" s="3">
        <v>2014</v>
      </c>
      <c r="Q293" s="6">
        <f>New_Finance_Data[[#This Row],[ Profit ]]/New_Finance_Data[[#This Row],[  Sales ]]</f>
        <v>0.24012158054711247</v>
      </c>
      <c r="R293" t="str">
        <f>IF(New_Finance_Data[[#This Row],[  Sales ]]&gt;=100000,"High",IF(New_Finance_Data[[#This Row],[  Sales ]]&gt;=50000,"Medium","Low"))</f>
        <v>Low</v>
      </c>
      <c r="S293" t="str">
        <f>IF(OR(ISBLANK(New_Finance_Data[[#This Row],[  Sales ]]),ISBLANK(New_Finance_Data[[#This Row],[ Profit ]])),"Missing","OK")</f>
        <v>OK</v>
      </c>
      <c r="T293" t="str">
        <f>TEXT(New_Finance_Data[[#This Row],[Date]],"MMM-YYYY")</f>
        <v>Jun-2014</v>
      </c>
      <c r="U293" t="str">
        <f>IF(New_Finance_Data[[#This Row],[ Profit ]]&gt;0,"Profit","Loss")</f>
        <v>Profit</v>
      </c>
      <c r="V293" t="str">
        <f>IF(New_Finance_Data[[#This Row],[  Sales ]]&gt;=50000,"High Sales","Low Sales")</f>
        <v>Low Sales</v>
      </c>
      <c r="W293" t="b">
        <f>ISNUMBER(New_Finance_Data[[#This Row],[Date]])</f>
        <v>1</v>
      </c>
    </row>
    <row r="294" spans="1:23" x14ac:dyDescent="0.2">
      <c r="A294" t="s">
        <v>31</v>
      </c>
      <c r="B294" t="s">
        <v>22</v>
      </c>
      <c r="C294" t="s">
        <v>39</v>
      </c>
      <c r="D294" t="s">
        <v>45</v>
      </c>
      <c r="E294" s="27">
        <v>1221</v>
      </c>
      <c r="F294" s="27">
        <v>120</v>
      </c>
      <c r="G294" s="27">
        <v>300</v>
      </c>
      <c r="H294" s="27">
        <v>366300</v>
      </c>
      <c r="I294" s="5">
        <v>21978</v>
      </c>
      <c r="J294" s="27">
        <v>344322</v>
      </c>
      <c r="K294" s="27">
        <v>305250</v>
      </c>
      <c r="L294" s="5">
        <v>39072</v>
      </c>
      <c r="M294" s="28">
        <v>41548</v>
      </c>
      <c r="N294" s="3">
        <v>10</v>
      </c>
      <c r="O294" s="29" t="s">
        <v>34</v>
      </c>
      <c r="P294" s="3">
        <v>2013</v>
      </c>
      <c r="Q294" s="6">
        <f>New_Finance_Data[[#This Row],[ Profit ]]/New_Finance_Data[[#This Row],[  Sales ]]</f>
        <v>0.11347517730496454</v>
      </c>
      <c r="R294" t="str">
        <f>IF(New_Finance_Data[[#This Row],[  Sales ]]&gt;=100000,"High",IF(New_Finance_Data[[#This Row],[  Sales ]]&gt;=50000,"Medium","Low"))</f>
        <v>High</v>
      </c>
      <c r="S294" t="str">
        <f>IF(OR(ISBLANK(New_Finance_Data[[#This Row],[  Sales ]]),ISBLANK(New_Finance_Data[[#This Row],[ Profit ]])),"Missing","OK")</f>
        <v>OK</v>
      </c>
      <c r="T294" t="str">
        <f>TEXT(New_Finance_Data[[#This Row],[Date]],"MMM-YYYY")</f>
        <v>Oct-2013</v>
      </c>
      <c r="U294" t="str">
        <f>IF(New_Finance_Data[[#This Row],[ Profit ]]&gt;0,"Profit","Loss")</f>
        <v>Profit</v>
      </c>
      <c r="V294" t="str">
        <f>IF(New_Finance_Data[[#This Row],[  Sales ]]&gt;=50000,"High Sales","Low Sales")</f>
        <v>High Sales</v>
      </c>
      <c r="W294" t="b">
        <f>ISNUMBER(New_Finance_Data[[#This Row],[Date]])</f>
        <v>1</v>
      </c>
    </row>
    <row r="295" spans="1:23" x14ac:dyDescent="0.2">
      <c r="A295" t="s">
        <v>15</v>
      </c>
      <c r="B295" t="s">
        <v>22</v>
      </c>
      <c r="C295" t="s">
        <v>39</v>
      </c>
      <c r="D295" t="s">
        <v>45</v>
      </c>
      <c r="E295" s="27">
        <v>2076</v>
      </c>
      <c r="F295" s="27">
        <v>120</v>
      </c>
      <c r="G295" s="27">
        <v>350</v>
      </c>
      <c r="H295" s="27">
        <v>726600</v>
      </c>
      <c r="I295" s="5">
        <v>43596</v>
      </c>
      <c r="J295" s="27">
        <v>683004</v>
      </c>
      <c r="K295" s="27">
        <v>539760</v>
      </c>
      <c r="L295" s="5">
        <v>143244</v>
      </c>
      <c r="M295" s="28">
        <v>41548</v>
      </c>
      <c r="N295" s="3">
        <v>10</v>
      </c>
      <c r="O295" s="29" t="s">
        <v>34</v>
      </c>
      <c r="P295" s="3">
        <v>2013</v>
      </c>
      <c r="Q295" s="6">
        <f>New_Finance_Data[[#This Row],[ Profit ]]/New_Finance_Data[[#This Row],[  Sales ]]</f>
        <v>0.20972644376899696</v>
      </c>
      <c r="R295" t="str">
        <f>IF(New_Finance_Data[[#This Row],[  Sales ]]&gt;=100000,"High",IF(New_Finance_Data[[#This Row],[  Sales ]]&gt;=50000,"Medium","Low"))</f>
        <v>High</v>
      </c>
      <c r="S295" t="str">
        <f>IF(OR(ISBLANK(New_Finance_Data[[#This Row],[  Sales ]]),ISBLANK(New_Finance_Data[[#This Row],[ Profit ]])),"Missing","OK")</f>
        <v>OK</v>
      </c>
      <c r="T295" t="str">
        <f>TEXT(New_Finance_Data[[#This Row],[Date]],"MMM-YYYY")</f>
        <v>Oct-2013</v>
      </c>
      <c r="U295" t="str">
        <f>IF(New_Finance_Data[[#This Row],[ Profit ]]&gt;0,"Profit","Loss")</f>
        <v>Profit</v>
      </c>
      <c r="V295" t="str">
        <f>IF(New_Finance_Data[[#This Row],[  Sales ]]&gt;=50000,"High Sales","Low Sales")</f>
        <v>High Sales</v>
      </c>
      <c r="W295" t="b">
        <f>ISNUMBER(New_Finance_Data[[#This Row],[Date]])</f>
        <v>1</v>
      </c>
    </row>
    <row r="296" spans="1:23" x14ac:dyDescent="0.2">
      <c r="A296" t="s">
        <v>21</v>
      </c>
      <c r="B296" t="s">
        <v>16</v>
      </c>
      <c r="C296" t="s">
        <v>40</v>
      </c>
      <c r="D296" t="s">
        <v>45</v>
      </c>
      <c r="E296" s="27">
        <v>2844</v>
      </c>
      <c r="F296" s="27">
        <v>250</v>
      </c>
      <c r="G296" s="27">
        <v>15</v>
      </c>
      <c r="H296" s="27">
        <v>42660</v>
      </c>
      <c r="I296" s="5">
        <v>2559.6</v>
      </c>
      <c r="J296" s="27">
        <v>40100.400000000001</v>
      </c>
      <c r="K296" s="27">
        <v>28440</v>
      </c>
      <c r="L296" s="5">
        <v>11660.4</v>
      </c>
      <c r="M296" s="28">
        <v>41791</v>
      </c>
      <c r="N296" s="3">
        <v>6</v>
      </c>
      <c r="O296" s="29" t="s">
        <v>23</v>
      </c>
      <c r="P296" s="3">
        <v>2014</v>
      </c>
      <c r="Q296" s="6">
        <f>New_Finance_Data[[#This Row],[ Profit ]]/New_Finance_Data[[#This Row],[  Sales ]]</f>
        <v>0.29078014184397161</v>
      </c>
      <c r="R296" t="str">
        <f>IF(New_Finance_Data[[#This Row],[  Sales ]]&gt;=100000,"High",IF(New_Finance_Data[[#This Row],[  Sales ]]&gt;=50000,"Medium","Low"))</f>
        <v>Low</v>
      </c>
      <c r="S296" t="str">
        <f>IF(OR(ISBLANK(New_Finance_Data[[#This Row],[  Sales ]]),ISBLANK(New_Finance_Data[[#This Row],[ Profit ]])),"Missing","OK")</f>
        <v>OK</v>
      </c>
      <c r="T296" t="str">
        <f>TEXT(New_Finance_Data[[#This Row],[Date]],"MMM-YYYY")</f>
        <v>Jun-2014</v>
      </c>
      <c r="U296" t="str">
        <f>IF(New_Finance_Data[[#This Row],[ Profit ]]&gt;0,"Profit","Loss")</f>
        <v>Profit</v>
      </c>
      <c r="V296" t="str">
        <f>IF(New_Finance_Data[[#This Row],[  Sales ]]&gt;=50000,"High Sales","Low Sales")</f>
        <v>Low Sales</v>
      </c>
      <c r="W296" t="b">
        <f>ISNUMBER(New_Finance_Data[[#This Row],[Date]])</f>
        <v>1</v>
      </c>
    </row>
    <row r="297" spans="1:23" x14ac:dyDescent="0.2">
      <c r="A297" t="s">
        <v>15</v>
      </c>
      <c r="B297" t="s">
        <v>24</v>
      </c>
      <c r="C297" t="s">
        <v>40</v>
      </c>
      <c r="D297" t="s">
        <v>45</v>
      </c>
      <c r="E297" s="27">
        <v>1498</v>
      </c>
      <c r="F297" s="27">
        <v>250</v>
      </c>
      <c r="G297" s="27">
        <v>7</v>
      </c>
      <c r="H297" s="27">
        <v>10486</v>
      </c>
      <c r="I297" s="5">
        <v>629.16</v>
      </c>
      <c r="J297" s="27">
        <v>9856.84</v>
      </c>
      <c r="K297" s="27">
        <v>7490</v>
      </c>
      <c r="L297" s="5">
        <v>2366.84</v>
      </c>
      <c r="M297" s="28">
        <v>41791</v>
      </c>
      <c r="N297" s="3">
        <v>6</v>
      </c>
      <c r="O297" s="29" t="s">
        <v>23</v>
      </c>
      <c r="P297" s="3">
        <v>2014</v>
      </c>
      <c r="Q297" s="6">
        <f>New_Finance_Data[[#This Row],[ Profit ]]/New_Finance_Data[[#This Row],[  Sales ]]</f>
        <v>0.24012158054711247</v>
      </c>
      <c r="R297" t="str">
        <f>IF(New_Finance_Data[[#This Row],[  Sales ]]&gt;=100000,"High",IF(New_Finance_Data[[#This Row],[  Sales ]]&gt;=50000,"Medium","Low"))</f>
        <v>Low</v>
      </c>
      <c r="S297" t="str">
        <f>IF(OR(ISBLANK(New_Finance_Data[[#This Row],[  Sales ]]),ISBLANK(New_Finance_Data[[#This Row],[ Profit ]])),"Missing","OK")</f>
        <v>OK</v>
      </c>
      <c r="T297" t="str">
        <f>TEXT(New_Finance_Data[[#This Row],[Date]],"MMM-YYYY")</f>
        <v>Jun-2014</v>
      </c>
      <c r="U297" t="str">
        <f>IF(New_Finance_Data[[#This Row],[ Profit ]]&gt;0,"Profit","Loss")</f>
        <v>Profit</v>
      </c>
      <c r="V297" t="str">
        <f>IF(New_Finance_Data[[#This Row],[  Sales ]]&gt;=50000,"High Sales","Low Sales")</f>
        <v>Low Sales</v>
      </c>
      <c r="W297" t="b">
        <f>ISNUMBER(New_Finance_Data[[#This Row],[Date]])</f>
        <v>1</v>
      </c>
    </row>
    <row r="298" spans="1:23" x14ac:dyDescent="0.2">
      <c r="A298" t="s">
        <v>31</v>
      </c>
      <c r="B298" t="s">
        <v>22</v>
      </c>
      <c r="C298" t="s">
        <v>40</v>
      </c>
      <c r="D298" t="s">
        <v>45</v>
      </c>
      <c r="E298" s="27">
        <v>1221</v>
      </c>
      <c r="F298" s="27">
        <v>250</v>
      </c>
      <c r="G298" s="27">
        <v>300</v>
      </c>
      <c r="H298" s="27">
        <v>366300</v>
      </c>
      <c r="I298" s="5">
        <v>21978</v>
      </c>
      <c r="J298" s="27">
        <v>344322</v>
      </c>
      <c r="K298" s="27">
        <v>305250</v>
      </c>
      <c r="L298" s="5">
        <v>39072</v>
      </c>
      <c r="M298" s="28">
        <v>41548</v>
      </c>
      <c r="N298" s="3">
        <v>10</v>
      </c>
      <c r="O298" s="29" t="s">
        <v>34</v>
      </c>
      <c r="P298" s="3">
        <v>2013</v>
      </c>
      <c r="Q298" s="6">
        <f>New_Finance_Data[[#This Row],[ Profit ]]/New_Finance_Data[[#This Row],[  Sales ]]</f>
        <v>0.11347517730496454</v>
      </c>
      <c r="R298" t="str">
        <f>IF(New_Finance_Data[[#This Row],[  Sales ]]&gt;=100000,"High",IF(New_Finance_Data[[#This Row],[  Sales ]]&gt;=50000,"Medium","Low"))</f>
        <v>High</v>
      </c>
      <c r="S298" t="str">
        <f>IF(OR(ISBLANK(New_Finance_Data[[#This Row],[  Sales ]]),ISBLANK(New_Finance_Data[[#This Row],[ Profit ]])),"Missing","OK")</f>
        <v>OK</v>
      </c>
      <c r="T298" t="str">
        <f>TEXT(New_Finance_Data[[#This Row],[Date]],"MMM-YYYY")</f>
        <v>Oct-2013</v>
      </c>
      <c r="U298" t="str">
        <f>IF(New_Finance_Data[[#This Row],[ Profit ]]&gt;0,"Profit","Loss")</f>
        <v>Profit</v>
      </c>
      <c r="V298" t="str">
        <f>IF(New_Finance_Data[[#This Row],[  Sales ]]&gt;=50000,"High Sales","Low Sales")</f>
        <v>High Sales</v>
      </c>
      <c r="W298" t="b">
        <f>ISNUMBER(New_Finance_Data[[#This Row],[Date]])</f>
        <v>1</v>
      </c>
    </row>
    <row r="299" spans="1:23" x14ac:dyDescent="0.2">
      <c r="A299" t="s">
        <v>15</v>
      </c>
      <c r="B299" t="s">
        <v>24</v>
      </c>
      <c r="C299" t="s">
        <v>40</v>
      </c>
      <c r="D299" t="s">
        <v>45</v>
      </c>
      <c r="E299" s="27">
        <v>1123</v>
      </c>
      <c r="F299" s="27">
        <v>250</v>
      </c>
      <c r="G299" s="27">
        <v>20</v>
      </c>
      <c r="H299" s="27">
        <v>22460</v>
      </c>
      <c r="I299" s="5">
        <v>1347.6</v>
      </c>
      <c r="J299" s="27">
        <v>21112.400000000001</v>
      </c>
      <c r="K299" s="27">
        <v>11230</v>
      </c>
      <c r="L299" s="5">
        <v>9882.4</v>
      </c>
      <c r="M299" s="28">
        <v>41579</v>
      </c>
      <c r="N299" s="3">
        <v>11</v>
      </c>
      <c r="O299" s="29" t="s">
        <v>38</v>
      </c>
      <c r="P299" s="3">
        <v>2013</v>
      </c>
      <c r="Q299" s="6">
        <f>New_Finance_Data[[#This Row],[ Profit ]]/New_Finance_Data[[#This Row],[  Sales ]]</f>
        <v>0.46808510638297868</v>
      </c>
      <c r="R299" t="str">
        <f>IF(New_Finance_Data[[#This Row],[  Sales ]]&gt;=100000,"High",IF(New_Finance_Data[[#This Row],[  Sales ]]&gt;=50000,"Medium","Low"))</f>
        <v>Low</v>
      </c>
      <c r="S299" t="str">
        <f>IF(OR(ISBLANK(New_Finance_Data[[#This Row],[  Sales ]]),ISBLANK(New_Finance_Data[[#This Row],[ Profit ]])),"Missing","OK")</f>
        <v>OK</v>
      </c>
      <c r="T299" t="str">
        <f>TEXT(New_Finance_Data[[#This Row],[Date]],"MMM-YYYY")</f>
        <v>Nov-2013</v>
      </c>
      <c r="U299" t="str">
        <f>IF(New_Finance_Data[[#This Row],[ Profit ]]&gt;0,"Profit","Loss")</f>
        <v>Profit</v>
      </c>
      <c r="V299" t="str">
        <f>IF(New_Finance_Data[[#This Row],[  Sales ]]&gt;=50000,"High Sales","Low Sales")</f>
        <v>Low Sales</v>
      </c>
      <c r="W299" t="b">
        <f>ISNUMBER(New_Finance_Data[[#This Row],[Date]])</f>
        <v>1</v>
      </c>
    </row>
    <row r="300" spans="1:23" x14ac:dyDescent="0.2">
      <c r="A300" t="s">
        <v>31</v>
      </c>
      <c r="B300" t="s">
        <v>16</v>
      </c>
      <c r="C300" t="s">
        <v>40</v>
      </c>
      <c r="D300" t="s">
        <v>45</v>
      </c>
      <c r="E300" s="27">
        <v>2436</v>
      </c>
      <c r="F300" s="27">
        <v>250</v>
      </c>
      <c r="G300" s="27">
        <v>300</v>
      </c>
      <c r="H300" s="27">
        <v>730800</v>
      </c>
      <c r="I300" s="5">
        <v>43848</v>
      </c>
      <c r="J300" s="27">
        <v>686952</v>
      </c>
      <c r="K300" s="27">
        <v>609000</v>
      </c>
      <c r="L300" s="5">
        <v>77952</v>
      </c>
      <c r="M300" s="28">
        <v>41609</v>
      </c>
      <c r="N300" s="3">
        <v>12</v>
      </c>
      <c r="O300" s="29" t="s">
        <v>25</v>
      </c>
      <c r="P300" s="3">
        <v>2013</v>
      </c>
      <c r="Q300" s="6">
        <f>New_Finance_Data[[#This Row],[ Profit ]]/New_Finance_Data[[#This Row],[  Sales ]]</f>
        <v>0.11347517730496454</v>
      </c>
      <c r="R300" t="str">
        <f>IF(New_Finance_Data[[#This Row],[  Sales ]]&gt;=100000,"High",IF(New_Finance_Data[[#This Row],[  Sales ]]&gt;=50000,"Medium","Low"))</f>
        <v>High</v>
      </c>
      <c r="S300" t="str">
        <f>IF(OR(ISBLANK(New_Finance_Data[[#This Row],[  Sales ]]),ISBLANK(New_Finance_Data[[#This Row],[ Profit ]])),"Missing","OK")</f>
        <v>OK</v>
      </c>
      <c r="T300" t="str">
        <f>TEXT(New_Finance_Data[[#This Row],[Date]],"MMM-YYYY")</f>
        <v>Dec-2013</v>
      </c>
      <c r="U300" t="str">
        <f>IF(New_Finance_Data[[#This Row],[ Profit ]]&gt;0,"Profit","Loss")</f>
        <v>Profit</v>
      </c>
      <c r="V300" t="str">
        <f>IF(New_Finance_Data[[#This Row],[  Sales ]]&gt;=50000,"High Sales","Low Sales")</f>
        <v>High Sales</v>
      </c>
      <c r="W300" t="b">
        <f>ISNUMBER(New_Finance_Data[[#This Row],[Date]])</f>
        <v>1</v>
      </c>
    </row>
    <row r="301" spans="1:23" x14ac:dyDescent="0.2">
      <c r="A301" t="s">
        <v>29</v>
      </c>
      <c r="B301" t="s">
        <v>22</v>
      </c>
      <c r="C301" t="s">
        <v>42</v>
      </c>
      <c r="D301" t="s">
        <v>45</v>
      </c>
      <c r="E301" s="27">
        <v>1987.5</v>
      </c>
      <c r="F301" s="27">
        <v>260</v>
      </c>
      <c r="G301" s="27">
        <v>125</v>
      </c>
      <c r="H301" s="27">
        <v>248437.5</v>
      </c>
      <c r="I301" s="5">
        <v>14906.25</v>
      </c>
      <c r="J301" s="27">
        <v>233531.25</v>
      </c>
      <c r="K301" s="27">
        <v>238500</v>
      </c>
      <c r="L301" s="5">
        <v>-4968.75</v>
      </c>
      <c r="M301" s="28">
        <v>41640</v>
      </c>
      <c r="N301" s="3">
        <v>1</v>
      </c>
      <c r="O301" s="29" t="s">
        <v>19</v>
      </c>
      <c r="P301" s="3">
        <v>2014</v>
      </c>
      <c r="Q301" s="6">
        <f>New_Finance_Data[[#This Row],[ Profit ]]/New_Finance_Data[[#This Row],[  Sales ]]</f>
        <v>-2.1276595744680851E-2</v>
      </c>
      <c r="R301" t="str">
        <f>IF(New_Finance_Data[[#This Row],[  Sales ]]&gt;=100000,"High",IF(New_Finance_Data[[#This Row],[  Sales ]]&gt;=50000,"Medium","Low"))</f>
        <v>High</v>
      </c>
      <c r="S301" t="str">
        <f>IF(OR(ISBLANK(New_Finance_Data[[#This Row],[  Sales ]]),ISBLANK(New_Finance_Data[[#This Row],[ Profit ]])),"Missing","OK")</f>
        <v>OK</v>
      </c>
      <c r="T301" t="str">
        <f>TEXT(New_Finance_Data[[#This Row],[Date]],"MMM-YYYY")</f>
        <v>Jan-2014</v>
      </c>
      <c r="U301" t="str">
        <f>IF(New_Finance_Data[[#This Row],[ Profit ]]&gt;0,"Profit","Loss")</f>
        <v>Loss</v>
      </c>
      <c r="V301" t="str">
        <f>IF(New_Finance_Data[[#This Row],[  Sales ]]&gt;=50000,"High Sales","Low Sales")</f>
        <v>High Sales</v>
      </c>
      <c r="W301" t="b">
        <f>ISNUMBER(New_Finance_Data[[#This Row],[Date]])</f>
        <v>1</v>
      </c>
    </row>
    <row r="302" spans="1:23" x14ac:dyDescent="0.2">
      <c r="A302" t="s">
        <v>15</v>
      </c>
      <c r="B302" t="s">
        <v>24</v>
      </c>
      <c r="C302" t="s">
        <v>42</v>
      </c>
      <c r="D302" t="s">
        <v>45</v>
      </c>
      <c r="E302" s="27">
        <v>1679</v>
      </c>
      <c r="F302" s="27">
        <v>260</v>
      </c>
      <c r="G302" s="27">
        <v>350</v>
      </c>
      <c r="H302" s="27">
        <v>587650</v>
      </c>
      <c r="I302" s="5">
        <v>35259</v>
      </c>
      <c r="J302" s="27">
        <v>552391</v>
      </c>
      <c r="K302" s="27">
        <v>436540</v>
      </c>
      <c r="L302" s="5">
        <v>115851</v>
      </c>
      <c r="M302" s="28">
        <v>41883</v>
      </c>
      <c r="N302" s="3">
        <v>9</v>
      </c>
      <c r="O302" s="29" t="s">
        <v>33</v>
      </c>
      <c r="P302" s="3">
        <v>2014</v>
      </c>
      <c r="Q302" s="6">
        <f>New_Finance_Data[[#This Row],[ Profit ]]/New_Finance_Data[[#This Row],[  Sales ]]</f>
        <v>0.20972644376899696</v>
      </c>
      <c r="R302" t="str">
        <f>IF(New_Finance_Data[[#This Row],[  Sales ]]&gt;=100000,"High",IF(New_Finance_Data[[#This Row],[  Sales ]]&gt;=50000,"Medium","Low"))</f>
        <v>High</v>
      </c>
      <c r="S302" t="str">
        <f>IF(OR(ISBLANK(New_Finance_Data[[#This Row],[  Sales ]]),ISBLANK(New_Finance_Data[[#This Row],[ Profit ]])),"Missing","OK")</f>
        <v>OK</v>
      </c>
      <c r="T302" t="str">
        <f>TEXT(New_Finance_Data[[#This Row],[Date]],"MMM-YYYY")</f>
        <v>Sep-2014</v>
      </c>
      <c r="U302" t="str">
        <f>IF(New_Finance_Data[[#This Row],[ Profit ]]&gt;0,"Profit","Loss")</f>
        <v>Profit</v>
      </c>
      <c r="V302" t="str">
        <f>IF(New_Finance_Data[[#This Row],[  Sales ]]&gt;=50000,"High Sales","Low Sales")</f>
        <v>High Sales</v>
      </c>
      <c r="W302" t="b">
        <f>ISNUMBER(New_Finance_Data[[#This Row],[Date]])</f>
        <v>1</v>
      </c>
    </row>
    <row r="303" spans="1:23" x14ac:dyDescent="0.2">
      <c r="A303" t="s">
        <v>15</v>
      </c>
      <c r="B303" t="s">
        <v>35</v>
      </c>
      <c r="C303" t="s">
        <v>42</v>
      </c>
      <c r="D303" t="s">
        <v>45</v>
      </c>
      <c r="E303" s="27">
        <v>727</v>
      </c>
      <c r="F303" s="27">
        <v>260</v>
      </c>
      <c r="G303" s="27">
        <v>350</v>
      </c>
      <c r="H303" s="27">
        <v>254450</v>
      </c>
      <c r="I303" s="5">
        <v>15267</v>
      </c>
      <c r="J303" s="27">
        <v>239183</v>
      </c>
      <c r="K303" s="27">
        <v>189020</v>
      </c>
      <c r="L303" s="5">
        <v>50163</v>
      </c>
      <c r="M303" s="28">
        <v>41548</v>
      </c>
      <c r="N303" s="3">
        <v>10</v>
      </c>
      <c r="O303" s="29" t="s">
        <v>34</v>
      </c>
      <c r="P303" s="3">
        <v>2013</v>
      </c>
      <c r="Q303" s="6">
        <f>New_Finance_Data[[#This Row],[ Profit ]]/New_Finance_Data[[#This Row],[  Sales ]]</f>
        <v>0.20972644376899696</v>
      </c>
      <c r="R303" t="str">
        <f>IF(New_Finance_Data[[#This Row],[  Sales ]]&gt;=100000,"High",IF(New_Finance_Data[[#This Row],[  Sales ]]&gt;=50000,"Medium","Low"))</f>
        <v>High</v>
      </c>
      <c r="S303" t="str">
        <f>IF(OR(ISBLANK(New_Finance_Data[[#This Row],[  Sales ]]),ISBLANK(New_Finance_Data[[#This Row],[ Profit ]])),"Missing","OK")</f>
        <v>OK</v>
      </c>
      <c r="T303" t="str">
        <f>TEXT(New_Finance_Data[[#This Row],[Date]],"MMM-YYYY")</f>
        <v>Oct-2013</v>
      </c>
      <c r="U303" t="str">
        <f>IF(New_Finance_Data[[#This Row],[ Profit ]]&gt;0,"Profit","Loss")</f>
        <v>Profit</v>
      </c>
      <c r="V303" t="str">
        <f>IF(New_Finance_Data[[#This Row],[  Sales ]]&gt;=50000,"High Sales","Low Sales")</f>
        <v>High Sales</v>
      </c>
      <c r="W303" t="b">
        <f>ISNUMBER(New_Finance_Data[[#This Row],[Date]])</f>
        <v>1</v>
      </c>
    </row>
    <row r="304" spans="1:23" x14ac:dyDescent="0.2">
      <c r="A304" t="s">
        <v>15</v>
      </c>
      <c r="B304" t="s">
        <v>22</v>
      </c>
      <c r="C304" t="s">
        <v>42</v>
      </c>
      <c r="D304" t="s">
        <v>45</v>
      </c>
      <c r="E304" s="27">
        <v>1403</v>
      </c>
      <c r="F304" s="27">
        <v>260</v>
      </c>
      <c r="G304" s="27">
        <v>7</v>
      </c>
      <c r="H304" s="27">
        <v>9821</v>
      </c>
      <c r="I304" s="5">
        <v>589.26</v>
      </c>
      <c r="J304" s="27">
        <v>9231.74</v>
      </c>
      <c r="K304" s="27">
        <v>7015</v>
      </c>
      <c r="L304" s="5">
        <v>2216.7399999999998</v>
      </c>
      <c r="M304" s="28">
        <v>41548</v>
      </c>
      <c r="N304" s="3">
        <v>10</v>
      </c>
      <c r="O304" s="29" t="s">
        <v>34</v>
      </c>
      <c r="P304" s="3">
        <v>2013</v>
      </c>
      <c r="Q304" s="6">
        <f>New_Finance_Data[[#This Row],[ Profit ]]/New_Finance_Data[[#This Row],[  Sales ]]</f>
        <v>0.24012158054711244</v>
      </c>
      <c r="R304" t="str">
        <f>IF(New_Finance_Data[[#This Row],[  Sales ]]&gt;=100000,"High",IF(New_Finance_Data[[#This Row],[  Sales ]]&gt;=50000,"Medium","Low"))</f>
        <v>Low</v>
      </c>
      <c r="S304" t="str">
        <f>IF(OR(ISBLANK(New_Finance_Data[[#This Row],[  Sales ]]),ISBLANK(New_Finance_Data[[#This Row],[ Profit ]])),"Missing","OK")</f>
        <v>OK</v>
      </c>
      <c r="T304" t="str">
        <f>TEXT(New_Finance_Data[[#This Row],[Date]],"MMM-YYYY")</f>
        <v>Oct-2013</v>
      </c>
      <c r="U304" t="str">
        <f>IF(New_Finance_Data[[#This Row],[ Profit ]]&gt;0,"Profit","Loss")</f>
        <v>Profit</v>
      </c>
      <c r="V304" t="str">
        <f>IF(New_Finance_Data[[#This Row],[  Sales ]]&gt;=50000,"High Sales","Low Sales")</f>
        <v>Low Sales</v>
      </c>
      <c r="W304" t="b">
        <f>ISNUMBER(New_Finance_Data[[#This Row],[Date]])</f>
        <v>1</v>
      </c>
    </row>
    <row r="305" spans="1:23" x14ac:dyDescent="0.2">
      <c r="A305" t="s">
        <v>15</v>
      </c>
      <c r="B305" t="s">
        <v>22</v>
      </c>
      <c r="C305" t="s">
        <v>42</v>
      </c>
      <c r="D305" t="s">
        <v>45</v>
      </c>
      <c r="E305" s="27">
        <v>2076</v>
      </c>
      <c r="F305" s="27">
        <v>260</v>
      </c>
      <c r="G305" s="27">
        <v>350</v>
      </c>
      <c r="H305" s="27">
        <v>726600</v>
      </c>
      <c r="I305" s="5">
        <v>43596</v>
      </c>
      <c r="J305" s="27">
        <v>683004</v>
      </c>
      <c r="K305" s="27">
        <v>539760</v>
      </c>
      <c r="L305" s="5">
        <v>143244</v>
      </c>
      <c r="M305" s="28">
        <v>41548</v>
      </c>
      <c r="N305" s="3">
        <v>10</v>
      </c>
      <c r="O305" s="29" t="s">
        <v>34</v>
      </c>
      <c r="P305" s="3">
        <v>2013</v>
      </c>
      <c r="Q305" s="6">
        <f>New_Finance_Data[[#This Row],[ Profit ]]/New_Finance_Data[[#This Row],[  Sales ]]</f>
        <v>0.20972644376899696</v>
      </c>
      <c r="R305" t="str">
        <f>IF(New_Finance_Data[[#This Row],[  Sales ]]&gt;=100000,"High",IF(New_Finance_Data[[#This Row],[  Sales ]]&gt;=50000,"Medium","Low"))</f>
        <v>High</v>
      </c>
      <c r="S305" t="str">
        <f>IF(OR(ISBLANK(New_Finance_Data[[#This Row],[  Sales ]]),ISBLANK(New_Finance_Data[[#This Row],[ Profit ]])),"Missing","OK")</f>
        <v>OK</v>
      </c>
      <c r="T305" t="str">
        <f>TEXT(New_Finance_Data[[#This Row],[Date]],"MMM-YYYY")</f>
        <v>Oct-2013</v>
      </c>
      <c r="U305" t="str">
        <f>IF(New_Finance_Data[[#This Row],[ Profit ]]&gt;0,"Profit","Loss")</f>
        <v>Profit</v>
      </c>
      <c r="V305" t="str">
        <f>IF(New_Finance_Data[[#This Row],[  Sales ]]&gt;=50000,"High Sales","Low Sales")</f>
        <v>High Sales</v>
      </c>
      <c r="W305" t="b">
        <f>ISNUMBER(New_Finance_Data[[#This Row],[Date]])</f>
        <v>1</v>
      </c>
    </row>
    <row r="306" spans="1:23" x14ac:dyDescent="0.2">
      <c r="A306" t="s">
        <v>15</v>
      </c>
      <c r="B306" t="s">
        <v>22</v>
      </c>
      <c r="C306" t="s">
        <v>26</v>
      </c>
      <c r="D306" t="s">
        <v>45</v>
      </c>
      <c r="E306" s="27">
        <v>1757</v>
      </c>
      <c r="F306" s="27">
        <v>5</v>
      </c>
      <c r="G306" s="27">
        <v>20</v>
      </c>
      <c r="H306" s="27">
        <v>35140</v>
      </c>
      <c r="I306" s="5">
        <v>2108.4</v>
      </c>
      <c r="J306" s="27">
        <v>33031.599999999999</v>
      </c>
      <c r="K306" s="27">
        <v>17570</v>
      </c>
      <c r="L306" s="5">
        <v>15461.6</v>
      </c>
      <c r="M306" s="28">
        <v>41548</v>
      </c>
      <c r="N306" s="3">
        <v>10</v>
      </c>
      <c r="O306" s="29" t="s">
        <v>34</v>
      </c>
      <c r="P306" s="3">
        <v>2013</v>
      </c>
      <c r="Q306" s="6">
        <f>New_Finance_Data[[#This Row],[ Profit ]]/New_Finance_Data[[#This Row],[  Sales ]]</f>
        <v>0.46808510638297873</v>
      </c>
      <c r="R306" t="str">
        <f>IF(New_Finance_Data[[#This Row],[  Sales ]]&gt;=100000,"High",IF(New_Finance_Data[[#This Row],[  Sales ]]&gt;=50000,"Medium","Low"))</f>
        <v>Low</v>
      </c>
      <c r="S306" t="str">
        <f>IF(OR(ISBLANK(New_Finance_Data[[#This Row],[  Sales ]]),ISBLANK(New_Finance_Data[[#This Row],[ Profit ]])),"Missing","OK")</f>
        <v>OK</v>
      </c>
      <c r="T306" t="str">
        <f>TEXT(New_Finance_Data[[#This Row],[Date]],"MMM-YYYY")</f>
        <v>Oct-2013</v>
      </c>
      <c r="U306" t="str">
        <f>IF(New_Finance_Data[[#This Row],[ Profit ]]&gt;0,"Profit","Loss")</f>
        <v>Profit</v>
      </c>
      <c r="V306" t="str">
        <f>IF(New_Finance_Data[[#This Row],[  Sales ]]&gt;=50000,"High Sales","Low Sales")</f>
        <v>Low Sales</v>
      </c>
      <c r="W306" t="b">
        <f>ISNUMBER(New_Finance_Data[[#This Row],[Date]])</f>
        <v>1</v>
      </c>
    </row>
    <row r="307" spans="1:23" x14ac:dyDescent="0.2">
      <c r="A307" t="s">
        <v>21</v>
      </c>
      <c r="B307" t="s">
        <v>35</v>
      </c>
      <c r="C307" t="s">
        <v>36</v>
      </c>
      <c r="D307" t="s">
        <v>45</v>
      </c>
      <c r="E307" s="27">
        <v>2198</v>
      </c>
      <c r="F307" s="27">
        <v>10</v>
      </c>
      <c r="G307" s="27">
        <v>15</v>
      </c>
      <c r="H307" s="27">
        <v>32970</v>
      </c>
      <c r="I307" s="5">
        <v>1978.2</v>
      </c>
      <c r="J307" s="27">
        <v>30991.8</v>
      </c>
      <c r="K307" s="27">
        <v>21980</v>
      </c>
      <c r="L307" s="5">
        <v>9011.7999999999993</v>
      </c>
      <c r="M307" s="28">
        <v>41852</v>
      </c>
      <c r="N307" s="3">
        <v>8</v>
      </c>
      <c r="O307" s="29" t="s">
        <v>32</v>
      </c>
      <c r="P307" s="3">
        <v>2014</v>
      </c>
      <c r="Q307" s="6">
        <f>New_Finance_Data[[#This Row],[ Profit ]]/New_Finance_Data[[#This Row],[  Sales ]]</f>
        <v>0.29078014184397161</v>
      </c>
      <c r="R307" t="str">
        <f>IF(New_Finance_Data[[#This Row],[  Sales ]]&gt;=100000,"High",IF(New_Finance_Data[[#This Row],[  Sales ]]&gt;=50000,"Medium","Low"))</f>
        <v>Low</v>
      </c>
      <c r="S307" t="str">
        <f>IF(OR(ISBLANK(New_Finance_Data[[#This Row],[  Sales ]]),ISBLANK(New_Finance_Data[[#This Row],[ Profit ]])),"Missing","OK")</f>
        <v>OK</v>
      </c>
      <c r="T307" t="str">
        <f>TEXT(New_Finance_Data[[#This Row],[Date]],"MMM-YYYY")</f>
        <v>Aug-2014</v>
      </c>
      <c r="U307" t="str">
        <f>IF(New_Finance_Data[[#This Row],[ Profit ]]&gt;0,"Profit","Loss")</f>
        <v>Profit</v>
      </c>
      <c r="V307" t="str">
        <f>IF(New_Finance_Data[[#This Row],[  Sales ]]&gt;=50000,"High Sales","Low Sales")</f>
        <v>Low Sales</v>
      </c>
      <c r="W307" t="b">
        <f>ISNUMBER(New_Finance_Data[[#This Row],[Date]])</f>
        <v>1</v>
      </c>
    </row>
    <row r="308" spans="1:23" x14ac:dyDescent="0.2">
      <c r="A308" t="s">
        <v>21</v>
      </c>
      <c r="B308" t="s">
        <v>20</v>
      </c>
      <c r="C308" t="s">
        <v>36</v>
      </c>
      <c r="D308" t="s">
        <v>45</v>
      </c>
      <c r="E308" s="27">
        <v>1743</v>
      </c>
      <c r="F308" s="27">
        <v>10</v>
      </c>
      <c r="G308" s="27">
        <v>15</v>
      </c>
      <c r="H308" s="27">
        <v>26145</v>
      </c>
      <c r="I308" s="5">
        <v>1568.7</v>
      </c>
      <c r="J308" s="27">
        <v>24576.3</v>
      </c>
      <c r="K308" s="27">
        <v>17430</v>
      </c>
      <c r="L308" s="5">
        <v>7146.3</v>
      </c>
      <c r="M308" s="28">
        <v>41852</v>
      </c>
      <c r="N308" s="3">
        <v>8</v>
      </c>
      <c r="O308" s="29" t="s">
        <v>32</v>
      </c>
      <c r="P308" s="3">
        <v>2014</v>
      </c>
      <c r="Q308" s="6">
        <f>New_Finance_Data[[#This Row],[ Profit ]]/New_Finance_Data[[#This Row],[  Sales ]]</f>
        <v>0.29078014184397166</v>
      </c>
      <c r="R308" t="str">
        <f>IF(New_Finance_Data[[#This Row],[  Sales ]]&gt;=100000,"High",IF(New_Finance_Data[[#This Row],[  Sales ]]&gt;=50000,"Medium","Low"))</f>
        <v>Low</v>
      </c>
      <c r="S308" t="str">
        <f>IF(OR(ISBLANK(New_Finance_Data[[#This Row],[  Sales ]]),ISBLANK(New_Finance_Data[[#This Row],[ Profit ]])),"Missing","OK")</f>
        <v>OK</v>
      </c>
      <c r="T308" t="str">
        <f>TEXT(New_Finance_Data[[#This Row],[Date]],"MMM-YYYY")</f>
        <v>Aug-2014</v>
      </c>
      <c r="U308" t="str">
        <f>IF(New_Finance_Data[[#This Row],[ Profit ]]&gt;0,"Profit","Loss")</f>
        <v>Profit</v>
      </c>
      <c r="V308" t="str">
        <f>IF(New_Finance_Data[[#This Row],[  Sales ]]&gt;=50000,"High Sales","Low Sales")</f>
        <v>Low Sales</v>
      </c>
      <c r="W308" t="b">
        <f>ISNUMBER(New_Finance_Data[[#This Row],[Date]])</f>
        <v>1</v>
      </c>
    </row>
    <row r="309" spans="1:23" x14ac:dyDescent="0.2">
      <c r="A309" t="s">
        <v>21</v>
      </c>
      <c r="B309" t="s">
        <v>35</v>
      </c>
      <c r="C309" t="s">
        <v>36</v>
      </c>
      <c r="D309" t="s">
        <v>45</v>
      </c>
      <c r="E309" s="27">
        <v>1153</v>
      </c>
      <c r="F309" s="27">
        <v>10</v>
      </c>
      <c r="G309" s="27">
        <v>15</v>
      </c>
      <c r="H309" s="27">
        <v>17295</v>
      </c>
      <c r="I309" s="5">
        <v>1037.7</v>
      </c>
      <c r="J309" s="27">
        <v>16257.3</v>
      </c>
      <c r="K309" s="27">
        <v>11530</v>
      </c>
      <c r="L309" s="5">
        <v>4727.3</v>
      </c>
      <c r="M309" s="28">
        <v>41913</v>
      </c>
      <c r="N309" s="3">
        <v>10</v>
      </c>
      <c r="O309" s="29" t="s">
        <v>34</v>
      </c>
      <c r="P309" s="3">
        <v>2014</v>
      </c>
      <c r="Q309" s="6">
        <f>New_Finance_Data[[#This Row],[ Profit ]]/New_Finance_Data[[#This Row],[  Sales ]]</f>
        <v>0.29078014184397166</v>
      </c>
      <c r="R309" t="str">
        <f>IF(New_Finance_Data[[#This Row],[  Sales ]]&gt;=100000,"High",IF(New_Finance_Data[[#This Row],[  Sales ]]&gt;=50000,"Medium","Low"))</f>
        <v>Low</v>
      </c>
      <c r="S309" t="str">
        <f>IF(OR(ISBLANK(New_Finance_Data[[#This Row],[  Sales ]]),ISBLANK(New_Finance_Data[[#This Row],[ Profit ]])),"Missing","OK")</f>
        <v>OK</v>
      </c>
      <c r="T309" t="str">
        <f>TEXT(New_Finance_Data[[#This Row],[Date]],"MMM-YYYY")</f>
        <v>Oct-2014</v>
      </c>
      <c r="U309" t="str">
        <f>IF(New_Finance_Data[[#This Row],[ Profit ]]&gt;0,"Profit","Loss")</f>
        <v>Profit</v>
      </c>
      <c r="V309" t="str">
        <f>IF(New_Finance_Data[[#This Row],[  Sales ]]&gt;=50000,"High Sales","Low Sales")</f>
        <v>Low Sales</v>
      </c>
      <c r="W309" t="b">
        <f>ISNUMBER(New_Finance_Data[[#This Row],[Date]])</f>
        <v>1</v>
      </c>
    </row>
    <row r="310" spans="1:23" x14ac:dyDescent="0.2">
      <c r="A310" t="s">
        <v>15</v>
      </c>
      <c r="B310" t="s">
        <v>22</v>
      </c>
      <c r="C310" t="s">
        <v>36</v>
      </c>
      <c r="D310" t="s">
        <v>45</v>
      </c>
      <c r="E310" s="27">
        <v>1757</v>
      </c>
      <c r="F310" s="27">
        <v>10</v>
      </c>
      <c r="G310" s="27">
        <v>20</v>
      </c>
      <c r="H310" s="27">
        <v>35140</v>
      </c>
      <c r="I310" s="5">
        <v>2108.4</v>
      </c>
      <c r="J310" s="27">
        <v>33031.599999999999</v>
      </c>
      <c r="K310" s="27">
        <v>17570</v>
      </c>
      <c r="L310" s="5">
        <v>15461.6</v>
      </c>
      <c r="M310" s="28">
        <v>41548</v>
      </c>
      <c r="N310" s="3">
        <v>10</v>
      </c>
      <c r="O310" s="29" t="s">
        <v>34</v>
      </c>
      <c r="P310" s="3">
        <v>2013</v>
      </c>
      <c r="Q310" s="6">
        <f>New_Finance_Data[[#This Row],[ Profit ]]/New_Finance_Data[[#This Row],[  Sales ]]</f>
        <v>0.46808510638297873</v>
      </c>
      <c r="R310" t="str">
        <f>IF(New_Finance_Data[[#This Row],[  Sales ]]&gt;=100000,"High",IF(New_Finance_Data[[#This Row],[  Sales ]]&gt;=50000,"Medium","Low"))</f>
        <v>Low</v>
      </c>
      <c r="S310" t="str">
        <f>IF(OR(ISBLANK(New_Finance_Data[[#This Row],[  Sales ]]),ISBLANK(New_Finance_Data[[#This Row],[ Profit ]])),"Missing","OK")</f>
        <v>OK</v>
      </c>
      <c r="T310" t="str">
        <f>TEXT(New_Finance_Data[[#This Row],[Date]],"MMM-YYYY")</f>
        <v>Oct-2013</v>
      </c>
      <c r="U310" t="str">
        <f>IF(New_Finance_Data[[#This Row],[ Profit ]]&gt;0,"Profit","Loss")</f>
        <v>Profit</v>
      </c>
      <c r="V310" t="str">
        <f>IF(New_Finance_Data[[#This Row],[  Sales ]]&gt;=50000,"High Sales","Low Sales")</f>
        <v>Low Sales</v>
      </c>
      <c r="W310" t="b">
        <f>ISNUMBER(New_Finance_Data[[#This Row],[Date]])</f>
        <v>1</v>
      </c>
    </row>
    <row r="311" spans="1:23" x14ac:dyDescent="0.2">
      <c r="A311" t="s">
        <v>15</v>
      </c>
      <c r="B311" t="s">
        <v>20</v>
      </c>
      <c r="C311" t="s">
        <v>39</v>
      </c>
      <c r="D311" t="s">
        <v>45</v>
      </c>
      <c r="E311" s="27">
        <v>1001</v>
      </c>
      <c r="F311" s="27">
        <v>120</v>
      </c>
      <c r="G311" s="27">
        <v>20</v>
      </c>
      <c r="H311" s="27">
        <v>20020</v>
      </c>
      <c r="I311" s="5">
        <v>1201.2</v>
      </c>
      <c r="J311" s="27">
        <v>18818.8</v>
      </c>
      <c r="K311" s="27">
        <v>10010</v>
      </c>
      <c r="L311" s="5">
        <v>8808.7999999999993</v>
      </c>
      <c r="M311" s="28">
        <v>41852</v>
      </c>
      <c r="N311" s="3">
        <v>8</v>
      </c>
      <c r="O311" s="29" t="s">
        <v>32</v>
      </c>
      <c r="P311" s="3">
        <v>2014</v>
      </c>
      <c r="Q311" s="6">
        <f>New_Finance_Data[[#This Row],[ Profit ]]/New_Finance_Data[[#This Row],[  Sales ]]</f>
        <v>0.46808510638297868</v>
      </c>
      <c r="R311" t="str">
        <f>IF(New_Finance_Data[[#This Row],[  Sales ]]&gt;=100000,"High",IF(New_Finance_Data[[#This Row],[  Sales ]]&gt;=50000,"Medium","Low"))</f>
        <v>Low</v>
      </c>
      <c r="S311" t="str">
        <f>IF(OR(ISBLANK(New_Finance_Data[[#This Row],[  Sales ]]),ISBLANK(New_Finance_Data[[#This Row],[ Profit ]])),"Missing","OK")</f>
        <v>OK</v>
      </c>
      <c r="T311" t="str">
        <f>TEXT(New_Finance_Data[[#This Row],[Date]],"MMM-YYYY")</f>
        <v>Aug-2014</v>
      </c>
      <c r="U311" t="str">
        <f>IF(New_Finance_Data[[#This Row],[ Profit ]]&gt;0,"Profit","Loss")</f>
        <v>Profit</v>
      </c>
      <c r="V311" t="str">
        <f>IF(New_Finance_Data[[#This Row],[  Sales ]]&gt;=50000,"High Sales","Low Sales")</f>
        <v>Low Sales</v>
      </c>
      <c r="W311" t="b">
        <f>ISNUMBER(New_Finance_Data[[#This Row],[Date]])</f>
        <v>1</v>
      </c>
    </row>
    <row r="312" spans="1:23" x14ac:dyDescent="0.2">
      <c r="A312" t="s">
        <v>15</v>
      </c>
      <c r="B312" t="s">
        <v>24</v>
      </c>
      <c r="C312" t="s">
        <v>39</v>
      </c>
      <c r="D312" t="s">
        <v>45</v>
      </c>
      <c r="E312" s="27">
        <v>1333</v>
      </c>
      <c r="F312" s="27">
        <v>120</v>
      </c>
      <c r="G312" s="27">
        <v>7</v>
      </c>
      <c r="H312" s="27">
        <v>9331</v>
      </c>
      <c r="I312" s="5">
        <v>559.86</v>
      </c>
      <c r="J312" s="27">
        <v>8771.14</v>
      </c>
      <c r="K312" s="27">
        <v>6665</v>
      </c>
      <c r="L312" s="5">
        <v>2106.14</v>
      </c>
      <c r="M312" s="28">
        <v>41944</v>
      </c>
      <c r="N312" s="3">
        <v>11</v>
      </c>
      <c r="O312" s="29" t="s">
        <v>38</v>
      </c>
      <c r="P312" s="3">
        <v>2014</v>
      </c>
      <c r="Q312" s="6">
        <f>New_Finance_Data[[#This Row],[ Profit ]]/New_Finance_Data[[#This Row],[  Sales ]]</f>
        <v>0.24012158054711247</v>
      </c>
      <c r="R312" t="str">
        <f>IF(New_Finance_Data[[#This Row],[  Sales ]]&gt;=100000,"High",IF(New_Finance_Data[[#This Row],[  Sales ]]&gt;=50000,"Medium","Low"))</f>
        <v>Low</v>
      </c>
      <c r="S312" t="str">
        <f>IF(OR(ISBLANK(New_Finance_Data[[#This Row],[  Sales ]]),ISBLANK(New_Finance_Data[[#This Row],[ Profit ]])),"Missing","OK")</f>
        <v>OK</v>
      </c>
      <c r="T312" t="str">
        <f>TEXT(New_Finance_Data[[#This Row],[Date]],"MMM-YYYY")</f>
        <v>Nov-2014</v>
      </c>
      <c r="U312" t="str">
        <f>IF(New_Finance_Data[[#This Row],[ Profit ]]&gt;0,"Profit","Loss")</f>
        <v>Profit</v>
      </c>
      <c r="V312" t="str">
        <f>IF(New_Finance_Data[[#This Row],[  Sales ]]&gt;=50000,"High Sales","Low Sales")</f>
        <v>Low Sales</v>
      </c>
      <c r="W312" t="b">
        <f>ISNUMBER(New_Finance_Data[[#This Row],[Date]])</f>
        <v>1</v>
      </c>
    </row>
    <row r="313" spans="1:23" x14ac:dyDescent="0.2">
      <c r="A313" t="s">
        <v>21</v>
      </c>
      <c r="B313" t="s">
        <v>35</v>
      </c>
      <c r="C313" t="s">
        <v>40</v>
      </c>
      <c r="D313" t="s">
        <v>45</v>
      </c>
      <c r="E313" s="27">
        <v>1153</v>
      </c>
      <c r="F313" s="27">
        <v>250</v>
      </c>
      <c r="G313" s="27">
        <v>15</v>
      </c>
      <c r="H313" s="27">
        <v>17295</v>
      </c>
      <c r="I313" s="5">
        <v>1037.7</v>
      </c>
      <c r="J313" s="27">
        <v>16257.3</v>
      </c>
      <c r="K313" s="27">
        <v>11530</v>
      </c>
      <c r="L313" s="5">
        <v>4727.3</v>
      </c>
      <c r="M313" s="28">
        <v>41913</v>
      </c>
      <c r="N313" s="3">
        <v>10</v>
      </c>
      <c r="O313" s="29" t="s">
        <v>34</v>
      </c>
      <c r="P313" s="3">
        <v>2014</v>
      </c>
      <c r="Q313" s="6">
        <f>New_Finance_Data[[#This Row],[ Profit ]]/New_Finance_Data[[#This Row],[  Sales ]]</f>
        <v>0.29078014184397166</v>
      </c>
      <c r="R313" t="str">
        <f>IF(New_Finance_Data[[#This Row],[  Sales ]]&gt;=100000,"High",IF(New_Finance_Data[[#This Row],[  Sales ]]&gt;=50000,"Medium","Low"))</f>
        <v>Low</v>
      </c>
      <c r="S313" t="str">
        <f>IF(OR(ISBLANK(New_Finance_Data[[#This Row],[  Sales ]]),ISBLANK(New_Finance_Data[[#This Row],[ Profit ]])),"Missing","OK")</f>
        <v>OK</v>
      </c>
      <c r="T313" t="str">
        <f>TEXT(New_Finance_Data[[#This Row],[Date]],"MMM-YYYY")</f>
        <v>Oct-2014</v>
      </c>
      <c r="U313" t="str">
        <f>IF(New_Finance_Data[[#This Row],[ Profit ]]&gt;0,"Profit","Loss")</f>
        <v>Profit</v>
      </c>
      <c r="V313" t="str">
        <f>IF(New_Finance_Data[[#This Row],[  Sales ]]&gt;=50000,"High Sales","Low Sales")</f>
        <v>Low Sales</v>
      </c>
      <c r="W313" t="b">
        <f>ISNUMBER(New_Finance_Data[[#This Row],[Date]])</f>
        <v>1</v>
      </c>
    </row>
    <row r="314" spans="1:23" x14ac:dyDescent="0.2">
      <c r="A314" t="s">
        <v>28</v>
      </c>
      <c r="B314" t="s">
        <v>24</v>
      </c>
      <c r="C314" t="s">
        <v>17</v>
      </c>
      <c r="D314" t="s">
        <v>45</v>
      </c>
      <c r="E314" s="27">
        <v>727</v>
      </c>
      <c r="F314" s="27">
        <v>3</v>
      </c>
      <c r="G314" s="27">
        <v>12</v>
      </c>
      <c r="H314" s="27">
        <v>8724</v>
      </c>
      <c r="I314" s="5">
        <v>610.67999999999995</v>
      </c>
      <c r="J314" s="27">
        <v>8113.32</v>
      </c>
      <c r="K314" s="27">
        <v>2181</v>
      </c>
      <c r="L314" s="5">
        <v>5932.32</v>
      </c>
      <c r="M314" s="28">
        <v>41671</v>
      </c>
      <c r="N314" s="3">
        <v>2</v>
      </c>
      <c r="O314" s="29" t="s">
        <v>37</v>
      </c>
      <c r="P314" s="3">
        <v>2014</v>
      </c>
      <c r="Q314" s="6">
        <f>New_Finance_Data[[#This Row],[ Profit ]]/New_Finance_Data[[#This Row],[  Sales ]]</f>
        <v>0.73118279569892475</v>
      </c>
      <c r="R314" t="str">
        <f>IF(New_Finance_Data[[#This Row],[  Sales ]]&gt;=100000,"High",IF(New_Finance_Data[[#This Row],[  Sales ]]&gt;=50000,"Medium","Low"))</f>
        <v>Low</v>
      </c>
      <c r="S314" t="str">
        <f>IF(OR(ISBLANK(New_Finance_Data[[#This Row],[  Sales ]]),ISBLANK(New_Finance_Data[[#This Row],[ Profit ]])),"Missing","OK")</f>
        <v>OK</v>
      </c>
      <c r="T314" t="str">
        <f>TEXT(New_Finance_Data[[#This Row],[Date]],"MMM-YYYY")</f>
        <v>Feb-2014</v>
      </c>
      <c r="U314" t="str">
        <f>IF(New_Finance_Data[[#This Row],[ Profit ]]&gt;0,"Profit","Loss")</f>
        <v>Profit</v>
      </c>
      <c r="V314" t="str">
        <f>IF(New_Finance_Data[[#This Row],[  Sales ]]&gt;=50000,"High Sales","Low Sales")</f>
        <v>Low Sales</v>
      </c>
      <c r="W314" t="b">
        <f>ISNUMBER(New_Finance_Data[[#This Row],[Date]])</f>
        <v>1</v>
      </c>
    </row>
    <row r="315" spans="1:23" x14ac:dyDescent="0.2">
      <c r="A315" t="s">
        <v>28</v>
      </c>
      <c r="B315" t="s">
        <v>16</v>
      </c>
      <c r="C315" t="s">
        <v>17</v>
      </c>
      <c r="D315" t="s">
        <v>45</v>
      </c>
      <c r="E315" s="27">
        <v>1884</v>
      </c>
      <c r="F315" s="27">
        <v>3</v>
      </c>
      <c r="G315" s="27">
        <v>12</v>
      </c>
      <c r="H315" s="27">
        <v>22608</v>
      </c>
      <c r="I315" s="5">
        <v>1582.56</v>
      </c>
      <c r="J315" s="27">
        <v>21025.439999999999</v>
      </c>
      <c r="K315" s="27">
        <v>5652</v>
      </c>
      <c r="L315" s="5">
        <v>15373.44</v>
      </c>
      <c r="M315" s="28">
        <v>41852</v>
      </c>
      <c r="N315" s="3">
        <v>8</v>
      </c>
      <c r="O315" s="29" t="s">
        <v>32</v>
      </c>
      <c r="P315" s="3">
        <v>2014</v>
      </c>
      <c r="Q315" s="6">
        <f>New_Finance_Data[[#This Row],[ Profit ]]/New_Finance_Data[[#This Row],[  Sales ]]</f>
        <v>0.73118279569892475</v>
      </c>
      <c r="R315" t="str">
        <f>IF(New_Finance_Data[[#This Row],[  Sales ]]&gt;=100000,"High",IF(New_Finance_Data[[#This Row],[  Sales ]]&gt;=50000,"Medium","Low"))</f>
        <v>Low</v>
      </c>
      <c r="S315" t="str">
        <f>IF(OR(ISBLANK(New_Finance_Data[[#This Row],[  Sales ]]),ISBLANK(New_Finance_Data[[#This Row],[ Profit ]])),"Missing","OK")</f>
        <v>OK</v>
      </c>
      <c r="T315" t="str">
        <f>TEXT(New_Finance_Data[[#This Row],[Date]],"MMM-YYYY")</f>
        <v>Aug-2014</v>
      </c>
      <c r="U315" t="str">
        <f>IF(New_Finance_Data[[#This Row],[ Profit ]]&gt;0,"Profit","Loss")</f>
        <v>Profit</v>
      </c>
      <c r="V315" t="str">
        <f>IF(New_Finance_Data[[#This Row],[  Sales ]]&gt;=50000,"High Sales","Low Sales")</f>
        <v>Low Sales</v>
      </c>
      <c r="W315" t="b">
        <f>ISNUMBER(New_Finance_Data[[#This Row],[Date]])</f>
        <v>1</v>
      </c>
    </row>
    <row r="316" spans="1:23" x14ac:dyDescent="0.2">
      <c r="A316" t="s">
        <v>15</v>
      </c>
      <c r="B316" t="s">
        <v>24</v>
      </c>
      <c r="C316" t="s">
        <v>17</v>
      </c>
      <c r="D316" t="s">
        <v>45</v>
      </c>
      <c r="E316" s="27">
        <v>1834</v>
      </c>
      <c r="F316" s="27">
        <v>3</v>
      </c>
      <c r="G316" s="27">
        <v>20</v>
      </c>
      <c r="H316" s="27">
        <v>36680</v>
      </c>
      <c r="I316" s="5">
        <v>2567.6</v>
      </c>
      <c r="J316" s="27">
        <v>34112.400000000001</v>
      </c>
      <c r="K316" s="27">
        <v>18340</v>
      </c>
      <c r="L316" s="5">
        <v>15772.4</v>
      </c>
      <c r="M316" s="28">
        <v>41518</v>
      </c>
      <c r="N316" s="3">
        <v>9</v>
      </c>
      <c r="O316" s="29" t="s">
        <v>33</v>
      </c>
      <c r="P316" s="3">
        <v>2013</v>
      </c>
      <c r="Q316" s="6">
        <f>New_Finance_Data[[#This Row],[ Profit ]]/New_Finance_Data[[#This Row],[  Sales ]]</f>
        <v>0.46236559139784944</v>
      </c>
      <c r="R316" t="str">
        <f>IF(New_Finance_Data[[#This Row],[  Sales ]]&gt;=100000,"High",IF(New_Finance_Data[[#This Row],[  Sales ]]&gt;=50000,"Medium","Low"))</f>
        <v>Low</v>
      </c>
      <c r="S316" t="str">
        <f>IF(OR(ISBLANK(New_Finance_Data[[#This Row],[  Sales ]]),ISBLANK(New_Finance_Data[[#This Row],[ Profit ]])),"Missing","OK")</f>
        <v>OK</v>
      </c>
      <c r="T316" t="str">
        <f>TEXT(New_Finance_Data[[#This Row],[Date]],"MMM-YYYY")</f>
        <v>Sep-2013</v>
      </c>
      <c r="U316" t="str">
        <f>IF(New_Finance_Data[[#This Row],[ Profit ]]&gt;0,"Profit","Loss")</f>
        <v>Profit</v>
      </c>
      <c r="V316" t="str">
        <f>IF(New_Finance_Data[[#This Row],[  Sales ]]&gt;=50000,"High Sales","Low Sales")</f>
        <v>Low Sales</v>
      </c>
      <c r="W316" t="b">
        <f>ISNUMBER(New_Finance_Data[[#This Row],[Date]])</f>
        <v>1</v>
      </c>
    </row>
    <row r="317" spans="1:23" x14ac:dyDescent="0.2">
      <c r="A317" t="s">
        <v>28</v>
      </c>
      <c r="B317" t="s">
        <v>24</v>
      </c>
      <c r="C317" t="s">
        <v>26</v>
      </c>
      <c r="D317" t="s">
        <v>45</v>
      </c>
      <c r="E317" s="27">
        <v>2340</v>
      </c>
      <c r="F317" s="27">
        <v>5</v>
      </c>
      <c r="G317" s="27">
        <v>12</v>
      </c>
      <c r="H317" s="27">
        <v>28080</v>
      </c>
      <c r="I317" s="5">
        <v>1965.6</v>
      </c>
      <c r="J317" s="27">
        <v>26114.400000000001</v>
      </c>
      <c r="K317" s="27">
        <v>7020</v>
      </c>
      <c r="L317" s="5">
        <v>19094.400000000001</v>
      </c>
      <c r="M317" s="28">
        <v>41640</v>
      </c>
      <c r="N317" s="3">
        <v>1</v>
      </c>
      <c r="O317" s="29" t="s">
        <v>19</v>
      </c>
      <c r="P317" s="3">
        <v>2014</v>
      </c>
      <c r="Q317" s="6">
        <f>New_Finance_Data[[#This Row],[ Profit ]]/New_Finance_Data[[#This Row],[  Sales ]]</f>
        <v>0.73118279569892475</v>
      </c>
      <c r="R317" t="str">
        <f>IF(New_Finance_Data[[#This Row],[  Sales ]]&gt;=100000,"High",IF(New_Finance_Data[[#This Row],[  Sales ]]&gt;=50000,"Medium","Low"))</f>
        <v>Low</v>
      </c>
      <c r="S317" t="str">
        <f>IF(OR(ISBLANK(New_Finance_Data[[#This Row],[  Sales ]]),ISBLANK(New_Finance_Data[[#This Row],[ Profit ]])),"Missing","OK")</f>
        <v>OK</v>
      </c>
      <c r="T317" t="str">
        <f>TEXT(New_Finance_Data[[#This Row],[Date]],"MMM-YYYY")</f>
        <v>Jan-2014</v>
      </c>
      <c r="U317" t="str">
        <f>IF(New_Finance_Data[[#This Row],[ Profit ]]&gt;0,"Profit","Loss")</f>
        <v>Profit</v>
      </c>
      <c r="V317" t="str">
        <f>IF(New_Finance_Data[[#This Row],[  Sales ]]&gt;=50000,"High Sales","Low Sales")</f>
        <v>Low Sales</v>
      </c>
      <c r="W317" t="b">
        <f>ISNUMBER(New_Finance_Data[[#This Row],[Date]])</f>
        <v>1</v>
      </c>
    </row>
    <row r="318" spans="1:23" x14ac:dyDescent="0.2">
      <c r="A318" t="s">
        <v>28</v>
      </c>
      <c r="B318" t="s">
        <v>22</v>
      </c>
      <c r="C318" t="s">
        <v>26</v>
      </c>
      <c r="D318" t="s">
        <v>45</v>
      </c>
      <c r="E318" s="27">
        <v>2342</v>
      </c>
      <c r="F318" s="27">
        <v>5</v>
      </c>
      <c r="G318" s="27">
        <v>12</v>
      </c>
      <c r="H318" s="27">
        <v>28104</v>
      </c>
      <c r="I318" s="5">
        <v>1967.28</v>
      </c>
      <c r="J318" s="27">
        <v>26136.720000000001</v>
      </c>
      <c r="K318" s="27">
        <v>7026</v>
      </c>
      <c r="L318" s="5">
        <v>19110.72</v>
      </c>
      <c r="M318" s="28">
        <v>41944</v>
      </c>
      <c r="N318" s="3">
        <v>11</v>
      </c>
      <c r="O318" s="29" t="s">
        <v>38</v>
      </c>
      <c r="P318" s="3">
        <v>2014</v>
      </c>
      <c r="Q318" s="6">
        <f>New_Finance_Data[[#This Row],[ Profit ]]/New_Finance_Data[[#This Row],[  Sales ]]</f>
        <v>0.73118279569892475</v>
      </c>
      <c r="R318" t="str">
        <f>IF(New_Finance_Data[[#This Row],[  Sales ]]&gt;=100000,"High",IF(New_Finance_Data[[#This Row],[  Sales ]]&gt;=50000,"Medium","Low"))</f>
        <v>Low</v>
      </c>
      <c r="S318" t="str">
        <f>IF(OR(ISBLANK(New_Finance_Data[[#This Row],[  Sales ]]),ISBLANK(New_Finance_Data[[#This Row],[ Profit ]])),"Missing","OK")</f>
        <v>OK</v>
      </c>
      <c r="T318" t="str">
        <f>TEXT(New_Finance_Data[[#This Row],[Date]],"MMM-YYYY")</f>
        <v>Nov-2014</v>
      </c>
      <c r="U318" t="str">
        <f>IF(New_Finance_Data[[#This Row],[ Profit ]]&gt;0,"Profit","Loss")</f>
        <v>Profit</v>
      </c>
      <c r="V318" t="str">
        <f>IF(New_Finance_Data[[#This Row],[  Sales ]]&gt;=50000,"High Sales","Low Sales")</f>
        <v>Low Sales</v>
      </c>
      <c r="W318" t="b">
        <f>ISNUMBER(New_Finance_Data[[#This Row],[Date]])</f>
        <v>1</v>
      </c>
    </row>
    <row r="319" spans="1:23" x14ac:dyDescent="0.2">
      <c r="A319" t="s">
        <v>15</v>
      </c>
      <c r="B319" t="s">
        <v>22</v>
      </c>
      <c r="C319" t="s">
        <v>36</v>
      </c>
      <c r="D319" t="s">
        <v>45</v>
      </c>
      <c r="E319" s="27">
        <v>1031</v>
      </c>
      <c r="F319" s="27">
        <v>10</v>
      </c>
      <c r="G319" s="27">
        <v>7</v>
      </c>
      <c r="H319" s="27">
        <v>7217</v>
      </c>
      <c r="I319" s="5">
        <v>505.19</v>
      </c>
      <c r="J319" s="27">
        <v>6711.81</v>
      </c>
      <c r="K319" s="27">
        <v>5155</v>
      </c>
      <c r="L319" s="5">
        <v>1556.81</v>
      </c>
      <c r="M319" s="28">
        <v>41518</v>
      </c>
      <c r="N319" s="3">
        <v>9</v>
      </c>
      <c r="O319" s="29" t="s">
        <v>33</v>
      </c>
      <c r="P319" s="3">
        <v>2013</v>
      </c>
      <c r="Q319" s="6">
        <f>New_Finance_Data[[#This Row],[ Profit ]]/New_Finance_Data[[#This Row],[  Sales ]]</f>
        <v>0.23195084485407064</v>
      </c>
      <c r="R319" t="str">
        <f>IF(New_Finance_Data[[#This Row],[  Sales ]]&gt;=100000,"High",IF(New_Finance_Data[[#This Row],[  Sales ]]&gt;=50000,"Medium","Low"))</f>
        <v>Low</v>
      </c>
      <c r="S319" t="str">
        <f>IF(OR(ISBLANK(New_Finance_Data[[#This Row],[  Sales ]]),ISBLANK(New_Finance_Data[[#This Row],[ Profit ]])),"Missing","OK")</f>
        <v>OK</v>
      </c>
      <c r="T319" t="str">
        <f>TEXT(New_Finance_Data[[#This Row],[Date]],"MMM-YYYY")</f>
        <v>Sep-2013</v>
      </c>
      <c r="U319" t="str">
        <f>IF(New_Finance_Data[[#This Row],[ Profit ]]&gt;0,"Profit","Loss")</f>
        <v>Profit</v>
      </c>
      <c r="V319" t="str">
        <f>IF(New_Finance_Data[[#This Row],[  Sales ]]&gt;=50000,"High Sales","Low Sales")</f>
        <v>Low Sales</v>
      </c>
      <c r="W319" t="b">
        <f>ISNUMBER(New_Finance_Data[[#This Row],[Date]])</f>
        <v>1</v>
      </c>
    </row>
    <row r="320" spans="1:23" x14ac:dyDescent="0.2">
      <c r="A320" t="s">
        <v>21</v>
      </c>
      <c r="B320" t="s">
        <v>16</v>
      </c>
      <c r="C320" t="s">
        <v>39</v>
      </c>
      <c r="D320" t="s">
        <v>45</v>
      </c>
      <c r="E320" s="27">
        <v>1262</v>
      </c>
      <c r="F320" s="27">
        <v>120</v>
      </c>
      <c r="G320" s="27">
        <v>15</v>
      </c>
      <c r="H320" s="27">
        <v>18930</v>
      </c>
      <c r="I320" s="5">
        <v>1325.1</v>
      </c>
      <c r="J320" s="27">
        <v>17604.900000000001</v>
      </c>
      <c r="K320" s="27">
        <v>12620</v>
      </c>
      <c r="L320" s="5">
        <v>4984.8999999999996</v>
      </c>
      <c r="M320" s="28">
        <v>41760</v>
      </c>
      <c r="N320" s="3">
        <v>5</v>
      </c>
      <c r="O320" s="29" t="s">
        <v>44</v>
      </c>
      <c r="P320" s="3">
        <v>2014</v>
      </c>
      <c r="Q320" s="6">
        <f>New_Finance_Data[[#This Row],[ Profit ]]/New_Finance_Data[[#This Row],[  Sales ]]</f>
        <v>0.28315412186379924</v>
      </c>
      <c r="R320" t="str">
        <f>IF(New_Finance_Data[[#This Row],[  Sales ]]&gt;=100000,"High",IF(New_Finance_Data[[#This Row],[  Sales ]]&gt;=50000,"Medium","Low"))</f>
        <v>Low</v>
      </c>
      <c r="S320" t="str">
        <f>IF(OR(ISBLANK(New_Finance_Data[[#This Row],[  Sales ]]),ISBLANK(New_Finance_Data[[#This Row],[ Profit ]])),"Missing","OK")</f>
        <v>OK</v>
      </c>
      <c r="T320" t="str">
        <f>TEXT(New_Finance_Data[[#This Row],[Date]],"MMM-YYYY")</f>
        <v>May-2014</v>
      </c>
      <c r="U320" t="str">
        <f>IF(New_Finance_Data[[#This Row],[ Profit ]]&gt;0,"Profit","Loss")</f>
        <v>Profit</v>
      </c>
      <c r="V320" t="str">
        <f>IF(New_Finance_Data[[#This Row],[  Sales ]]&gt;=50000,"High Sales","Low Sales")</f>
        <v>Low Sales</v>
      </c>
      <c r="W320" t="b">
        <f>ISNUMBER(New_Finance_Data[[#This Row],[Date]])</f>
        <v>1</v>
      </c>
    </row>
    <row r="321" spans="1:23" x14ac:dyDescent="0.2">
      <c r="A321" t="s">
        <v>15</v>
      </c>
      <c r="B321" t="s">
        <v>16</v>
      </c>
      <c r="C321" t="s">
        <v>39</v>
      </c>
      <c r="D321" t="s">
        <v>45</v>
      </c>
      <c r="E321" s="27">
        <v>1135</v>
      </c>
      <c r="F321" s="27">
        <v>120</v>
      </c>
      <c r="G321" s="27">
        <v>7</v>
      </c>
      <c r="H321" s="27">
        <v>7945</v>
      </c>
      <c r="I321" s="5">
        <v>556.15</v>
      </c>
      <c r="J321" s="27">
        <v>7388.85</v>
      </c>
      <c r="K321" s="27">
        <v>5675</v>
      </c>
      <c r="L321" s="5">
        <v>1713.85</v>
      </c>
      <c r="M321" s="28">
        <v>41791</v>
      </c>
      <c r="N321" s="3">
        <v>6</v>
      </c>
      <c r="O321" s="29" t="s">
        <v>23</v>
      </c>
      <c r="P321" s="3">
        <v>2014</v>
      </c>
      <c r="Q321" s="6">
        <f>New_Finance_Data[[#This Row],[ Profit ]]/New_Finance_Data[[#This Row],[  Sales ]]</f>
        <v>0.23195084485407064</v>
      </c>
      <c r="R321" t="str">
        <f>IF(New_Finance_Data[[#This Row],[  Sales ]]&gt;=100000,"High",IF(New_Finance_Data[[#This Row],[  Sales ]]&gt;=50000,"Medium","Low"))</f>
        <v>Low</v>
      </c>
      <c r="S321" t="str">
        <f>IF(OR(ISBLANK(New_Finance_Data[[#This Row],[  Sales ]]),ISBLANK(New_Finance_Data[[#This Row],[ Profit ]])),"Missing","OK")</f>
        <v>OK</v>
      </c>
      <c r="T321" t="str">
        <f>TEXT(New_Finance_Data[[#This Row],[Date]],"MMM-YYYY")</f>
        <v>Jun-2014</v>
      </c>
      <c r="U321" t="str">
        <f>IF(New_Finance_Data[[#This Row],[ Profit ]]&gt;0,"Profit","Loss")</f>
        <v>Profit</v>
      </c>
      <c r="V321" t="str">
        <f>IF(New_Finance_Data[[#This Row],[  Sales ]]&gt;=50000,"High Sales","Low Sales")</f>
        <v>Low Sales</v>
      </c>
      <c r="W321" t="b">
        <f>ISNUMBER(New_Finance_Data[[#This Row],[Date]])</f>
        <v>1</v>
      </c>
    </row>
    <row r="322" spans="1:23" x14ac:dyDescent="0.2">
      <c r="A322" t="s">
        <v>15</v>
      </c>
      <c r="B322" t="s">
        <v>35</v>
      </c>
      <c r="C322" t="s">
        <v>39</v>
      </c>
      <c r="D322" t="s">
        <v>45</v>
      </c>
      <c r="E322" s="27">
        <v>547</v>
      </c>
      <c r="F322" s="27">
        <v>120</v>
      </c>
      <c r="G322" s="27">
        <v>7</v>
      </c>
      <c r="H322" s="27">
        <v>3829</v>
      </c>
      <c r="I322" s="5">
        <v>268.02999999999997</v>
      </c>
      <c r="J322" s="27">
        <v>3560.97</v>
      </c>
      <c r="K322" s="27">
        <v>2735</v>
      </c>
      <c r="L322" s="5">
        <v>825.97</v>
      </c>
      <c r="M322" s="28">
        <v>41944</v>
      </c>
      <c r="N322" s="3">
        <v>11</v>
      </c>
      <c r="O322" s="29" t="s">
        <v>38</v>
      </c>
      <c r="P322" s="3">
        <v>2014</v>
      </c>
      <c r="Q322" s="6">
        <f>New_Finance_Data[[#This Row],[ Profit ]]/New_Finance_Data[[#This Row],[  Sales ]]</f>
        <v>0.23195084485407069</v>
      </c>
      <c r="R322" t="str">
        <f>IF(New_Finance_Data[[#This Row],[  Sales ]]&gt;=100000,"High",IF(New_Finance_Data[[#This Row],[  Sales ]]&gt;=50000,"Medium","Low"))</f>
        <v>Low</v>
      </c>
      <c r="S322" t="str">
        <f>IF(OR(ISBLANK(New_Finance_Data[[#This Row],[  Sales ]]),ISBLANK(New_Finance_Data[[#This Row],[ Profit ]])),"Missing","OK")</f>
        <v>OK</v>
      </c>
      <c r="T322" t="str">
        <f>TEXT(New_Finance_Data[[#This Row],[Date]],"MMM-YYYY")</f>
        <v>Nov-2014</v>
      </c>
      <c r="U322" t="str">
        <f>IF(New_Finance_Data[[#This Row],[ Profit ]]&gt;0,"Profit","Loss")</f>
        <v>Profit</v>
      </c>
      <c r="V322" t="str">
        <f>IF(New_Finance_Data[[#This Row],[  Sales ]]&gt;=50000,"High Sales","Low Sales")</f>
        <v>Low Sales</v>
      </c>
      <c r="W322" t="b">
        <f>ISNUMBER(New_Finance_Data[[#This Row],[Date]])</f>
        <v>1</v>
      </c>
    </row>
    <row r="323" spans="1:23" x14ac:dyDescent="0.2">
      <c r="A323" t="s">
        <v>15</v>
      </c>
      <c r="B323" t="s">
        <v>16</v>
      </c>
      <c r="C323" t="s">
        <v>39</v>
      </c>
      <c r="D323" t="s">
        <v>45</v>
      </c>
      <c r="E323" s="27">
        <v>1582</v>
      </c>
      <c r="F323" s="27">
        <v>120</v>
      </c>
      <c r="G323" s="27">
        <v>7</v>
      </c>
      <c r="H323" s="27">
        <v>11074</v>
      </c>
      <c r="I323" s="5">
        <v>775.18</v>
      </c>
      <c r="J323" s="27">
        <v>10298.82</v>
      </c>
      <c r="K323" s="27">
        <v>7910</v>
      </c>
      <c r="L323" s="5">
        <v>2388.8200000000002</v>
      </c>
      <c r="M323" s="28">
        <v>41974</v>
      </c>
      <c r="N323" s="3">
        <v>12</v>
      </c>
      <c r="O323" s="29" t="s">
        <v>25</v>
      </c>
      <c r="P323" s="3">
        <v>2014</v>
      </c>
      <c r="Q323" s="6">
        <f>New_Finance_Data[[#This Row],[ Profit ]]/New_Finance_Data[[#This Row],[  Sales ]]</f>
        <v>0.23195084485407069</v>
      </c>
      <c r="R323" t="str">
        <f>IF(New_Finance_Data[[#This Row],[  Sales ]]&gt;=100000,"High",IF(New_Finance_Data[[#This Row],[  Sales ]]&gt;=50000,"Medium","Low"))</f>
        <v>Low</v>
      </c>
      <c r="S323" t="str">
        <f>IF(OR(ISBLANK(New_Finance_Data[[#This Row],[  Sales ]]),ISBLANK(New_Finance_Data[[#This Row],[ Profit ]])),"Missing","OK")</f>
        <v>OK</v>
      </c>
      <c r="T323" t="str">
        <f>TEXT(New_Finance_Data[[#This Row],[Date]],"MMM-YYYY")</f>
        <v>Dec-2014</v>
      </c>
      <c r="U323" t="str">
        <f>IF(New_Finance_Data[[#This Row],[ Profit ]]&gt;0,"Profit","Loss")</f>
        <v>Profit</v>
      </c>
      <c r="V323" t="str">
        <f>IF(New_Finance_Data[[#This Row],[  Sales ]]&gt;=50000,"High Sales","Low Sales")</f>
        <v>Low Sales</v>
      </c>
      <c r="W323" t="b">
        <f>ISNUMBER(New_Finance_Data[[#This Row],[Date]])</f>
        <v>1</v>
      </c>
    </row>
    <row r="324" spans="1:23" x14ac:dyDescent="0.2">
      <c r="A324" t="s">
        <v>28</v>
      </c>
      <c r="B324" t="s">
        <v>22</v>
      </c>
      <c r="C324" t="s">
        <v>40</v>
      </c>
      <c r="D324" t="s">
        <v>45</v>
      </c>
      <c r="E324" s="27">
        <v>1738.5</v>
      </c>
      <c r="F324" s="27">
        <v>250</v>
      </c>
      <c r="G324" s="27">
        <v>12</v>
      </c>
      <c r="H324" s="27">
        <v>20862</v>
      </c>
      <c r="I324" s="5">
        <v>1460.34</v>
      </c>
      <c r="J324" s="27">
        <v>19401.66</v>
      </c>
      <c r="K324" s="27">
        <v>5215.5</v>
      </c>
      <c r="L324" s="5">
        <v>14186.16</v>
      </c>
      <c r="M324" s="28">
        <v>41730</v>
      </c>
      <c r="N324" s="3">
        <v>4</v>
      </c>
      <c r="O324" s="29" t="s">
        <v>41</v>
      </c>
      <c r="P324" s="3">
        <v>2014</v>
      </c>
      <c r="Q324" s="6">
        <f>New_Finance_Data[[#This Row],[ Profit ]]/New_Finance_Data[[#This Row],[  Sales ]]</f>
        <v>0.73118279569892475</v>
      </c>
      <c r="R324" t="str">
        <f>IF(New_Finance_Data[[#This Row],[  Sales ]]&gt;=100000,"High",IF(New_Finance_Data[[#This Row],[  Sales ]]&gt;=50000,"Medium","Low"))</f>
        <v>Low</v>
      </c>
      <c r="S324" t="str">
        <f>IF(OR(ISBLANK(New_Finance_Data[[#This Row],[  Sales ]]),ISBLANK(New_Finance_Data[[#This Row],[ Profit ]])),"Missing","OK")</f>
        <v>OK</v>
      </c>
      <c r="T324" t="str">
        <f>TEXT(New_Finance_Data[[#This Row],[Date]],"MMM-YYYY")</f>
        <v>Apr-2014</v>
      </c>
      <c r="U324" t="str">
        <f>IF(New_Finance_Data[[#This Row],[ Profit ]]&gt;0,"Profit","Loss")</f>
        <v>Profit</v>
      </c>
      <c r="V324" t="str">
        <f>IF(New_Finance_Data[[#This Row],[  Sales ]]&gt;=50000,"High Sales","Low Sales")</f>
        <v>Low Sales</v>
      </c>
      <c r="W324" t="b">
        <f>ISNUMBER(New_Finance_Data[[#This Row],[Date]])</f>
        <v>1</v>
      </c>
    </row>
    <row r="325" spans="1:23" x14ac:dyDescent="0.2">
      <c r="A325" t="s">
        <v>28</v>
      </c>
      <c r="B325" t="s">
        <v>20</v>
      </c>
      <c r="C325" t="s">
        <v>40</v>
      </c>
      <c r="D325" t="s">
        <v>45</v>
      </c>
      <c r="E325" s="27">
        <v>2215</v>
      </c>
      <c r="F325" s="27">
        <v>250</v>
      </c>
      <c r="G325" s="27">
        <v>12</v>
      </c>
      <c r="H325" s="27">
        <v>26580</v>
      </c>
      <c r="I325" s="5">
        <v>1860.6</v>
      </c>
      <c r="J325" s="27">
        <v>24719.4</v>
      </c>
      <c r="K325" s="27">
        <v>6645</v>
      </c>
      <c r="L325" s="5">
        <v>18074.400000000001</v>
      </c>
      <c r="M325" s="28">
        <v>41518</v>
      </c>
      <c r="N325" s="3">
        <v>9</v>
      </c>
      <c r="O325" s="29" t="s">
        <v>33</v>
      </c>
      <c r="P325" s="3">
        <v>2013</v>
      </c>
      <c r="Q325" s="6">
        <f>New_Finance_Data[[#This Row],[ Profit ]]/New_Finance_Data[[#This Row],[  Sales ]]</f>
        <v>0.73118279569892475</v>
      </c>
      <c r="R325" t="str">
        <f>IF(New_Finance_Data[[#This Row],[  Sales ]]&gt;=100000,"High",IF(New_Finance_Data[[#This Row],[  Sales ]]&gt;=50000,"Medium","Low"))</f>
        <v>Low</v>
      </c>
      <c r="S325" t="str">
        <f>IF(OR(ISBLANK(New_Finance_Data[[#This Row],[  Sales ]]),ISBLANK(New_Finance_Data[[#This Row],[ Profit ]])),"Missing","OK")</f>
        <v>OK</v>
      </c>
      <c r="T325" t="str">
        <f>TEXT(New_Finance_Data[[#This Row],[Date]],"MMM-YYYY")</f>
        <v>Sep-2013</v>
      </c>
      <c r="U325" t="str">
        <f>IF(New_Finance_Data[[#This Row],[ Profit ]]&gt;0,"Profit","Loss")</f>
        <v>Profit</v>
      </c>
      <c r="V325" t="str">
        <f>IF(New_Finance_Data[[#This Row],[  Sales ]]&gt;=50000,"High Sales","Low Sales")</f>
        <v>Low Sales</v>
      </c>
      <c r="W325" t="b">
        <f>ISNUMBER(New_Finance_Data[[#This Row],[Date]])</f>
        <v>1</v>
      </c>
    </row>
    <row r="326" spans="1:23" x14ac:dyDescent="0.2">
      <c r="A326" t="s">
        <v>15</v>
      </c>
      <c r="B326" t="s">
        <v>16</v>
      </c>
      <c r="C326" t="s">
        <v>40</v>
      </c>
      <c r="D326" t="s">
        <v>45</v>
      </c>
      <c r="E326" s="27">
        <v>1582</v>
      </c>
      <c r="F326" s="27">
        <v>250</v>
      </c>
      <c r="G326" s="27">
        <v>7</v>
      </c>
      <c r="H326" s="27">
        <v>11074</v>
      </c>
      <c r="I326" s="5">
        <v>775.18</v>
      </c>
      <c r="J326" s="27">
        <v>10298.82</v>
      </c>
      <c r="K326" s="27">
        <v>7910</v>
      </c>
      <c r="L326" s="5">
        <v>2388.8200000000002</v>
      </c>
      <c r="M326" s="28">
        <v>41974</v>
      </c>
      <c r="N326" s="3">
        <v>12</v>
      </c>
      <c r="O326" s="29" t="s">
        <v>25</v>
      </c>
      <c r="P326" s="3">
        <v>2014</v>
      </c>
      <c r="Q326" s="6">
        <f>New_Finance_Data[[#This Row],[ Profit ]]/New_Finance_Data[[#This Row],[  Sales ]]</f>
        <v>0.23195084485407069</v>
      </c>
      <c r="R326" t="str">
        <f>IF(New_Finance_Data[[#This Row],[  Sales ]]&gt;=100000,"High",IF(New_Finance_Data[[#This Row],[  Sales ]]&gt;=50000,"Medium","Low"))</f>
        <v>Low</v>
      </c>
      <c r="S326" t="str">
        <f>IF(OR(ISBLANK(New_Finance_Data[[#This Row],[  Sales ]]),ISBLANK(New_Finance_Data[[#This Row],[ Profit ]])),"Missing","OK")</f>
        <v>OK</v>
      </c>
      <c r="T326" t="str">
        <f>TEXT(New_Finance_Data[[#This Row],[Date]],"MMM-YYYY")</f>
        <v>Dec-2014</v>
      </c>
      <c r="U326" t="str">
        <f>IF(New_Finance_Data[[#This Row],[ Profit ]]&gt;0,"Profit","Loss")</f>
        <v>Profit</v>
      </c>
      <c r="V326" t="str">
        <f>IF(New_Finance_Data[[#This Row],[  Sales ]]&gt;=50000,"High Sales","Low Sales")</f>
        <v>Low Sales</v>
      </c>
      <c r="W326" t="b">
        <f>ISNUMBER(New_Finance_Data[[#This Row],[Date]])</f>
        <v>1</v>
      </c>
    </row>
    <row r="327" spans="1:23" x14ac:dyDescent="0.2">
      <c r="A327" t="s">
        <v>15</v>
      </c>
      <c r="B327" t="s">
        <v>16</v>
      </c>
      <c r="C327" t="s">
        <v>42</v>
      </c>
      <c r="D327" t="s">
        <v>45</v>
      </c>
      <c r="E327" s="27">
        <v>1135</v>
      </c>
      <c r="F327" s="27">
        <v>260</v>
      </c>
      <c r="G327" s="27">
        <v>7</v>
      </c>
      <c r="H327" s="27">
        <v>7945</v>
      </c>
      <c r="I327" s="5">
        <v>556.15</v>
      </c>
      <c r="J327" s="27">
        <v>7388.85</v>
      </c>
      <c r="K327" s="27">
        <v>5675</v>
      </c>
      <c r="L327" s="5">
        <v>1713.85</v>
      </c>
      <c r="M327" s="28">
        <v>41791</v>
      </c>
      <c r="N327" s="3">
        <v>6</v>
      </c>
      <c r="O327" s="29" t="s">
        <v>23</v>
      </c>
      <c r="P327" s="3">
        <v>2014</v>
      </c>
      <c r="Q327" s="6">
        <f>New_Finance_Data[[#This Row],[ Profit ]]/New_Finance_Data[[#This Row],[  Sales ]]</f>
        <v>0.23195084485407064</v>
      </c>
      <c r="R327" t="str">
        <f>IF(New_Finance_Data[[#This Row],[  Sales ]]&gt;=100000,"High",IF(New_Finance_Data[[#This Row],[  Sales ]]&gt;=50000,"Medium","Low"))</f>
        <v>Low</v>
      </c>
      <c r="S327" t="str">
        <f>IF(OR(ISBLANK(New_Finance_Data[[#This Row],[  Sales ]]),ISBLANK(New_Finance_Data[[#This Row],[ Profit ]])),"Missing","OK")</f>
        <v>OK</v>
      </c>
      <c r="T327" t="str">
        <f>TEXT(New_Finance_Data[[#This Row],[Date]],"MMM-YYYY")</f>
        <v>Jun-2014</v>
      </c>
      <c r="U327" t="str">
        <f>IF(New_Finance_Data[[#This Row],[ Profit ]]&gt;0,"Profit","Loss")</f>
        <v>Profit</v>
      </c>
      <c r="V327" t="str">
        <f>IF(New_Finance_Data[[#This Row],[  Sales ]]&gt;=50000,"High Sales","Low Sales")</f>
        <v>Low Sales</v>
      </c>
      <c r="W327" t="b">
        <f>ISNUMBER(New_Finance_Data[[#This Row],[Date]])</f>
        <v>1</v>
      </c>
    </row>
    <row r="328" spans="1:23" x14ac:dyDescent="0.2">
      <c r="A328" t="s">
        <v>15</v>
      </c>
      <c r="B328" t="s">
        <v>35</v>
      </c>
      <c r="C328" t="s">
        <v>17</v>
      </c>
      <c r="D328" t="s">
        <v>45</v>
      </c>
      <c r="E328" s="27">
        <v>1761</v>
      </c>
      <c r="F328" s="27">
        <v>3</v>
      </c>
      <c r="G328" s="27">
        <v>350</v>
      </c>
      <c r="H328" s="27">
        <v>616350</v>
      </c>
      <c r="I328" s="5">
        <v>43144.5</v>
      </c>
      <c r="J328" s="27">
        <v>573205.5</v>
      </c>
      <c r="K328" s="27">
        <v>457860</v>
      </c>
      <c r="L328" s="5">
        <v>115345.5</v>
      </c>
      <c r="M328" s="28">
        <v>41699</v>
      </c>
      <c r="N328" s="3">
        <v>3</v>
      </c>
      <c r="O328" s="29" t="s">
        <v>27</v>
      </c>
      <c r="P328" s="3">
        <v>2014</v>
      </c>
      <c r="Q328" s="6">
        <f>New_Finance_Data[[#This Row],[ Profit ]]/New_Finance_Data[[#This Row],[  Sales ]]</f>
        <v>0.20122887864823349</v>
      </c>
      <c r="R328" t="str">
        <f>IF(New_Finance_Data[[#This Row],[  Sales ]]&gt;=100000,"High",IF(New_Finance_Data[[#This Row],[  Sales ]]&gt;=50000,"Medium","Low"))</f>
        <v>High</v>
      </c>
      <c r="S328" t="str">
        <f>IF(OR(ISBLANK(New_Finance_Data[[#This Row],[  Sales ]]),ISBLANK(New_Finance_Data[[#This Row],[ Profit ]])),"Missing","OK")</f>
        <v>OK</v>
      </c>
      <c r="T328" t="str">
        <f>TEXT(New_Finance_Data[[#This Row],[Date]],"MMM-YYYY")</f>
        <v>Mar-2014</v>
      </c>
      <c r="U328" t="str">
        <f>IF(New_Finance_Data[[#This Row],[ Profit ]]&gt;0,"Profit","Loss")</f>
        <v>Profit</v>
      </c>
      <c r="V328" t="str">
        <f>IF(New_Finance_Data[[#This Row],[  Sales ]]&gt;=50000,"High Sales","Low Sales")</f>
        <v>High Sales</v>
      </c>
      <c r="W328" t="b">
        <f>ISNUMBER(New_Finance_Data[[#This Row],[Date]])</f>
        <v>1</v>
      </c>
    </row>
    <row r="329" spans="1:23" x14ac:dyDescent="0.2">
      <c r="A329" t="s">
        <v>31</v>
      </c>
      <c r="B329" t="s">
        <v>22</v>
      </c>
      <c r="C329" t="s">
        <v>17</v>
      </c>
      <c r="D329" t="s">
        <v>45</v>
      </c>
      <c r="E329" s="27">
        <v>448</v>
      </c>
      <c r="F329" s="27">
        <v>3</v>
      </c>
      <c r="G329" s="27">
        <v>300</v>
      </c>
      <c r="H329" s="27">
        <v>134400</v>
      </c>
      <c r="I329" s="5">
        <v>9408</v>
      </c>
      <c r="J329" s="27">
        <v>124992</v>
      </c>
      <c r="K329" s="27">
        <v>112000</v>
      </c>
      <c r="L329" s="5">
        <v>12992</v>
      </c>
      <c r="M329" s="28">
        <v>41791</v>
      </c>
      <c r="N329" s="3">
        <v>6</v>
      </c>
      <c r="O329" s="29" t="s">
        <v>23</v>
      </c>
      <c r="P329" s="3">
        <v>2014</v>
      </c>
      <c r="Q329" s="6">
        <f>New_Finance_Data[[#This Row],[ Profit ]]/New_Finance_Data[[#This Row],[  Sales ]]</f>
        <v>0.1039426523297491</v>
      </c>
      <c r="R329" t="str">
        <f>IF(New_Finance_Data[[#This Row],[  Sales ]]&gt;=100000,"High",IF(New_Finance_Data[[#This Row],[  Sales ]]&gt;=50000,"Medium","Low"))</f>
        <v>High</v>
      </c>
      <c r="S329" t="str">
        <f>IF(OR(ISBLANK(New_Finance_Data[[#This Row],[  Sales ]]),ISBLANK(New_Finance_Data[[#This Row],[ Profit ]])),"Missing","OK")</f>
        <v>OK</v>
      </c>
      <c r="T329" t="str">
        <f>TEXT(New_Finance_Data[[#This Row],[Date]],"MMM-YYYY")</f>
        <v>Jun-2014</v>
      </c>
      <c r="U329" t="str">
        <f>IF(New_Finance_Data[[#This Row],[ Profit ]]&gt;0,"Profit","Loss")</f>
        <v>Profit</v>
      </c>
      <c r="V329" t="str">
        <f>IF(New_Finance_Data[[#This Row],[  Sales ]]&gt;=50000,"High Sales","Low Sales")</f>
        <v>High Sales</v>
      </c>
      <c r="W329" t="b">
        <f>ISNUMBER(New_Finance_Data[[#This Row],[Date]])</f>
        <v>1</v>
      </c>
    </row>
    <row r="330" spans="1:23" x14ac:dyDescent="0.2">
      <c r="A330" t="s">
        <v>31</v>
      </c>
      <c r="B330" t="s">
        <v>22</v>
      </c>
      <c r="C330" t="s">
        <v>17</v>
      </c>
      <c r="D330" t="s">
        <v>45</v>
      </c>
      <c r="E330" s="27">
        <v>2181</v>
      </c>
      <c r="F330" s="27">
        <v>3</v>
      </c>
      <c r="G330" s="27">
        <v>300</v>
      </c>
      <c r="H330" s="27">
        <v>654300</v>
      </c>
      <c r="I330" s="5">
        <v>45801</v>
      </c>
      <c r="J330" s="27">
        <v>608499</v>
      </c>
      <c r="K330" s="27">
        <v>545250</v>
      </c>
      <c r="L330" s="5">
        <v>63249</v>
      </c>
      <c r="M330" s="28">
        <v>41913</v>
      </c>
      <c r="N330" s="3">
        <v>10</v>
      </c>
      <c r="O330" s="29" t="s">
        <v>34</v>
      </c>
      <c r="P330" s="3">
        <v>2014</v>
      </c>
      <c r="Q330" s="6">
        <f>New_Finance_Data[[#This Row],[ Profit ]]/New_Finance_Data[[#This Row],[  Sales ]]</f>
        <v>0.1039426523297491</v>
      </c>
      <c r="R330" t="str">
        <f>IF(New_Finance_Data[[#This Row],[  Sales ]]&gt;=100000,"High",IF(New_Finance_Data[[#This Row],[  Sales ]]&gt;=50000,"Medium","Low"))</f>
        <v>High</v>
      </c>
      <c r="S330" t="str">
        <f>IF(OR(ISBLANK(New_Finance_Data[[#This Row],[  Sales ]]),ISBLANK(New_Finance_Data[[#This Row],[ Profit ]])),"Missing","OK")</f>
        <v>OK</v>
      </c>
      <c r="T330" t="str">
        <f>TEXT(New_Finance_Data[[#This Row],[Date]],"MMM-YYYY")</f>
        <v>Oct-2014</v>
      </c>
      <c r="U330" t="str">
        <f>IF(New_Finance_Data[[#This Row],[ Profit ]]&gt;0,"Profit","Loss")</f>
        <v>Profit</v>
      </c>
      <c r="V330" t="str">
        <f>IF(New_Finance_Data[[#This Row],[  Sales ]]&gt;=50000,"High Sales","Low Sales")</f>
        <v>High Sales</v>
      </c>
      <c r="W330" t="b">
        <f>ISNUMBER(New_Finance_Data[[#This Row],[Date]])</f>
        <v>1</v>
      </c>
    </row>
    <row r="331" spans="1:23" x14ac:dyDescent="0.2">
      <c r="A331" t="s">
        <v>15</v>
      </c>
      <c r="B331" t="s">
        <v>22</v>
      </c>
      <c r="C331" t="s">
        <v>26</v>
      </c>
      <c r="D331" t="s">
        <v>45</v>
      </c>
      <c r="E331" s="27">
        <v>1976</v>
      </c>
      <c r="F331" s="27">
        <v>5</v>
      </c>
      <c r="G331" s="27">
        <v>20</v>
      </c>
      <c r="H331" s="27">
        <v>39520</v>
      </c>
      <c r="I331" s="5">
        <v>2766.4</v>
      </c>
      <c r="J331" s="27">
        <v>36753.599999999999</v>
      </c>
      <c r="K331" s="27">
        <v>19760</v>
      </c>
      <c r="L331" s="5">
        <v>16993.599999999999</v>
      </c>
      <c r="M331" s="28">
        <v>41913</v>
      </c>
      <c r="N331" s="3">
        <v>10</v>
      </c>
      <c r="O331" s="29" t="s">
        <v>34</v>
      </c>
      <c r="P331" s="3">
        <v>2014</v>
      </c>
      <c r="Q331" s="6">
        <f>New_Finance_Data[[#This Row],[ Profit ]]/New_Finance_Data[[#This Row],[  Sales ]]</f>
        <v>0.46236559139784944</v>
      </c>
      <c r="R331" t="str">
        <f>IF(New_Finance_Data[[#This Row],[  Sales ]]&gt;=100000,"High",IF(New_Finance_Data[[#This Row],[  Sales ]]&gt;=50000,"Medium","Low"))</f>
        <v>Low</v>
      </c>
      <c r="S331" t="str">
        <f>IF(OR(ISBLANK(New_Finance_Data[[#This Row],[  Sales ]]),ISBLANK(New_Finance_Data[[#This Row],[ Profit ]])),"Missing","OK")</f>
        <v>OK</v>
      </c>
      <c r="T331" t="str">
        <f>TEXT(New_Finance_Data[[#This Row],[Date]],"MMM-YYYY")</f>
        <v>Oct-2014</v>
      </c>
      <c r="U331" t="str">
        <f>IF(New_Finance_Data[[#This Row],[ Profit ]]&gt;0,"Profit","Loss")</f>
        <v>Profit</v>
      </c>
      <c r="V331" t="str">
        <f>IF(New_Finance_Data[[#This Row],[  Sales ]]&gt;=50000,"High Sales","Low Sales")</f>
        <v>Low Sales</v>
      </c>
      <c r="W331" t="b">
        <f>ISNUMBER(New_Finance_Data[[#This Row],[Date]])</f>
        <v>1</v>
      </c>
    </row>
    <row r="332" spans="1:23" x14ac:dyDescent="0.2">
      <c r="A332" t="s">
        <v>31</v>
      </c>
      <c r="B332" t="s">
        <v>22</v>
      </c>
      <c r="C332" t="s">
        <v>26</v>
      </c>
      <c r="D332" t="s">
        <v>45</v>
      </c>
      <c r="E332" s="27">
        <v>2181</v>
      </c>
      <c r="F332" s="27">
        <v>5</v>
      </c>
      <c r="G332" s="27">
        <v>300</v>
      </c>
      <c r="H332" s="27">
        <v>654300</v>
      </c>
      <c r="I332" s="5">
        <v>45801</v>
      </c>
      <c r="J332" s="27">
        <v>608499</v>
      </c>
      <c r="K332" s="27">
        <v>545250</v>
      </c>
      <c r="L332" s="5">
        <v>63249</v>
      </c>
      <c r="M332" s="28">
        <v>41913</v>
      </c>
      <c r="N332" s="3">
        <v>10</v>
      </c>
      <c r="O332" s="29" t="s">
        <v>34</v>
      </c>
      <c r="P332" s="3">
        <v>2014</v>
      </c>
      <c r="Q332" s="6">
        <f>New_Finance_Data[[#This Row],[ Profit ]]/New_Finance_Data[[#This Row],[  Sales ]]</f>
        <v>0.1039426523297491</v>
      </c>
      <c r="R332" t="str">
        <f>IF(New_Finance_Data[[#This Row],[  Sales ]]&gt;=100000,"High",IF(New_Finance_Data[[#This Row],[  Sales ]]&gt;=50000,"Medium","Low"))</f>
        <v>High</v>
      </c>
      <c r="S332" t="str">
        <f>IF(OR(ISBLANK(New_Finance_Data[[#This Row],[  Sales ]]),ISBLANK(New_Finance_Data[[#This Row],[ Profit ]])),"Missing","OK")</f>
        <v>OK</v>
      </c>
      <c r="T332" t="str">
        <f>TEXT(New_Finance_Data[[#This Row],[Date]],"MMM-YYYY")</f>
        <v>Oct-2014</v>
      </c>
      <c r="U332" t="str">
        <f>IF(New_Finance_Data[[#This Row],[ Profit ]]&gt;0,"Profit","Loss")</f>
        <v>Profit</v>
      </c>
      <c r="V332" t="str">
        <f>IF(New_Finance_Data[[#This Row],[  Sales ]]&gt;=50000,"High Sales","Low Sales")</f>
        <v>High Sales</v>
      </c>
      <c r="W332" t="b">
        <f>ISNUMBER(New_Finance_Data[[#This Row],[Date]])</f>
        <v>1</v>
      </c>
    </row>
    <row r="333" spans="1:23" x14ac:dyDescent="0.2">
      <c r="A333" t="s">
        <v>29</v>
      </c>
      <c r="B333" t="s">
        <v>20</v>
      </c>
      <c r="C333" t="s">
        <v>26</v>
      </c>
      <c r="D333" t="s">
        <v>45</v>
      </c>
      <c r="E333" s="27">
        <v>2500</v>
      </c>
      <c r="F333" s="27">
        <v>5</v>
      </c>
      <c r="G333" s="27">
        <v>125</v>
      </c>
      <c r="H333" s="27">
        <v>312500</v>
      </c>
      <c r="I333" s="5">
        <v>21875</v>
      </c>
      <c r="J333" s="27">
        <v>290625</v>
      </c>
      <c r="K333" s="27">
        <v>300000</v>
      </c>
      <c r="L333" s="5">
        <v>-9375</v>
      </c>
      <c r="M333" s="28">
        <v>41579</v>
      </c>
      <c r="N333" s="3">
        <v>11</v>
      </c>
      <c r="O333" s="29" t="s">
        <v>38</v>
      </c>
      <c r="P333" s="3">
        <v>2013</v>
      </c>
      <c r="Q333" s="6">
        <f>New_Finance_Data[[#This Row],[ Profit ]]/New_Finance_Data[[#This Row],[  Sales ]]</f>
        <v>-3.2258064516129031E-2</v>
      </c>
      <c r="R333" t="str">
        <f>IF(New_Finance_Data[[#This Row],[  Sales ]]&gt;=100000,"High",IF(New_Finance_Data[[#This Row],[  Sales ]]&gt;=50000,"Medium","Low"))</f>
        <v>High</v>
      </c>
      <c r="S333" t="str">
        <f>IF(OR(ISBLANK(New_Finance_Data[[#This Row],[  Sales ]]),ISBLANK(New_Finance_Data[[#This Row],[ Profit ]])),"Missing","OK")</f>
        <v>OK</v>
      </c>
      <c r="T333" t="str">
        <f>TEXT(New_Finance_Data[[#This Row],[Date]],"MMM-YYYY")</f>
        <v>Nov-2013</v>
      </c>
      <c r="U333" t="str">
        <f>IF(New_Finance_Data[[#This Row],[ Profit ]]&gt;0,"Profit","Loss")</f>
        <v>Loss</v>
      </c>
      <c r="V333" t="str">
        <f>IF(New_Finance_Data[[#This Row],[  Sales ]]&gt;=50000,"High Sales","Low Sales")</f>
        <v>High Sales</v>
      </c>
      <c r="W333" t="b">
        <f>ISNUMBER(New_Finance_Data[[#This Row],[Date]])</f>
        <v>1</v>
      </c>
    </row>
    <row r="334" spans="1:23" x14ac:dyDescent="0.2">
      <c r="A334" t="s">
        <v>31</v>
      </c>
      <c r="B334" t="s">
        <v>16</v>
      </c>
      <c r="C334" t="s">
        <v>36</v>
      </c>
      <c r="D334" t="s">
        <v>45</v>
      </c>
      <c r="E334" s="27">
        <v>1702</v>
      </c>
      <c r="F334" s="27">
        <v>10</v>
      </c>
      <c r="G334" s="27">
        <v>300</v>
      </c>
      <c r="H334" s="27">
        <v>510600</v>
      </c>
      <c r="I334" s="5">
        <v>35742</v>
      </c>
      <c r="J334" s="27">
        <v>474858</v>
      </c>
      <c r="K334" s="27">
        <v>425500</v>
      </c>
      <c r="L334" s="5">
        <v>49358</v>
      </c>
      <c r="M334" s="28">
        <v>41760</v>
      </c>
      <c r="N334" s="3">
        <v>5</v>
      </c>
      <c r="O334" s="29" t="s">
        <v>44</v>
      </c>
      <c r="P334" s="3">
        <v>2014</v>
      </c>
      <c r="Q334" s="6">
        <f>New_Finance_Data[[#This Row],[ Profit ]]/New_Finance_Data[[#This Row],[  Sales ]]</f>
        <v>0.1039426523297491</v>
      </c>
      <c r="R334" t="str">
        <f>IF(New_Finance_Data[[#This Row],[  Sales ]]&gt;=100000,"High",IF(New_Finance_Data[[#This Row],[  Sales ]]&gt;=50000,"Medium","Low"))</f>
        <v>High</v>
      </c>
      <c r="S334" t="str">
        <f>IF(OR(ISBLANK(New_Finance_Data[[#This Row],[  Sales ]]),ISBLANK(New_Finance_Data[[#This Row],[ Profit ]])),"Missing","OK")</f>
        <v>OK</v>
      </c>
      <c r="T334" t="str">
        <f>TEXT(New_Finance_Data[[#This Row],[Date]],"MMM-YYYY")</f>
        <v>May-2014</v>
      </c>
      <c r="U334" t="str">
        <f>IF(New_Finance_Data[[#This Row],[ Profit ]]&gt;0,"Profit","Loss")</f>
        <v>Profit</v>
      </c>
      <c r="V334" t="str">
        <f>IF(New_Finance_Data[[#This Row],[  Sales ]]&gt;=50000,"High Sales","Low Sales")</f>
        <v>High Sales</v>
      </c>
      <c r="W334" t="b">
        <f>ISNUMBER(New_Finance_Data[[#This Row],[Date]])</f>
        <v>1</v>
      </c>
    </row>
    <row r="335" spans="1:23" x14ac:dyDescent="0.2">
      <c r="A335" t="s">
        <v>31</v>
      </c>
      <c r="B335" t="s">
        <v>22</v>
      </c>
      <c r="C335" t="s">
        <v>36</v>
      </c>
      <c r="D335" t="s">
        <v>45</v>
      </c>
      <c r="E335" s="27">
        <v>448</v>
      </c>
      <c r="F335" s="27">
        <v>10</v>
      </c>
      <c r="G335" s="27">
        <v>300</v>
      </c>
      <c r="H335" s="27">
        <v>134400</v>
      </c>
      <c r="I335" s="5">
        <v>9408</v>
      </c>
      <c r="J335" s="27">
        <v>124992</v>
      </c>
      <c r="K335" s="27">
        <v>112000</v>
      </c>
      <c r="L335" s="5">
        <v>12992</v>
      </c>
      <c r="M335" s="28">
        <v>41791</v>
      </c>
      <c r="N335" s="3">
        <v>6</v>
      </c>
      <c r="O335" s="29" t="s">
        <v>23</v>
      </c>
      <c r="P335" s="3">
        <v>2014</v>
      </c>
      <c r="Q335" s="6">
        <f>New_Finance_Data[[#This Row],[ Profit ]]/New_Finance_Data[[#This Row],[  Sales ]]</f>
        <v>0.1039426523297491</v>
      </c>
      <c r="R335" t="str">
        <f>IF(New_Finance_Data[[#This Row],[  Sales ]]&gt;=100000,"High",IF(New_Finance_Data[[#This Row],[  Sales ]]&gt;=50000,"Medium","Low"))</f>
        <v>High</v>
      </c>
      <c r="S335" t="str">
        <f>IF(OR(ISBLANK(New_Finance_Data[[#This Row],[  Sales ]]),ISBLANK(New_Finance_Data[[#This Row],[ Profit ]])),"Missing","OK")</f>
        <v>OK</v>
      </c>
      <c r="T335" t="str">
        <f>TEXT(New_Finance_Data[[#This Row],[Date]],"MMM-YYYY")</f>
        <v>Jun-2014</v>
      </c>
      <c r="U335" t="str">
        <f>IF(New_Finance_Data[[#This Row],[ Profit ]]&gt;0,"Profit","Loss")</f>
        <v>Profit</v>
      </c>
      <c r="V335" t="str">
        <f>IF(New_Finance_Data[[#This Row],[  Sales ]]&gt;=50000,"High Sales","Low Sales")</f>
        <v>High Sales</v>
      </c>
      <c r="W335" t="b">
        <f>ISNUMBER(New_Finance_Data[[#This Row],[Date]])</f>
        <v>1</v>
      </c>
    </row>
    <row r="336" spans="1:23" x14ac:dyDescent="0.2">
      <c r="A336" t="s">
        <v>29</v>
      </c>
      <c r="B336" t="s">
        <v>20</v>
      </c>
      <c r="C336" t="s">
        <v>36</v>
      </c>
      <c r="D336" t="s">
        <v>45</v>
      </c>
      <c r="E336" s="27">
        <v>3513</v>
      </c>
      <c r="F336" s="27">
        <v>10</v>
      </c>
      <c r="G336" s="27">
        <v>125</v>
      </c>
      <c r="H336" s="27">
        <v>439125</v>
      </c>
      <c r="I336" s="5">
        <v>30738.75</v>
      </c>
      <c r="J336" s="27">
        <v>408386.25</v>
      </c>
      <c r="K336" s="27">
        <v>421560</v>
      </c>
      <c r="L336" s="5">
        <v>-13173.75</v>
      </c>
      <c r="M336" s="28">
        <v>41821</v>
      </c>
      <c r="N336" s="3">
        <v>7</v>
      </c>
      <c r="O336" s="29" t="s">
        <v>30</v>
      </c>
      <c r="P336" s="3">
        <v>2014</v>
      </c>
      <c r="Q336" s="6">
        <f>New_Finance_Data[[#This Row],[ Profit ]]/New_Finance_Data[[#This Row],[  Sales ]]</f>
        <v>-3.2258064516129031E-2</v>
      </c>
      <c r="R336" t="str">
        <f>IF(New_Finance_Data[[#This Row],[  Sales ]]&gt;=100000,"High",IF(New_Finance_Data[[#This Row],[  Sales ]]&gt;=50000,"Medium","Low"))</f>
        <v>High</v>
      </c>
      <c r="S336" t="str">
        <f>IF(OR(ISBLANK(New_Finance_Data[[#This Row],[  Sales ]]),ISBLANK(New_Finance_Data[[#This Row],[ Profit ]])),"Missing","OK")</f>
        <v>OK</v>
      </c>
      <c r="T336" t="str">
        <f>TEXT(New_Finance_Data[[#This Row],[Date]],"MMM-YYYY")</f>
        <v>Jul-2014</v>
      </c>
      <c r="U336" t="str">
        <f>IF(New_Finance_Data[[#This Row],[ Profit ]]&gt;0,"Profit","Loss")</f>
        <v>Loss</v>
      </c>
      <c r="V336" t="str">
        <f>IF(New_Finance_Data[[#This Row],[  Sales ]]&gt;=50000,"High Sales","Low Sales")</f>
        <v>High Sales</v>
      </c>
      <c r="W336" t="b">
        <f>ISNUMBER(New_Finance_Data[[#This Row],[Date]])</f>
        <v>1</v>
      </c>
    </row>
    <row r="337" spans="1:23" x14ac:dyDescent="0.2">
      <c r="A337" t="s">
        <v>21</v>
      </c>
      <c r="B337" t="s">
        <v>22</v>
      </c>
      <c r="C337" t="s">
        <v>36</v>
      </c>
      <c r="D337" t="s">
        <v>45</v>
      </c>
      <c r="E337" s="27">
        <v>2101</v>
      </c>
      <c r="F337" s="27">
        <v>10</v>
      </c>
      <c r="G337" s="27">
        <v>15</v>
      </c>
      <c r="H337" s="27">
        <v>31515</v>
      </c>
      <c r="I337" s="5">
        <v>2206.0500000000002</v>
      </c>
      <c r="J337" s="27">
        <v>29308.95</v>
      </c>
      <c r="K337" s="27">
        <v>21010</v>
      </c>
      <c r="L337" s="5">
        <v>8298.9500000000007</v>
      </c>
      <c r="M337" s="28">
        <v>41852</v>
      </c>
      <c r="N337" s="3">
        <v>8</v>
      </c>
      <c r="O337" s="29" t="s">
        <v>32</v>
      </c>
      <c r="P337" s="3">
        <v>2014</v>
      </c>
      <c r="Q337" s="6">
        <f>New_Finance_Data[[#This Row],[ Profit ]]/New_Finance_Data[[#This Row],[  Sales ]]</f>
        <v>0.28315412186379929</v>
      </c>
      <c r="R337" t="str">
        <f>IF(New_Finance_Data[[#This Row],[  Sales ]]&gt;=100000,"High",IF(New_Finance_Data[[#This Row],[  Sales ]]&gt;=50000,"Medium","Low"))</f>
        <v>Low</v>
      </c>
      <c r="S337" t="str">
        <f>IF(OR(ISBLANK(New_Finance_Data[[#This Row],[  Sales ]]),ISBLANK(New_Finance_Data[[#This Row],[ Profit ]])),"Missing","OK")</f>
        <v>OK</v>
      </c>
      <c r="T337" t="str">
        <f>TEXT(New_Finance_Data[[#This Row],[Date]],"MMM-YYYY")</f>
        <v>Aug-2014</v>
      </c>
      <c r="U337" t="str">
        <f>IF(New_Finance_Data[[#This Row],[ Profit ]]&gt;0,"Profit","Loss")</f>
        <v>Profit</v>
      </c>
      <c r="V337" t="str">
        <f>IF(New_Finance_Data[[#This Row],[  Sales ]]&gt;=50000,"High Sales","Low Sales")</f>
        <v>Low Sales</v>
      </c>
      <c r="W337" t="b">
        <f>ISNUMBER(New_Finance_Data[[#This Row],[Date]])</f>
        <v>1</v>
      </c>
    </row>
    <row r="338" spans="1:23" x14ac:dyDescent="0.2">
      <c r="A338" t="s">
        <v>21</v>
      </c>
      <c r="B338" t="s">
        <v>35</v>
      </c>
      <c r="C338" t="s">
        <v>36</v>
      </c>
      <c r="D338" t="s">
        <v>45</v>
      </c>
      <c r="E338" s="27">
        <v>2931</v>
      </c>
      <c r="F338" s="27">
        <v>10</v>
      </c>
      <c r="G338" s="27">
        <v>15</v>
      </c>
      <c r="H338" s="27">
        <v>43965</v>
      </c>
      <c r="I338" s="5">
        <v>3077.55</v>
      </c>
      <c r="J338" s="27">
        <v>40887.449999999997</v>
      </c>
      <c r="K338" s="27">
        <v>29310</v>
      </c>
      <c r="L338" s="5">
        <v>11577.45</v>
      </c>
      <c r="M338" s="28">
        <v>41518</v>
      </c>
      <c r="N338" s="3">
        <v>9</v>
      </c>
      <c r="O338" s="29" t="s">
        <v>33</v>
      </c>
      <c r="P338" s="3">
        <v>2013</v>
      </c>
      <c r="Q338" s="6">
        <f>New_Finance_Data[[#This Row],[ Profit ]]/New_Finance_Data[[#This Row],[  Sales ]]</f>
        <v>0.28315412186379935</v>
      </c>
      <c r="R338" t="str">
        <f>IF(New_Finance_Data[[#This Row],[  Sales ]]&gt;=100000,"High",IF(New_Finance_Data[[#This Row],[  Sales ]]&gt;=50000,"Medium","Low"))</f>
        <v>Low</v>
      </c>
      <c r="S338" t="str">
        <f>IF(OR(ISBLANK(New_Finance_Data[[#This Row],[  Sales ]]),ISBLANK(New_Finance_Data[[#This Row],[ Profit ]])),"Missing","OK")</f>
        <v>OK</v>
      </c>
      <c r="T338" t="str">
        <f>TEXT(New_Finance_Data[[#This Row],[Date]],"MMM-YYYY")</f>
        <v>Sep-2013</v>
      </c>
      <c r="U338" t="str">
        <f>IF(New_Finance_Data[[#This Row],[ Profit ]]&gt;0,"Profit","Loss")</f>
        <v>Profit</v>
      </c>
      <c r="V338" t="str">
        <f>IF(New_Finance_Data[[#This Row],[  Sales ]]&gt;=50000,"High Sales","Low Sales")</f>
        <v>Low Sales</v>
      </c>
      <c r="W338" t="b">
        <f>ISNUMBER(New_Finance_Data[[#This Row],[Date]])</f>
        <v>1</v>
      </c>
    </row>
    <row r="339" spans="1:23" x14ac:dyDescent="0.2">
      <c r="A339" t="s">
        <v>15</v>
      </c>
      <c r="B339" t="s">
        <v>22</v>
      </c>
      <c r="C339" t="s">
        <v>36</v>
      </c>
      <c r="D339" t="s">
        <v>45</v>
      </c>
      <c r="E339" s="27">
        <v>1535</v>
      </c>
      <c r="F339" s="27">
        <v>10</v>
      </c>
      <c r="G339" s="27">
        <v>20</v>
      </c>
      <c r="H339" s="27">
        <v>30700</v>
      </c>
      <c r="I339" s="5">
        <v>2149</v>
      </c>
      <c r="J339" s="27">
        <v>28551</v>
      </c>
      <c r="K339" s="27">
        <v>15350</v>
      </c>
      <c r="L339" s="5">
        <v>13201</v>
      </c>
      <c r="M339" s="28">
        <v>41883</v>
      </c>
      <c r="N339" s="3">
        <v>9</v>
      </c>
      <c r="O339" s="29" t="s">
        <v>33</v>
      </c>
      <c r="P339" s="3">
        <v>2014</v>
      </c>
      <c r="Q339" s="6">
        <f>New_Finance_Data[[#This Row],[ Profit ]]/New_Finance_Data[[#This Row],[  Sales ]]</f>
        <v>0.46236559139784944</v>
      </c>
      <c r="R339" t="str">
        <f>IF(New_Finance_Data[[#This Row],[  Sales ]]&gt;=100000,"High",IF(New_Finance_Data[[#This Row],[  Sales ]]&gt;=50000,"Medium","Low"))</f>
        <v>Low</v>
      </c>
      <c r="S339" t="str">
        <f>IF(OR(ISBLANK(New_Finance_Data[[#This Row],[  Sales ]]),ISBLANK(New_Finance_Data[[#This Row],[ Profit ]])),"Missing","OK")</f>
        <v>OK</v>
      </c>
      <c r="T339" t="str">
        <f>TEXT(New_Finance_Data[[#This Row],[Date]],"MMM-YYYY")</f>
        <v>Sep-2014</v>
      </c>
      <c r="U339" t="str">
        <f>IF(New_Finance_Data[[#This Row],[ Profit ]]&gt;0,"Profit","Loss")</f>
        <v>Profit</v>
      </c>
      <c r="V339" t="str">
        <f>IF(New_Finance_Data[[#This Row],[  Sales ]]&gt;=50000,"High Sales","Low Sales")</f>
        <v>Low Sales</v>
      </c>
      <c r="W339" t="b">
        <f>ISNUMBER(New_Finance_Data[[#This Row],[Date]])</f>
        <v>1</v>
      </c>
    </row>
    <row r="340" spans="1:23" x14ac:dyDescent="0.2">
      <c r="A340" t="s">
        <v>31</v>
      </c>
      <c r="B340" t="s">
        <v>20</v>
      </c>
      <c r="C340" t="s">
        <v>36</v>
      </c>
      <c r="D340" t="s">
        <v>45</v>
      </c>
      <c r="E340" s="27">
        <v>1123</v>
      </c>
      <c r="F340" s="27">
        <v>10</v>
      </c>
      <c r="G340" s="27">
        <v>300</v>
      </c>
      <c r="H340" s="27">
        <v>336900</v>
      </c>
      <c r="I340" s="5">
        <v>23583</v>
      </c>
      <c r="J340" s="27">
        <v>313317</v>
      </c>
      <c r="K340" s="27">
        <v>280750</v>
      </c>
      <c r="L340" s="5">
        <v>32567</v>
      </c>
      <c r="M340" s="28">
        <v>41518</v>
      </c>
      <c r="N340" s="3">
        <v>9</v>
      </c>
      <c r="O340" s="29" t="s">
        <v>33</v>
      </c>
      <c r="P340" s="3">
        <v>2013</v>
      </c>
      <c r="Q340" s="6">
        <f>New_Finance_Data[[#This Row],[ Profit ]]/New_Finance_Data[[#This Row],[  Sales ]]</f>
        <v>0.1039426523297491</v>
      </c>
      <c r="R340" t="str">
        <f>IF(New_Finance_Data[[#This Row],[  Sales ]]&gt;=100000,"High",IF(New_Finance_Data[[#This Row],[  Sales ]]&gt;=50000,"Medium","Low"))</f>
        <v>High</v>
      </c>
      <c r="S340" t="str">
        <f>IF(OR(ISBLANK(New_Finance_Data[[#This Row],[  Sales ]]),ISBLANK(New_Finance_Data[[#This Row],[ Profit ]])),"Missing","OK")</f>
        <v>OK</v>
      </c>
      <c r="T340" t="str">
        <f>TEXT(New_Finance_Data[[#This Row],[Date]],"MMM-YYYY")</f>
        <v>Sep-2013</v>
      </c>
      <c r="U340" t="str">
        <f>IF(New_Finance_Data[[#This Row],[ Profit ]]&gt;0,"Profit","Loss")</f>
        <v>Profit</v>
      </c>
      <c r="V340" t="str">
        <f>IF(New_Finance_Data[[#This Row],[  Sales ]]&gt;=50000,"High Sales","Low Sales")</f>
        <v>High Sales</v>
      </c>
      <c r="W340" t="b">
        <f>ISNUMBER(New_Finance_Data[[#This Row],[Date]])</f>
        <v>1</v>
      </c>
    </row>
    <row r="341" spans="1:23" x14ac:dyDescent="0.2">
      <c r="A341" t="s">
        <v>31</v>
      </c>
      <c r="B341" t="s">
        <v>16</v>
      </c>
      <c r="C341" t="s">
        <v>36</v>
      </c>
      <c r="D341" t="s">
        <v>45</v>
      </c>
      <c r="E341" s="27">
        <v>1404</v>
      </c>
      <c r="F341" s="27">
        <v>10</v>
      </c>
      <c r="G341" s="27">
        <v>300</v>
      </c>
      <c r="H341" s="27">
        <v>421200</v>
      </c>
      <c r="I341" s="5">
        <v>29484</v>
      </c>
      <c r="J341" s="27">
        <v>391716</v>
      </c>
      <c r="K341" s="27">
        <v>351000</v>
      </c>
      <c r="L341" s="5">
        <v>40716</v>
      </c>
      <c r="M341" s="28">
        <v>41579</v>
      </c>
      <c r="N341" s="3">
        <v>11</v>
      </c>
      <c r="O341" s="29" t="s">
        <v>38</v>
      </c>
      <c r="P341" s="3">
        <v>2013</v>
      </c>
      <c r="Q341" s="6">
        <f>New_Finance_Data[[#This Row],[ Profit ]]/New_Finance_Data[[#This Row],[  Sales ]]</f>
        <v>0.1039426523297491</v>
      </c>
      <c r="R341" t="str">
        <f>IF(New_Finance_Data[[#This Row],[  Sales ]]&gt;=100000,"High",IF(New_Finance_Data[[#This Row],[  Sales ]]&gt;=50000,"Medium","Low"))</f>
        <v>High</v>
      </c>
      <c r="S341" t="str">
        <f>IF(OR(ISBLANK(New_Finance_Data[[#This Row],[  Sales ]]),ISBLANK(New_Finance_Data[[#This Row],[ Profit ]])),"Missing","OK")</f>
        <v>OK</v>
      </c>
      <c r="T341" t="str">
        <f>TEXT(New_Finance_Data[[#This Row],[Date]],"MMM-YYYY")</f>
        <v>Nov-2013</v>
      </c>
      <c r="U341" t="str">
        <f>IF(New_Finance_Data[[#This Row],[ Profit ]]&gt;0,"Profit","Loss")</f>
        <v>Profit</v>
      </c>
      <c r="V341" t="str">
        <f>IF(New_Finance_Data[[#This Row],[  Sales ]]&gt;=50000,"High Sales","Low Sales")</f>
        <v>High Sales</v>
      </c>
      <c r="W341" t="b">
        <f>ISNUMBER(New_Finance_Data[[#This Row],[Date]])</f>
        <v>1</v>
      </c>
    </row>
    <row r="342" spans="1:23" x14ac:dyDescent="0.2">
      <c r="A342" t="s">
        <v>28</v>
      </c>
      <c r="B342" t="s">
        <v>24</v>
      </c>
      <c r="C342" t="s">
        <v>36</v>
      </c>
      <c r="D342" t="s">
        <v>45</v>
      </c>
      <c r="E342" s="27">
        <v>2763</v>
      </c>
      <c r="F342" s="27">
        <v>10</v>
      </c>
      <c r="G342" s="27">
        <v>12</v>
      </c>
      <c r="H342" s="27">
        <v>33156</v>
      </c>
      <c r="I342" s="5">
        <v>2320.92</v>
      </c>
      <c r="J342" s="27">
        <v>30835.08</v>
      </c>
      <c r="K342" s="27">
        <v>8289</v>
      </c>
      <c r="L342" s="5">
        <v>22546.080000000002</v>
      </c>
      <c r="M342" s="28">
        <v>41579</v>
      </c>
      <c r="N342" s="3">
        <v>11</v>
      </c>
      <c r="O342" s="29" t="s">
        <v>38</v>
      </c>
      <c r="P342" s="3">
        <v>2013</v>
      </c>
      <c r="Q342" s="6">
        <f>New_Finance_Data[[#This Row],[ Profit ]]/New_Finance_Data[[#This Row],[  Sales ]]</f>
        <v>0.73118279569892475</v>
      </c>
      <c r="R342" t="str">
        <f>IF(New_Finance_Data[[#This Row],[  Sales ]]&gt;=100000,"High",IF(New_Finance_Data[[#This Row],[  Sales ]]&gt;=50000,"Medium","Low"))</f>
        <v>Low</v>
      </c>
      <c r="S342" t="str">
        <f>IF(OR(ISBLANK(New_Finance_Data[[#This Row],[  Sales ]]),ISBLANK(New_Finance_Data[[#This Row],[ Profit ]])),"Missing","OK")</f>
        <v>OK</v>
      </c>
      <c r="T342" t="str">
        <f>TEXT(New_Finance_Data[[#This Row],[Date]],"MMM-YYYY")</f>
        <v>Nov-2013</v>
      </c>
      <c r="U342" t="str">
        <f>IF(New_Finance_Data[[#This Row],[ Profit ]]&gt;0,"Profit","Loss")</f>
        <v>Profit</v>
      </c>
      <c r="V342" t="str">
        <f>IF(New_Finance_Data[[#This Row],[  Sales ]]&gt;=50000,"High Sales","Low Sales")</f>
        <v>Low Sales</v>
      </c>
      <c r="W342" t="b">
        <f>ISNUMBER(New_Finance_Data[[#This Row],[Date]])</f>
        <v>1</v>
      </c>
    </row>
    <row r="343" spans="1:23" x14ac:dyDescent="0.2">
      <c r="A343" t="s">
        <v>15</v>
      </c>
      <c r="B343" t="s">
        <v>20</v>
      </c>
      <c r="C343" t="s">
        <v>36</v>
      </c>
      <c r="D343" t="s">
        <v>45</v>
      </c>
      <c r="E343" s="27">
        <v>2125</v>
      </c>
      <c r="F343" s="27">
        <v>10</v>
      </c>
      <c r="G343" s="27">
        <v>7</v>
      </c>
      <c r="H343" s="27">
        <v>14875</v>
      </c>
      <c r="I343" s="5">
        <v>1041.25</v>
      </c>
      <c r="J343" s="27">
        <v>13833.75</v>
      </c>
      <c r="K343" s="27">
        <v>10625</v>
      </c>
      <c r="L343" s="5">
        <v>3208.75</v>
      </c>
      <c r="M343" s="28">
        <v>41609</v>
      </c>
      <c r="N343" s="3">
        <v>12</v>
      </c>
      <c r="O343" s="29" t="s">
        <v>25</v>
      </c>
      <c r="P343" s="3">
        <v>2013</v>
      </c>
      <c r="Q343" s="6">
        <f>New_Finance_Data[[#This Row],[ Profit ]]/New_Finance_Data[[#This Row],[  Sales ]]</f>
        <v>0.23195084485407066</v>
      </c>
      <c r="R343" t="str">
        <f>IF(New_Finance_Data[[#This Row],[  Sales ]]&gt;=100000,"High",IF(New_Finance_Data[[#This Row],[  Sales ]]&gt;=50000,"Medium","Low"))</f>
        <v>Low</v>
      </c>
      <c r="S343" t="str">
        <f>IF(OR(ISBLANK(New_Finance_Data[[#This Row],[  Sales ]]),ISBLANK(New_Finance_Data[[#This Row],[ Profit ]])),"Missing","OK")</f>
        <v>OK</v>
      </c>
      <c r="T343" t="str">
        <f>TEXT(New_Finance_Data[[#This Row],[Date]],"MMM-YYYY")</f>
        <v>Dec-2013</v>
      </c>
      <c r="U343" t="str">
        <f>IF(New_Finance_Data[[#This Row],[ Profit ]]&gt;0,"Profit","Loss")</f>
        <v>Profit</v>
      </c>
      <c r="V343" t="str">
        <f>IF(New_Finance_Data[[#This Row],[  Sales ]]&gt;=50000,"High Sales","Low Sales")</f>
        <v>Low Sales</v>
      </c>
      <c r="W343" t="b">
        <f>ISNUMBER(New_Finance_Data[[#This Row],[Date]])</f>
        <v>1</v>
      </c>
    </row>
    <row r="344" spans="1:23" x14ac:dyDescent="0.2">
      <c r="A344" t="s">
        <v>31</v>
      </c>
      <c r="B344" t="s">
        <v>22</v>
      </c>
      <c r="C344" t="s">
        <v>39</v>
      </c>
      <c r="D344" t="s">
        <v>45</v>
      </c>
      <c r="E344" s="27">
        <v>1659</v>
      </c>
      <c r="F344" s="27">
        <v>120</v>
      </c>
      <c r="G344" s="27">
        <v>300</v>
      </c>
      <c r="H344" s="27">
        <v>497700</v>
      </c>
      <c r="I344" s="5">
        <v>34839</v>
      </c>
      <c r="J344" s="27">
        <v>462861</v>
      </c>
      <c r="K344" s="27">
        <v>414750</v>
      </c>
      <c r="L344" s="5">
        <v>48111</v>
      </c>
      <c r="M344" s="28">
        <v>41821</v>
      </c>
      <c r="N344" s="3">
        <v>7</v>
      </c>
      <c r="O344" s="29" t="s">
        <v>30</v>
      </c>
      <c r="P344" s="3">
        <v>2014</v>
      </c>
      <c r="Q344" s="6">
        <f>New_Finance_Data[[#This Row],[ Profit ]]/New_Finance_Data[[#This Row],[  Sales ]]</f>
        <v>0.1039426523297491</v>
      </c>
      <c r="R344" t="str">
        <f>IF(New_Finance_Data[[#This Row],[  Sales ]]&gt;=100000,"High",IF(New_Finance_Data[[#This Row],[  Sales ]]&gt;=50000,"Medium","Low"))</f>
        <v>High</v>
      </c>
      <c r="S344" t="str">
        <f>IF(OR(ISBLANK(New_Finance_Data[[#This Row],[  Sales ]]),ISBLANK(New_Finance_Data[[#This Row],[ Profit ]])),"Missing","OK")</f>
        <v>OK</v>
      </c>
      <c r="T344" t="str">
        <f>TEXT(New_Finance_Data[[#This Row],[Date]],"MMM-YYYY")</f>
        <v>Jul-2014</v>
      </c>
      <c r="U344" t="str">
        <f>IF(New_Finance_Data[[#This Row],[ Profit ]]&gt;0,"Profit","Loss")</f>
        <v>Profit</v>
      </c>
      <c r="V344" t="str">
        <f>IF(New_Finance_Data[[#This Row],[  Sales ]]&gt;=50000,"High Sales","Low Sales")</f>
        <v>High Sales</v>
      </c>
      <c r="W344" t="b">
        <f>ISNUMBER(New_Finance_Data[[#This Row],[Date]])</f>
        <v>1</v>
      </c>
    </row>
    <row r="345" spans="1:23" x14ac:dyDescent="0.2">
      <c r="A345" t="s">
        <v>15</v>
      </c>
      <c r="B345" t="s">
        <v>24</v>
      </c>
      <c r="C345" t="s">
        <v>39</v>
      </c>
      <c r="D345" t="s">
        <v>45</v>
      </c>
      <c r="E345" s="27">
        <v>609</v>
      </c>
      <c r="F345" s="27">
        <v>120</v>
      </c>
      <c r="G345" s="27">
        <v>20</v>
      </c>
      <c r="H345" s="27">
        <v>12180</v>
      </c>
      <c r="I345" s="5">
        <v>852.6</v>
      </c>
      <c r="J345" s="27">
        <v>11327.4</v>
      </c>
      <c r="K345" s="27">
        <v>6090</v>
      </c>
      <c r="L345" s="5">
        <v>5237.3999999999996</v>
      </c>
      <c r="M345" s="28">
        <v>41852</v>
      </c>
      <c r="N345" s="3">
        <v>8</v>
      </c>
      <c r="O345" s="29" t="s">
        <v>32</v>
      </c>
      <c r="P345" s="3">
        <v>2014</v>
      </c>
      <c r="Q345" s="6">
        <f>New_Finance_Data[[#This Row],[ Profit ]]/New_Finance_Data[[#This Row],[  Sales ]]</f>
        <v>0.46236559139784944</v>
      </c>
      <c r="R345" t="str">
        <f>IF(New_Finance_Data[[#This Row],[  Sales ]]&gt;=100000,"High",IF(New_Finance_Data[[#This Row],[  Sales ]]&gt;=50000,"Medium","Low"))</f>
        <v>Low</v>
      </c>
      <c r="S345" t="str">
        <f>IF(OR(ISBLANK(New_Finance_Data[[#This Row],[  Sales ]]),ISBLANK(New_Finance_Data[[#This Row],[ Profit ]])),"Missing","OK")</f>
        <v>OK</v>
      </c>
      <c r="T345" t="str">
        <f>TEXT(New_Finance_Data[[#This Row],[Date]],"MMM-YYYY")</f>
        <v>Aug-2014</v>
      </c>
      <c r="U345" t="str">
        <f>IF(New_Finance_Data[[#This Row],[ Profit ]]&gt;0,"Profit","Loss")</f>
        <v>Profit</v>
      </c>
      <c r="V345" t="str">
        <f>IF(New_Finance_Data[[#This Row],[  Sales ]]&gt;=50000,"High Sales","Low Sales")</f>
        <v>Low Sales</v>
      </c>
      <c r="W345" t="b">
        <f>ISNUMBER(New_Finance_Data[[#This Row],[Date]])</f>
        <v>1</v>
      </c>
    </row>
    <row r="346" spans="1:23" x14ac:dyDescent="0.2">
      <c r="A346" t="s">
        <v>29</v>
      </c>
      <c r="B346" t="s">
        <v>20</v>
      </c>
      <c r="C346" t="s">
        <v>39</v>
      </c>
      <c r="D346" t="s">
        <v>45</v>
      </c>
      <c r="E346" s="27">
        <v>2087</v>
      </c>
      <c r="F346" s="27">
        <v>120</v>
      </c>
      <c r="G346" s="27">
        <v>125</v>
      </c>
      <c r="H346" s="27">
        <v>260875</v>
      </c>
      <c r="I346" s="5">
        <v>18261.25</v>
      </c>
      <c r="J346" s="27">
        <v>242613.75</v>
      </c>
      <c r="K346" s="27">
        <v>250440</v>
      </c>
      <c r="L346" s="5">
        <v>-7826.25</v>
      </c>
      <c r="M346" s="28">
        <v>41883</v>
      </c>
      <c r="N346" s="3">
        <v>9</v>
      </c>
      <c r="O346" s="29" t="s">
        <v>33</v>
      </c>
      <c r="P346" s="3">
        <v>2014</v>
      </c>
      <c r="Q346" s="6">
        <f>New_Finance_Data[[#This Row],[ Profit ]]/New_Finance_Data[[#This Row],[  Sales ]]</f>
        <v>-3.2258064516129031E-2</v>
      </c>
      <c r="R346" t="str">
        <f>IF(New_Finance_Data[[#This Row],[  Sales ]]&gt;=100000,"High",IF(New_Finance_Data[[#This Row],[  Sales ]]&gt;=50000,"Medium","Low"))</f>
        <v>High</v>
      </c>
      <c r="S346" t="str">
        <f>IF(OR(ISBLANK(New_Finance_Data[[#This Row],[  Sales ]]),ISBLANK(New_Finance_Data[[#This Row],[ Profit ]])),"Missing","OK")</f>
        <v>OK</v>
      </c>
      <c r="T346" t="str">
        <f>TEXT(New_Finance_Data[[#This Row],[Date]],"MMM-YYYY")</f>
        <v>Sep-2014</v>
      </c>
      <c r="U346" t="str">
        <f>IF(New_Finance_Data[[#This Row],[ Profit ]]&gt;0,"Profit","Loss")</f>
        <v>Loss</v>
      </c>
      <c r="V346" t="str">
        <f>IF(New_Finance_Data[[#This Row],[  Sales ]]&gt;=50000,"High Sales","Low Sales")</f>
        <v>High Sales</v>
      </c>
      <c r="W346" t="b">
        <f>ISNUMBER(New_Finance_Data[[#This Row],[Date]])</f>
        <v>1</v>
      </c>
    </row>
    <row r="347" spans="1:23" x14ac:dyDescent="0.2">
      <c r="A347" t="s">
        <v>15</v>
      </c>
      <c r="B347" t="s">
        <v>22</v>
      </c>
      <c r="C347" t="s">
        <v>39</v>
      </c>
      <c r="D347" t="s">
        <v>45</v>
      </c>
      <c r="E347" s="27">
        <v>1976</v>
      </c>
      <c r="F347" s="27">
        <v>120</v>
      </c>
      <c r="G347" s="27">
        <v>20</v>
      </c>
      <c r="H347" s="27">
        <v>39520</v>
      </c>
      <c r="I347" s="5">
        <v>2766.4</v>
      </c>
      <c r="J347" s="27">
        <v>36753.599999999999</v>
      </c>
      <c r="K347" s="27">
        <v>19760</v>
      </c>
      <c r="L347" s="5">
        <v>16993.599999999999</v>
      </c>
      <c r="M347" s="28">
        <v>41913</v>
      </c>
      <c r="N347" s="3">
        <v>10</v>
      </c>
      <c r="O347" s="29" t="s">
        <v>34</v>
      </c>
      <c r="P347" s="3">
        <v>2014</v>
      </c>
      <c r="Q347" s="6">
        <f>New_Finance_Data[[#This Row],[ Profit ]]/New_Finance_Data[[#This Row],[  Sales ]]</f>
        <v>0.46236559139784944</v>
      </c>
      <c r="R347" t="str">
        <f>IF(New_Finance_Data[[#This Row],[  Sales ]]&gt;=100000,"High",IF(New_Finance_Data[[#This Row],[  Sales ]]&gt;=50000,"Medium","Low"))</f>
        <v>Low</v>
      </c>
      <c r="S347" t="str">
        <f>IF(OR(ISBLANK(New_Finance_Data[[#This Row],[  Sales ]]),ISBLANK(New_Finance_Data[[#This Row],[ Profit ]])),"Missing","OK")</f>
        <v>OK</v>
      </c>
      <c r="T347" t="str">
        <f>TEXT(New_Finance_Data[[#This Row],[Date]],"MMM-YYYY")</f>
        <v>Oct-2014</v>
      </c>
      <c r="U347" t="str">
        <f>IF(New_Finance_Data[[#This Row],[ Profit ]]&gt;0,"Profit","Loss")</f>
        <v>Profit</v>
      </c>
      <c r="V347" t="str">
        <f>IF(New_Finance_Data[[#This Row],[  Sales ]]&gt;=50000,"High Sales","Low Sales")</f>
        <v>Low Sales</v>
      </c>
      <c r="W347" t="b">
        <f>ISNUMBER(New_Finance_Data[[#This Row],[Date]])</f>
        <v>1</v>
      </c>
    </row>
    <row r="348" spans="1:23" x14ac:dyDescent="0.2">
      <c r="A348" t="s">
        <v>15</v>
      </c>
      <c r="B348" t="s">
        <v>35</v>
      </c>
      <c r="C348" t="s">
        <v>39</v>
      </c>
      <c r="D348" t="s">
        <v>45</v>
      </c>
      <c r="E348" s="27">
        <v>1421</v>
      </c>
      <c r="F348" s="27">
        <v>120</v>
      </c>
      <c r="G348" s="27">
        <v>20</v>
      </c>
      <c r="H348" s="27">
        <v>28420</v>
      </c>
      <c r="I348" s="5">
        <v>1989.4</v>
      </c>
      <c r="J348" s="27">
        <v>26430.6</v>
      </c>
      <c r="K348" s="27">
        <v>14210</v>
      </c>
      <c r="L348" s="5">
        <v>12220.6</v>
      </c>
      <c r="M348" s="28">
        <v>41609</v>
      </c>
      <c r="N348" s="3">
        <v>12</v>
      </c>
      <c r="O348" s="29" t="s">
        <v>25</v>
      </c>
      <c r="P348" s="3">
        <v>2013</v>
      </c>
      <c r="Q348" s="6">
        <f>New_Finance_Data[[#This Row],[ Profit ]]/New_Finance_Data[[#This Row],[  Sales ]]</f>
        <v>0.4623655913978495</v>
      </c>
      <c r="R348" t="str">
        <f>IF(New_Finance_Data[[#This Row],[  Sales ]]&gt;=100000,"High",IF(New_Finance_Data[[#This Row],[  Sales ]]&gt;=50000,"Medium","Low"))</f>
        <v>Low</v>
      </c>
      <c r="S348" t="str">
        <f>IF(OR(ISBLANK(New_Finance_Data[[#This Row],[  Sales ]]),ISBLANK(New_Finance_Data[[#This Row],[ Profit ]])),"Missing","OK")</f>
        <v>OK</v>
      </c>
      <c r="T348" t="str">
        <f>TEXT(New_Finance_Data[[#This Row],[Date]],"MMM-YYYY")</f>
        <v>Dec-2013</v>
      </c>
      <c r="U348" t="str">
        <f>IF(New_Finance_Data[[#This Row],[ Profit ]]&gt;0,"Profit","Loss")</f>
        <v>Profit</v>
      </c>
      <c r="V348" t="str">
        <f>IF(New_Finance_Data[[#This Row],[  Sales ]]&gt;=50000,"High Sales","Low Sales")</f>
        <v>Low Sales</v>
      </c>
      <c r="W348" t="b">
        <f>ISNUMBER(New_Finance_Data[[#This Row],[Date]])</f>
        <v>1</v>
      </c>
    </row>
    <row r="349" spans="1:23" x14ac:dyDescent="0.2">
      <c r="A349" t="s">
        <v>31</v>
      </c>
      <c r="B349" t="s">
        <v>35</v>
      </c>
      <c r="C349" t="s">
        <v>39</v>
      </c>
      <c r="D349" t="s">
        <v>45</v>
      </c>
      <c r="E349" s="27">
        <v>1372</v>
      </c>
      <c r="F349" s="27">
        <v>120</v>
      </c>
      <c r="G349" s="27">
        <v>300</v>
      </c>
      <c r="H349" s="27">
        <v>411600</v>
      </c>
      <c r="I349" s="5">
        <v>28812</v>
      </c>
      <c r="J349" s="27">
        <v>382788</v>
      </c>
      <c r="K349" s="27">
        <v>343000</v>
      </c>
      <c r="L349" s="5">
        <v>39788</v>
      </c>
      <c r="M349" s="28">
        <v>41974</v>
      </c>
      <c r="N349" s="3">
        <v>12</v>
      </c>
      <c r="O349" s="29" t="s">
        <v>25</v>
      </c>
      <c r="P349" s="3">
        <v>2014</v>
      </c>
      <c r="Q349" s="6">
        <f>New_Finance_Data[[#This Row],[ Profit ]]/New_Finance_Data[[#This Row],[  Sales ]]</f>
        <v>0.1039426523297491</v>
      </c>
      <c r="R349" t="str">
        <f>IF(New_Finance_Data[[#This Row],[  Sales ]]&gt;=100000,"High",IF(New_Finance_Data[[#This Row],[  Sales ]]&gt;=50000,"Medium","Low"))</f>
        <v>High</v>
      </c>
      <c r="S349" t="str">
        <f>IF(OR(ISBLANK(New_Finance_Data[[#This Row],[  Sales ]]),ISBLANK(New_Finance_Data[[#This Row],[ Profit ]])),"Missing","OK")</f>
        <v>OK</v>
      </c>
      <c r="T349" t="str">
        <f>TEXT(New_Finance_Data[[#This Row],[Date]],"MMM-YYYY")</f>
        <v>Dec-2014</v>
      </c>
      <c r="U349" t="str">
        <f>IF(New_Finance_Data[[#This Row],[ Profit ]]&gt;0,"Profit","Loss")</f>
        <v>Profit</v>
      </c>
      <c r="V349" t="str">
        <f>IF(New_Finance_Data[[#This Row],[  Sales ]]&gt;=50000,"High Sales","Low Sales")</f>
        <v>High Sales</v>
      </c>
      <c r="W349" t="b">
        <f>ISNUMBER(New_Finance_Data[[#This Row],[Date]])</f>
        <v>1</v>
      </c>
    </row>
    <row r="350" spans="1:23" x14ac:dyDescent="0.2">
      <c r="A350" t="s">
        <v>15</v>
      </c>
      <c r="B350" t="s">
        <v>20</v>
      </c>
      <c r="C350" t="s">
        <v>39</v>
      </c>
      <c r="D350" t="s">
        <v>45</v>
      </c>
      <c r="E350" s="27">
        <v>588</v>
      </c>
      <c r="F350" s="27">
        <v>120</v>
      </c>
      <c r="G350" s="27">
        <v>20</v>
      </c>
      <c r="H350" s="27">
        <v>11760</v>
      </c>
      <c r="I350" s="5">
        <v>823.2</v>
      </c>
      <c r="J350" s="27">
        <v>10936.8</v>
      </c>
      <c r="K350" s="27">
        <v>5880</v>
      </c>
      <c r="L350" s="5">
        <v>5056.8</v>
      </c>
      <c r="M350" s="28">
        <v>41609</v>
      </c>
      <c r="N350" s="3">
        <v>12</v>
      </c>
      <c r="O350" s="29" t="s">
        <v>25</v>
      </c>
      <c r="P350" s="3">
        <v>2013</v>
      </c>
      <c r="Q350" s="6">
        <f>New_Finance_Data[[#This Row],[ Profit ]]/New_Finance_Data[[#This Row],[  Sales ]]</f>
        <v>0.4623655913978495</v>
      </c>
      <c r="R350" t="str">
        <f>IF(New_Finance_Data[[#This Row],[  Sales ]]&gt;=100000,"High",IF(New_Finance_Data[[#This Row],[  Sales ]]&gt;=50000,"Medium","Low"))</f>
        <v>Low</v>
      </c>
      <c r="S350" t="str">
        <f>IF(OR(ISBLANK(New_Finance_Data[[#This Row],[  Sales ]]),ISBLANK(New_Finance_Data[[#This Row],[ Profit ]])),"Missing","OK")</f>
        <v>OK</v>
      </c>
      <c r="T350" t="str">
        <f>TEXT(New_Finance_Data[[#This Row],[Date]],"MMM-YYYY")</f>
        <v>Dec-2013</v>
      </c>
      <c r="U350" t="str">
        <f>IF(New_Finance_Data[[#This Row],[ Profit ]]&gt;0,"Profit","Loss")</f>
        <v>Profit</v>
      </c>
      <c r="V350" t="str">
        <f>IF(New_Finance_Data[[#This Row],[  Sales ]]&gt;=50000,"High Sales","Low Sales")</f>
        <v>Low Sales</v>
      </c>
      <c r="W350" t="b">
        <f>ISNUMBER(New_Finance_Data[[#This Row],[Date]])</f>
        <v>1</v>
      </c>
    </row>
    <row r="351" spans="1:23" x14ac:dyDescent="0.2">
      <c r="A351" t="s">
        <v>28</v>
      </c>
      <c r="B351" t="s">
        <v>16</v>
      </c>
      <c r="C351" t="s">
        <v>40</v>
      </c>
      <c r="D351" t="s">
        <v>45</v>
      </c>
      <c r="E351" s="27">
        <v>3244.5</v>
      </c>
      <c r="F351" s="27">
        <v>250</v>
      </c>
      <c r="G351" s="27">
        <v>12</v>
      </c>
      <c r="H351" s="27">
        <v>38934</v>
      </c>
      <c r="I351" s="5">
        <v>2725.38</v>
      </c>
      <c r="J351" s="27">
        <v>36208.620000000003</v>
      </c>
      <c r="K351" s="27">
        <v>9733.5</v>
      </c>
      <c r="L351" s="5">
        <v>26475.119999999999</v>
      </c>
      <c r="M351" s="28">
        <v>41640</v>
      </c>
      <c r="N351" s="3">
        <v>1</v>
      </c>
      <c r="O351" s="29" t="s">
        <v>19</v>
      </c>
      <c r="P351" s="3">
        <v>2014</v>
      </c>
      <c r="Q351" s="6">
        <f>New_Finance_Data[[#This Row],[ Profit ]]/New_Finance_Data[[#This Row],[  Sales ]]</f>
        <v>0.73118279569892464</v>
      </c>
      <c r="R351" t="str">
        <f>IF(New_Finance_Data[[#This Row],[  Sales ]]&gt;=100000,"High",IF(New_Finance_Data[[#This Row],[  Sales ]]&gt;=50000,"Medium","Low"))</f>
        <v>Low</v>
      </c>
      <c r="S351" t="str">
        <f>IF(OR(ISBLANK(New_Finance_Data[[#This Row],[  Sales ]]),ISBLANK(New_Finance_Data[[#This Row],[ Profit ]])),"Missing","OK")</f>
        <v>OK</v>
      </c>
      <c r="T351" t="str">
        <f>TEXT(New_Finance_Data[[#This Row],[Date]],"MMM-YYYY")</f>
        <v>Jan-2014</v>
      </c>
      <c r="U351" t="str">
        <f>IF(New_Finance_Data[[#This Row],[ Profit ]]&gt;0,"Profit","Loss")</f>
        <v>Profit</v>
      </c>
      <c r="V351" t="str">
        <f>IF(New_Finance_Data[[#This Row],[  Sales ]]&gt;=50000,"High Sales","Low Sales")</f>
        <v>Low Sales</v>
      </c>
      <c r="W351" t="b">
        <f>ISNUMBER(New_Finance_Data[[#This Row],[Date]])</f>
        <v>1</v>
      </c>
    </row>
    <row r="352" spans="1:23" x14ac:dyDescent="0.2">
      <c r="A352" t="s">
        <v>31</v>
      </c>
      <c r="B352" t="s">
        <v>22</v>
      </c>
      <c r="C352" t="s">
        <v>40</v>
      </c>
      <c r="D352" t="s">
        <v>45</v>
      </c>
      <c r="E352" s="27">
        <v>959</v>
      </c>
      <c r="F352" s="27">
        <v>250</v>
      </c>
      <c r="G352" s="27">
        <v>300</v>
      </c>
      <c r="H352" s="27">
        <v>287700</v>
      </c>
      <c r="I352" s="5">
        <v>20139</v>
      </c>
      <c r="J352" s="27">
        <v>267561</v>
      </c>
      <c r="K352" s="27">
        <v>239750</v>
      </c>
      <c r="L352" s="5">
        <v>27811</v>
      </c>
      <c r="M352" s="28">
        <v>41671</v>
      </c>
      <c r="N352" s="3">
        <v>2</v>
      </c>
      <c r="O352" s="29" t="s">
        <v>37</v>
      </c>
      <c r="P352" s="3">
        <v>2014</v>
      </c>
      <c r="Q352" s="6">
        <f>New_Finance_Data[[#This Row],[ Profit ]]/New_Finance_Data[[#This Row],[  Sales ]]</f>
        <v>0.1039426523297491</v>
      </c>
      <c r="R352" t="str">
        <f>IF(New_Finance_Data[[#This Row],[  Sales ]]&gt;=100000,"High",IF(New_Finance_Data[[#This Row],[  Sales ]]&gt;=50000,"Medium","Low"))</f>
        <v>High</v>
      </c>
      <c r="S352" t="str">
        <f>IF(OR(ISBLANK(New_Finance_Data[[#This Row],[  Sales ]]),ISBLANK(New_Finance_Data[[#This Row],[ Profit ]])),"Missing","OK")</f>
        <v>OK</v>
      </c>
      <c r="T352" t="str">
        <f>TEXT(New_Finance_Data[[#This Row],[Date]],"MMM-YYYY")</f>
        <v>Feb-2014</v>
      </c>
      <c r="U352" t="str">
        <f>IF(New_Finance_Data[[#This Row],[ Profit ]]&gt;0,"Profit","Loss")</f>
        <v>Profit</v>
      </c>
      <c r="V352" t="str">
        <f>IF(New_Finance_Data[[#This Row],[  Sales ]]&gt;=50000,"High Sales","Low Sales")</f>
        <v>High Sales</v>
      </c>
      <c r="W352" t="b">
        <f>ISNUMBER(New_Finance_Data[[#This Row],[Date]])</f>
        <v>1</v>
      </c>
    </row>
    <row r="353" spans="1:23" x14ac:dyDescent="0.2">
      <c r="A353" t="s">
        <v>31</v>
      </c>
      <c r="B353" t="s">
        <v>24</v>
      </c>
      <c r="C353" t="s">
        <v>40</v>
      </c>
      <c r="D353" t="s">
        <v>45</v>
      </c>
      <c r="E353" s="27">
        <v>2747</v>
      </c>
      <c r="F353" s="27">
        <v>250</v>
      </c>
      <c r="G353" s="27">
        <v>300</v>
      </c>
      <c r="H353" s="27">
        <v>824100</v>
      </c>
      <c r="I353" s="5">
        <v>57687</v>
      </c>
      <c r="J353" s="27">
        <v>766413</v>
      </c>
      <c r="K353" s="27">
        <v>686750</v>
      </c>
      <c r="L353" s="5">
        <v>79663</v>
      </c>
      <c r="M353" s="28">
        <v>41671</v>
      </c>
      <c r="N353" s="3">
        <v>2</v>
      </c>
      <c r="O353" s="29" t="s">
        <v>37</v>
      </c>
      <c r="P353" s="3">
        <v>2014</v>
      </c>
      <c r="Q353" s="6">
        <f>New_Finance_Data[[#This Row],[ Profit ]]/New_Finance_Data[[#This Row],[  Sales ]]</f>
        <v>0.1039426523297491</v>
      </c>
      <c r="R353" t="str">
        <f>IF(New_Finance_Data[[#This Row],[  Sales ]]&gt;=100000,"High",IF(New_Finance_Data[[#This Row],[  Sales ]]&gt;=50000,"Medium","Low"))</f>
        <v>High</v>
      </c>
      <c r="S353" t="str">
        <f>IF(OR(ISBLANK(New_Finance_Data[[#This Row],[  Sales ]]),ISBLANK(New_Finance_Data[[#This Row],[ Profit ]])),"Missing","OK")</f>
        <v>OK</v>
      </c>
      <c r="T353" t="str">
        <f>TEXT(New_Finance_Data[[#This Row],[Date]],"MMM-YYYY")</f>
        <v>Feb-2014</v>
      </c>
      <c r="U353" t="str">
        <f>IF(New_Finance_Data[[#This Row],[ Profit ]]&gt;0,"Profit","Loss")</f>
        <v>Profit</v>
      </c>
      <c r="V353" t="str">
        <f>IF(New_Finance_Data[[#This Row],[  Sales ]]&gt;=50000,"High Sales","Low Sales")</f>
        <v>High Sales</v>
      </c>
      <c r="W353" t="b">
        <f>ISNUMBER(New_Finance_Data[[#This Row],[Date]])</f>
        <v>1</v>
      </c>
    </row>
    <row r="354" spans="1:23" x14ac:dyDescent="0.2">
      <c r="A354" t="s">
        <v>29</v>
      </c>
      <c r="B354" t="s">
        <v>16</v>
      </c>
      <c r="C354" t="s">
        <v>42</v>
      </c>
      <c r="D354" t="s">
        <v>45</v>
      </c>
      <c r="E354" s="27">
        <v>1645</v>
      </c>
      <c r="F354" s="27">
        <v>260</v>
      </c>
      <c r="G354" s="27">
        <v>125</v>
      </c>
      <c r="H354" s="27">
        <v>205625</v>
      </c>
      <c r="I354" s="5">
        <v>14393.75</v>
      </c>
      <c r="J354" s="27">
        <v>191231.25</v>
      </c>
      <c r="K354" s="27">
        <v>197400</v>
      </c>
      <c r="L354" s="5">
        <v>-6168.75</v>
      </c>
      <c r="M354" s="28">
        <v>41760</v>
      </c>
      <c r="N354" s="3">
        <v>5</v>
      </c>
      <c r="O354" s="29" t="s">
        <v>44</v>
      </c>
      <c r="P354" s="3">
        <v>2014</v>
      </c>
      <c r="Q354" s="6">
        <f>New_Finance_Data[[#This Row],[ Profit ]]/New_Finance_Data[[#This Row],[  Sales ]]</f>
        <v>-3.2258064516129031E-2</v>
      </c>
      <c r="R354" t="str">
        <f>IF(New_Finance_Data[[#This Row],[  Sales ]]&gt;=100000,"High",IF(New_Finance_Data[[#This Row],[  Sales ]]&gt;=50000,"Medium","Low"))</f>
        <v>High</v>
      </c>
      <c r="S354" t="str">
        <f>IF(OR(ISBLANK(New_Finance_Data[[#This Row],[  Sales ]]),ISBLANK(New_Finance_Data[[#This Row],[ Profit ]])),"Missing","OK")</f>
        <v>OK</v>
      </c>
      <c r="T354" t="str">
        <f>TEXT(New_Finance_Data[[#This Row],[Date]],"MMM-YYYY")</f>
        <v>May-2014</v>
      </c>
      <c r="U354" t="str">
        <f>IF(New_Finance_Data[[#This Row],[ Profit ]]&gt;0,"Profit","Loss")</f>
        <v>Loss</v>
      </c>
      <c r="V354" t="str">
        <f>IF(New_Finance_Data[[#This Row],[  Sales ]]&gt;=50000,"High Sales","Low Sales")</f>
        <v>High Sales</v>
      </c>
      <c r="W354" t="b">
        <f>ISNUMBER(New_Finance_Data[[#This Row],[Date]])</f>
        <v>1</v>
      </c>
    </row>
    <row r="355" spans="1:23" x14ac:dyDescent="0.2">
      <c r="A355" t="s">
        <v>15</v>
      </c>
      <c r="B355" t="s">
        <v>22</v>
      </c>
      <c r="C355" t="s">
        <v>42</v>
      </c>
      <c r="D355" t="s">
        <v>45</v>
      </c>
      <c r="E355" s="27">
        <v>2876</v>
      </c>
      <c r="F355" s="27">
        <v>260</v>
      </c>
      <c r="G355" s="27">
        <v>350</v>
      </c>
      <c r="H355" s="27">
        <v>1006600</v>
      </c>
      <c r="I355" s="5">
        <v>70462</v>
      </c>
      <c r="J355" s="27">
        <v>936138</v>
      </c>
      <c r="K355" s="27">
        <v>747760</v>
      </c>
      <c r="L355" s="5">
        <v>188378</v>
      </c>
      <c r="M355" s="28">
        <v>41883</v>
      </c>
      <c r="N355" s="3">
        <v>9</v>
      </c>
      <c r="O355" s="29" t="s">
        <v>33</v>
      </c>
      <c r="P355" s="3">
        <v>2014</v>
      </c>
      <c r="Q355" s="6">
        <f>New_Finance_Data[[#This Row],[ Profit ]]/New_Finance_Data[[#This Row],[  Sales ]]</f>
        <v>0.20122887864823349</v>
      </c>
      <c r="R355" t="str">
        <f>IF(New_Finance_Data[[#This Row],[  Sales ]]&gt;=100000,"High",IF(New_Finance_Data[[#This Row],[  Sales ]]&gt;=50000,"Medium","Low"))</f>
        <v>High</v>
      </c>
      <c r="S355" t="str">
        <f>IF(OR(ISBLANK(New_Finance_Data[[#This Row],[  Sales ]]),ISBLANK(New_Finance_Data[[#This Row],[ Profit ]])),"Missing","OK")</f>
        <v>OK</v>
      </c>
      <c r="T355" t="str">
        <f>TEXT(New_Finance_Data[[#This Row],[Date]],"MMM-YYYY")</f>
        <v>Sep-2014</v>
      </c>
      <c r="U355" t="str">
        <f>IF(New_Finance_Data[[#This Row],[ Profit ]]&gt;0,"Profit","Loss")</f>
        <v>Profit</v>
      </c>
      <c r="V355" t="str">
        <f>IF(New_Finance_Data[[#This Row],[  Sales ]]&gt;=50000,"High Sales","Low Sales")</f>
        <v>High Sales</v>
      </c>
      <c r="W355" t="b">
        <f>ISNUMBER(New_Finance_Data[[#This Row],[Date]])</f>
        <v>1</v>
      </c>
    </row>
    <row r="356" spans="1:23" x14ac:dyDescent="0.2">
      <c r="A356" t="s">
        <v>29</v>
      </c>
      <c r="B356" t="s">
        <v>20</v>
      </c>
      <c r="C356" t="s">
        <v>42</v>
      </c>
      <c r="D356" t="s">
        <v>45</v>
      </c>
      <c r="E356" s="27">
        <v>994</v>
      </c>
      <c r="F356" s="27">
        <v>260</v>
      </c>
      <c r="G356" s="27">
        <v>125</v>
      </c>
      <c r="H356" s="27">
        <v>124250</v>
      </c>
      <c r="I356" s="5">
        <v>8697.5</v>
      </c>
      <c r="J356" s="27">
        <v>115552.5</v>
      </c>
      <c r="K356" s="27">
        <v>119280</v>
      </c>
      <c r="L356" s="5">
        <v>-3727.5</v>
      </c>
      <c r="M356" s="28">
        <v>41518</v>
      </c>
      <c r="N356" s="3">
        <v>9</v>
      </c>
      <c r="O356" s="29" t="s">
        <v>33</v>
      </c>
      <c r="P356" s="3">
        <v>2013</v>
      </c>
      <c r="Q356" s="6">
        <f>New_Finance_Data[[#This Row],[ Profit ]]/New_Finance_Data[[#This Row],[  Sales ]]</f>
        <v>-3.2258064516129031E-2</v>
      </c>
      <c r="R356" t="str">
        <f>IF(New_Finance_Data[[#This Row],[  Sales ]]&gt;=100000,"High",IF(New_Finance_Data[[#This Row],[  Sales ]]&gt;=50000,"Medium","Low"))</f>
        <v>High</v>
      </c>
      <c r="S356" t="str">
        <f>IF(OR(ISBLANK(New_Finance_Data[[#This Row],[  Sales ]]),ISBLANK(New_Finance_Data[[#This Row],[ Profit ]])),"Missing","OK")</f>
        <v>OK</v>
      </c>
      <c r="T356" t="str">
        <f>TEXT(New_Finance_Data[[#This Row],[Date]],"MMM-YYYY")</f>
        <v>Sep-2013</v>
      </c>
      <c r="U356" t="str">
        <f>IF(New_Finance_Data[[#This Row],[ Profit ]]&gt;0,"Profit","Loss")</f>
        <v>Loss</v>
      </c>
      <c r="V356" t="str">
        <f>IF(New_Finance_Data[[#This Row],[  Sales ]]&gt;=50000,"High Sales","Low Sales")</f>
        <v>High Sales</v>
      </c>
      <c r="W356" t="b">
        <f>ISNUMBER(New_Finance_Data[[#This Row],[Date]])</f>
        <v>1</v>
      </c>
    </row>
    <row r="357" spans="1:23" x14ac:dyDescent="0.2">
      <c r="A357" t="s">
        <v>15</v>
      </c>
      <c r="B357" t="s">
        <v>16</v>
      </c>
      <c r="C357" t="s">
        <v>42</v>
      </c>
      <c r="D357" t="s">
        <v>45</v>
      </c>
      <c r="E357" s="27">
        <v>1118</v>
      </c>
      <c r="F357" s="27">
        <v>260</v>
      </c>
      <c r="G357" s="27">
        <v>20</v>
      </c>
      <c r="H357" s="27">
        <v>22360</v>
      </c>
      <c r="I357" s="5">
        <v>1565.2</v>
      </c>
      <c r="J357" s="27">
        <v>20794.8</v>
      </c>
      <c r="K357" s="27">
        <v>11180</v>
      </c>
      <c r="L357" s="5">
        <v>9614.7999999999993</v>
      </c>
      <c r="M357" s="28">
        <v>41944</v>
      </c>
      <c r="N357" s="3">
        <v>11</v>
      </c>
      <c r="O357" s="29" t="s">
        <v>38</v>
      </c>
      <c r="P357" s="3">
        <v>2014</v>
      </c>
      <c r="Q357" s="6">
        <f>New_Finance_Data[[#This Row],[ Profit ]]/New_Finance_Data[[#This Row],[  Sales ]]</f>
        <v>0.46236559139784944</v>
      </c>
      <c r="R357" t="str">
        <f>IF(New_Finance_Data[[#This Row],[  Sales ]]&gt;=100000,"High",IF(New_Finance_Data[[#This Row],[  Sales ]]&gt;=50000,"Medium","Low"))</f>
        <v>Low</v>
      </c>
      <c r="S357" t="str">
        <f>IF(OR(ISBLANK(New_Finance_Data[[#This Row],[  Sales ]]),ISBLANK(New_Finance_Data[[#This Row],[ Profit ]])),"Missing","OK")</f>
        <v>OK</v>
      </c>
      <c r="T357" t="str">
        <f>TEXT(New_Finance_Data[[#This Row],[Date]],"MMM-YYYY")</f>
        <v>Nov-2014</v>
      </c>
      <c r="U357" t="str">
        <f>IF(New_Finance_Data[[#This Row],[ Profit ]]&gt;0,"Profit","Loss")</f>
        <v>Profit</v>
      </c>
      <c r="V357" t="str">
        <f>IF(New_Finance_Data[[#This Row],[  Sales ]]&gt;=50000,"High Sales","Low Sales")</f>
        <v>Low Sales</v>
      </c>
      <c r="W357" t="b">
        <f>ISNUMBER(New_Finance_Data[[#This Row],[Date]])</f>
        <v>1</v>
      </c>
    </row>
    <row r="358" spans="1:23" x14ac:dyDescent="0.2">
      <c r="A358" t="s">
        <v>31</v>
      </c>
      <c r="B358" t="s">
        <v>35</v>
      </c>
      <c r="C358" t="s">
        <v>42</v>
      </c>
      <c r="D358" t="s">
        <v>45</v>
      </c>
      <c r="E358" s="27">
        <v>1372</v>
      </c>
      <c r="F358" s="27">
        <v>260</v>
      </c>
      <c r="G358" s="27">
        <v>300</v>
      </c>
      <c r="H358" s="27">
        <v>411600</v>
      </c>
      <c r="I358" s="5">
        <v>28812</v>
      </c>
      <c r="J358" s="27">
        <v>382788</v>
      </c>
      <c r="K358" s="27">
        <v>343000</v>
      </c>
      <c r="L358" s="5">
        <v>39788</v>
      </c>
      <c r="M358" s="28">
        <v>41974</v>
      </c>
      <c r="N358" s="3">
        <v>12</v>
      </c>
      <c r="O358" s="29" t="s">
        <v>25</v>
      </c>
      <c r="P358" s="3">
        <v>2014</v>
      </c>
      <c r="Q358" s="6">
        <f>New_Finance_Data[[#This Row],[ Profit ]]/New_Finance_Data[[#This Row],[  Sales ]]</f>
        <v>0.1039426523297491</v>
      </c>
      <c r="R358" t="str">
        <f>IF(New_Finance_Data[[#This Row],[  Sales ]]&gt;=100000,"High",IF(New_Finance_Data[[#This Row],[  Sales ]]&gt;=50000,"Medium","Low"))</f>
        <v>High</v>
      </c>
      <c r="S358" t="str">
        <f>IF(OR(ISBLANK(New_Finance_Data[[#This Row],[  Sales ]]),ISBLANK(New_Finance_Data[[#This Row],[ Profit ]])),"Missing","OK")</f>
        <v>OK</v>
      </c>
      <c r="T358" t="str">
        <f>TEXT(New_Finance_Data[[#This Row],[Date]],"MMM-YYYY")</f>
        <v>Dec-2014</v>
      </c>
      <c r="U358" t="str">
        <f>IF(New_Finance_Data[[#This Row],[ Profit ]]&gt;0,"Profit","Loss")</f>
        <v>Profit</v>
      </c>
      <c r="V358" t="str">
        <f>IF(New_Finance_Data[[#This Row],[  Sales ]]&gt;=50000,"High Sales","Low Sales")</f>
        <v>High Sales</v>
      </c>
      <c r="W358" t="b">
        <f>ISNUMBER(New_Finance_Data[[#This Row],[Date]])</f>
        <v>1</v>
      </c>
    </row>
    <row r="359" spans="1:23" x14ac:dyDescent="0.2">
      <c r="A359" t="s">
        <v>15</v>
      </c>
      <c r="B359" t="s">
        <v>16</v>
      </c>
      <c r="C359" t="s">
        <v>26</v>
      </c>
      <c r="D359" t="s">
        <v>45</v>
      </c>
      <c r="E359" s="27">
        <v>488</v>
      </c>
      <c r="F359" s="27">
        <v>5</v>
      </c>
      <c r="G359" s="27">
        <v>7</v>
      </c>
      <c r="H359" s="27">
        <v>3416</v>
      </c>
      <c r="I359" s="5">
        <v>273.27999999999997</v>
      </c>
      <c r="J359" s="27">
        <v>3142.72</v>
      </c>
      <c r="K359" s="27">
        <v>2440</v>
      </c>
      <c r="L359" s="5">
        <v>702.72</v>
      </c>
      <c r="M359" s="28">
        <v>41671</v>
      </c>
      <c r="N359" s="3">
        <v>2</v>
      </c>
      <c r="O359" s="29" t="s">
        <v>37</v>
      </c>
      <c r="P359" s="3">
        <v>2014</v>
      </c>
      <c r="Q359" s="6">
        <f>New_Finance_Data[[#This Row],[ Profit ]]/New_Finance_Data[[#This Row],[  Sales ]]</f>
        <v>0.22360248447204972</v>
      </c>
      <c r="R359" t="str">
        <f>IF(New_Finance_Data[[#This Row],[  Sales ]]&gt;=100000,"High",IF(New_Finance_Data[[#This Row],[  Sales ]]&gt;=50000,"Medium","Low"))</f>
        <v>Low</v>
      </c>
      <c r="S359" t="str">
        <f>IF(OR(ISBLANK(New_Finance_Data[[#This Row],[  Sales ]]),ISBLANK(New_Finance_Data[[#This Row],[ Profit ]])),"Missing","OK")</f>
        <v>OK</v>
      </c>
      <c r="T359" t="str">
        <f>TEXT(New_Finance_Data[[#This Row],[Date]],"MMM-YYYY")</f>
        <v>Feb-2014</v>
      </c>
      <c r="U359" t="str">
        <f>IF(New_Finance_Data[[#This Row],[ Profit ]]&gt;0,"Profit","Loss")</f>
        <v>Profit</v>
      </c>
      <c r="V359" t="str">
        <f>IF(New_Finance_Data[[#This Row],[  Sales ]]&gt;=50000,"High Sales","Low Sales")</f>
        <v>Low Sales</v>
      </c>
      <c r="W359" t="b">
        <f>ISNUMBER(New_Finance_Data[[#This Row],[Date]])</f>
        <v>1</v>
      </c>
    </row>
    <row r="360" spans="1:23" x14ac:dyDescent="0.2">
      <c r="A360" t="s">
        <v>15</v>
      </c>
      <c r="B360" t="s">
        <v>35</v>
      </c>
      <c r="C360" t="s">
        <v>26</v>
      </c>
      <c r="D360" t="s">
        <v>45</v>
      </c>
      <c r="E360" s="27">
        <v>1282</v>
      </c>
      <c r="F360" s="27">
        <v>5</v>
      </c>
      <c r="G360" s="27">
        <v>20</v>
      </c>
      <c r="H360" s="27">
        <v>25640</v>
      </c>
      <c r="I360" s="5">
        <v>2051.1999999999998</v>
      </c>
      <c r="J360" s="27">
        <v>23588.799999999999</v>
      </c>
      <c r="K360" s="27">
        <v>12820</v>
      </c>
      <c r="L360" s="5">
        <v>10768.8</v>
      </c>
      <c r="M360" s="28">
        <v>41791</v>
      </c>
      <c r="N360" s="3">
        <v>6</v>
      </c>
      <c r="O360" s="29" t="s">
        <v>23</v>
      </c>
      <c r="P360" s="3">
        <v>2014</v>
      </c>
      <c r="Q360" s="6">
        <f>New_Finance_Data[[#This Row],[ Profit ]]/New_Finance_Data[[#This Row],[  Sales ]]</f>
        <v>0.45652173913043476</v>
      </c>
      <c r="R360" t="str">
        <f>IF(New_Finance_Data[[#This Row],[  Sales ]]&gt;=100000,"High",IF(New_Finance_Data[[#This Row],[  Sales ]]&gt;=50000,"Medium","Low"))</f>
        <v>Low</v>
      </c>
      <c r="S360" t="str">
        <f>IF(OR(ISBLANK(New_Finance_Data[[#This Row],[  Sales ]]),ISBLANK(New_Finance_Data[[#This Row],[ Profit ]])),"Missing","OK")</f>
        <v>OK</v>
      </c>
      <c r="T360" t="str">
        <f>TEXT(New_Finance_Data[[#This Row],[Date]],"MMM-YYYY")</f>
        <v>Jun-2014</v>
      </c>
      <c r="U360" t="str">
        <f>IF(New_Finance_Data[[#This Row],[ Profit ]]&gt;0,"Profit","Loss")</f>
        <v>Profit</v>
      </c>
      <c r="V360" t="str">
        <f>IF(New_Finance_Data[[#This Row],[  Sales ]]&gt;=50000,"High Sales","Low Sales")</f>
        <v>Low Sales</v>
      </c>
      <c r="W360" t="b">
        <f>ISNUMBER(New_Finance_Data[[#This Row],[Date]])</f>
        <v>1</v>
      </c>
    </row>
    <row r="361" spans="1:23" x14ac:dyDescent="0.2">
      <c r="A361" t="s">
        <v>15</v>
      </c>
      <c r="B361" t="s">
        <v>16</v>
      </c>
      <c r="C361" t="s">
        <v>36</v>
      </c>
      <c r="D361" t="s">
        <v>45</v>
      </c>
      <c r="E361" s="27">
        <v>257</v>
      </c>
      <c r="F361" s="27">
        <v>10</v>
      </c>
      <c r="G361" s="27">
        <v>7</v>
      </c>
      <c r="H361" s="27">
        <v>1799</v>
      </c>
      <c r="I361" s="5">
        <v>143.91999999999999</v>
      </c>
      <c r="J361" s="27">
        <v>1655.08</v>
      </c>
      <c r="K361" s="27">
        <v>1285</v>
      </c>
      <c r="L361" s="5">
        <v>370.08</v>
      </c>
      <c r="M361" s="28">
        <v>41760</v>
      </c>
      <c r="N361" s="3">
        <v>5</v>
      </c>
      <c r="O361" s="29" t="s">
        <v>44</v>
      </c>
      <c r="P361" s="3">
        <v>2014</v>
      </c>
      <c r="Q361" s="6">
        <f>New_Finance_Data[[#This Row],[ Profit ]]/New_Finance_Data[[#This Row],[  Sales ]]</f>
        <v>0.2236024844720497</v>
      </c>
      <c r="R361" t="str">
        <f>IF(New_Finance_Data[[#This Row],[  Sales ]]&gt;=100000,"High",IF(New_Finance_Data[[#This Row],[  Sales ]]&gt;=50000,"Medium","Low"))</f>
        <v>Low</v>
      </c>
      <c r="S361" t="str">
        <f>IF(OR(ISBLANK(New_Finance_Data[[#This Row],[  Sales ]]),ISBLANK(New_Finance_Data[[#This Row],[ Profit ]])),"Missing","OK")</f>
        <v>OK</v>
      </c>
      <c r="T361" t="str">
        <f>TEXT(New_Finance_Data[[#This Row],[Date]],"MMM-YYYY")</f>
        <v>May-2014</v>
      </c>
      <c r="U361" t="str">
        <f>IF(New_Finance_Data[[#This Row],[ Profit ]]&gt;0,"Profit","Loss")</f>
        <v>Profit</v>
      </c>
      <c r="V361" t="str">
        <f>IF(New_Finance_Data[[#This Row],[  Sales ]]&gt;=50000,"High Sales","Low Sales")</f>
        <v>Low Sales</v>
      </c>
      <c r="W361" t="b">
        <f>ISNUMBER(New_Finance_Data[[#This Row],[Date]])</f>
        <v>1</v>
      </c>
    </row>
    <row r="362" spans="1:23" x14ac:dyDescent="0.2">
      <c r="A362" t="s">
        <v>15</v>
      </c>
      <c r="B362" t="s">
        <v>35</v>
      </c>
      <c r="C362" t="s">
        <v>42</v>
      </c>
      <c r="D362" t="s">
        <v>45</v>
      </c>
      <c r="E362" s="27">
        <v>1282</v>
      </c>
      <c r="F362" s="27">
        <v>260</v>
      </c>
      <c r="G362" s="27">
        <v>20</v>
      </c>
      <c r="H362" s="27">
        <v>25640</v>
      </c>
      <c r="I362" s="5">
        <v>2051.1999999999998</v>
      </c>
      <c r="J362" s="27">
        <v>23588.799999999999</v>
      </c>
      <c r="K362" s="27">
        <v>12820</v>
      </c>
      <c r="L362" s="5">
        <v>10768.8</v>
      </c>
      <c r="M362" s="28">
        <v>41791</v>
      </c>
      <c r="N362" s="3">
        <v>6</v>
      </c>
      <c r="O362" s="29" t="s">
        <v>23</v>
      </c>
      <c r="P362" s="3">
        <v>2014</v>
      </c>
      <c r="Q362" s="6">
        <f>New_Finance_Data[[#This Row],[ Profit ]]/New_Finance_Data[[#This Row],[  Sales ]]</f>
        <v>0.45652173913043476</v>
      </c>
      <c r="R362" t="str">
        <f>IF(New_Finance_Data[[#This Row],[  Sales ]]&gt;=100000,"High",IF(New_Finance_Data[[#This Row],[  Sales ]]&gt;=50000,"Medium","Low"))</f>
        <v>Low</v>
      </c>
      <c r="S362" t="str">
        <f>IF(OR(ISBLANK(New_Finance_Data[[#This Row],[  Sales ]]),ISBLANK(New_Finance_Data[[#This Row],[ Profit ]])),"Missing","OK")</f>
        <v>OK</v>
      </c>
      <c r="T362" t="str">
        <f>TEXT(New_Finance_Data[[#This Row],[Date]],"MMM-YYYY")</f>
        <v>Jun-2014</v>
      </c>
      <c r="U362" t="str">
        <f>IF(New_Finance_Data[[#This Row],[ Profit ]]&gt;0,"Profit","Loss")</f>
        <v>Profit</v>
      </c>
      <c r="V362" t="str">
        <f>IF(New_Finance_Data[[#This Row],[  Sales ]]&gt;=50000,"High Sales","Low Sales")</f>
        <v>Low Sales</v>
      </c>
      <c r="W362" t="b">
        <f>ISNUMBER(New_Finance_Data[[#This Row],[Date]])</f>
        <v>1</v>
      </c>
    </row>
    <row r="363" spans="1:23" x14ac:dyDescent="0.2">
      <c r="A363" t="s">
        <v>29</v>
      </c>
      <c r="B363" t="s">
        <v>24</v>
      </c>
      <c r="C363" t="s">
        <v>17</v>
      </c>
      <c r="D363" t="s">
        <v>45</v>
      </c>
      <c r="E363" s="27">
        <v>1540</v>
      </c>
      <c r="F363" s="27">
        <v>3</v>
      </c>
      <c r="G363" s="27">
        <v>125</v>
      </c>
      <c r="H363" s="27">
        <v>192500</v>
      </c>
      <c r="I363" s="5">
        <v>15400</v>
      </c>
      <c r="J363" s="27">
        <v>177100</v>
      </c>
      <c r="K363" s="27">
        <v>184800</v>
      </c>
      <c r="L363" s="5">
        <v>-7700</v>
      </c>
      <c r="M363" s="28">
        <v>41852</v>
      </c>
      <c r="N363" s="3">
        <v>8</v>
      </c>
      <c r="O363" s="29" t="s">
        <v>32</v>
      </c>
      <c r="P363" s="3">
        <v>2014</v>
      </c>
      <c r="Q363" s="6">
        <f>New_Finance_Data[[#This Row],[ Profit ]]/New_Finance_Data[[#This Row],[  Sales ]]</f>
        <v>-4.3478260869565216E-2</v>
      </c>
      <c r="R363" t="str">
        <f>IF(New_Finance_Data[[#This Row],[  Sales ]]&gt;=100000,"High",IF(New_Finance_Data[[#This Row],[  Sales ]]&gt;=50000,"Medium","Low"))</f>
        <v>High</v>
      </c>
      <c r="S363" t="str">
        <f>IF(OR(ISBLANK(New_Finance_Data[[#This Row],[  Sales ]]),ISBLANK(New_Finance_Data[[#This Row],[ Profit ]])),"Missing","OK")</f>
        <v>OK</v>
      </c>
      <c r="T363" t="str">
        <f>TEXT(New_Finance_Data[[#This Row],[Date]],"MMM-YYYY")</f>
        <v>Aug-2014</v>
      </c>
      <c r="U363" t="str">
        <f>IF(New_Finance_Data[[#This Row],[ Profit ]]&gt;0,"Profit","Loss")</f>
        <v>Loss</v>
      </c>
      <c r="V363" t="str">
        <f>IF(New_Finance_Data[[#This Row],[  Sales ]]&gt;=50000,"High Sales","Low Sales")</f>
        <v>High Sales</v>
      </c>
      <c r="W363" t="b">
        <f>ISNUMBER(New_Finance_Data[[#This Row],[Date]])</f>
        <v>1</v>
      </c>
    </row>
    <row r="364" spans="1:23" x14ac:dyDescent="0.2">
      <c r="A364" t="s">
        <v>21</v>
      </c>
      <c r="B364" t="s">
        <v>22</v>
      </c>
      <c r="C364" t="s">
        <v>17</v>
      </c>
      <c r="D364" t="s">
        <v>45</v>
      </c>
      <c r="E364" s="27">
        <v>490</v>
      </c>
      <c r="F364" s="27">
        <v>3</v>
      </c>
      <c r="G364" s="27">
        <v>15</v>
      </c>
      <c r="H364" s="27">
        <v>7350</v>
      </c>
      <c r="I364" s="5">
        <v>588</v>
      </c>
      <c r="J364" s="27">
        <v>6762</v>
      </c>
      <c r="K364" s="27">
        <v>4900</v>
      </c>
      <c r="L364" s="5">
        <v>1862</v>
      </c>
      <c r="M364" s="28">
        <v>41944</v>
      </c>
      <c r="N364" s="3">
        <v>11</v>
      </c>
      <c r="O364" s="29" t="s">
        <v>38</v>
      </c>
      <c r="P364" s="3">
        <v>2014</v>
      </c>
      <c r="Q364" s="6">
        <f>New_Finance_Data[[#This Row],[ Profit ]]/New_Finance_Data[[#This Row],[  Sales ]]</f>
        <v>0.27536231884057971</v>
      </c>
      <c r="R364" t="str">
        <f>IF(New_Finance_Data[[#This Row],[  Sales ]]&gt;=100000,"High",IF(New_Finance_Data[[#This Row],[  Sales ]]&gt;=50000,"Medium","Low"))</f>
        <v>Low</v>
      </c>
      <c r="S364" t="str">
        <f>IF(OR(ISBLANK(New_Finance_Data[[#This Row],[  Sales ]]),ISBLANK(New_Finance_Data[[#This Row],[ Profit ]])),"Missing","OK")</f>
        <v>OK</v>
      </c>
      <c r="T364" t="str">
        <f>TEXT(New_Finance_Data[[#This Row],[Date]],"MMM-YYYY")</f>
        <v>Nov-2014</v>
      </c>
      <c r="U364" t="str">
        <f>IF(New_Finance_Data[[#This Row],[ Profit ]]&gt;0,"Profit","Loss")</f>
        <v>Profit</v>
      </c>
      <c r="V364" t="str">
        <f>IF(New_Finance_Data[[#This Row],[  Sales ]]&gt;=50000,"High Sales","Low Sales")</f>
        <v>Low Sales</v>
      </c>
      <c r="W364" t="b">
        <f>ISNUMBER(New_Finance_Data[[#This Row],[Date]])</f>
        <v>1</v>
      </c>
    </row>
    <row r="365" spans="1:23" x14ac:dyDescent="0.2">
      <c r="A365" t="s">
        <v>15</v>
      </c>
      <c r="B365" t="s">
        <v>24</v>
      </c>
      <c r="C365" t="s">
        <v>17</v>
      </c>
      <c r="D365" t="s">
        <v>45</v>
      </c>
      <c r="E365" s="27">
        <v>1362</v>
      </c>
      <c r="F365" s="27">
        <v>3</v>
      </c>
      <c r="G365" s="27">
        <v>350</v>
      </c>
      <c r="H365" s="27">
        <v>476700</v>
      </c>
      <c r="I365" s="5">
        <v>38136</v>
      </c>
      <c r="J365" s="27">
        <v>438564</v>
      </c>
      <c r="K365" s="27">
        <v>354120</v>
      </c>
      <c r="L365" s="5">
        <v>84444</v>
      </c>
      <c r="M365" s="28">
        <v>41974</v>
      </c>
      <c r="N365" s="3">
        <v>12</v>
      </c>
      <c r="O365" s="29" t="s">
        <v>25</v>
      </c>
      <c r="P365" s="3">
        <v>2014</v>
      </c>
      <c r="Q365" s="6">
        <f>New_Finance_Data[[#This Row],[ Profit ]]/New_Finance_Data[[#This Row],[  Sales ]]</f>
        <v>0.19254658385093168</v>
      </c>
      <c r="R365" t="str">
        <f>IF(New_Finance_Data[[#This Row],[  Sales ]]&gt;=100000,"High",IF(New_Finance_Data[[#This Row],[  Sales ]]&gt;=50000,"Medium","Low"))</f>
        <v>High</v>
      </c>
      <c r="S365" t="str">
        <f>IF(OR(ISBLANK(New_Finance_Data[[#This Row],[  Sales ]]),ISBLANK(New_Finance_Data[[#This Row],[ Profit ]])),"Missing","OK")</f>
        <v>OK</v>
      </c>
      <c r="T365" t="str">
        <f>TEXT(New_Finance_Data[[#This Row],[Date]],"MMM-YYYY")</f>
        <v>Dec-2014</v>
      </c>
      <c r="U365" t="str">
        <f>IF(New_Finance_Data[[#This Row],[ Profit ]]&gt;0,"Profit","Loss")</f>
        <v>Profit</v>
      </c>
      <c r="V365" t="str">
        <f>IF(New_Finance_Data[[#This Row],[  Sales ]]&gt;=50000,"High Sales","Low Sales")</f>
        <v>High Sales</v>
      </c>
      <c r="W365" t="b">
        <f>ISNUMBER(New_Finance_Data[[#This Row],[Date]])</f>
        <v>1</v>
      </c>
    </row>
    <row r="366" spans="1:23" x14ac:dyDescent="0.2">
      <c r="A366" t="s">
        <v>21</v>
      </c>
      <c r="B366" t="s">
        <v>22</v>
      </c>
      <c r="C366" t="s">
        <v>26</v>
      </c>
      <c r="D366" t="s">
        <v>45</v>
      </c>
      <c r="E366" s="27">
        <v>2501</v>
      </c>
      <c r="F366" s="27">
        <v>5</v>
      </c>
      <c r="G366" s="27">
        <v>15</v>
      </c>
      <c r="H366" s="27">
        <v>37515</v>
      </c>
      <c r="I366" s="5">
        <v>3001.2</v>
      </c>
      <c r="J366" s="27">
        <v>34513.800000000003</v>
      </c>
      <c r="K366" s="27">
        <v>25010</v>
      </c>
      <c r="L366" s="5">
        <v>9503.7999999999993</v>
      </c>
      <c r="M366" s="28">
        <v>41699</v>
      </c>
      <c r="N366" s="3">
        <v>3</v>
      </c>
      <c r="O366" s="29" t="s">
        <v>27</v>
      </c>
      <c r="P366" s="3">
        <v>2014</v>
      </c>
      <c r="Q366" s="6">
        <f>New_Finance_Data[[#This Row],[ Profit ]]/New_Finance_Data[[#This Row],[  Sales ]]</f>
        <v>0.27536231884057966</v>
      </c>
      <c r="R366" t="str">
        <f>IF(New_Finance_Data[[#This Row],[  Sales ]]&gt;=100000,"High",IF(New_Finance_Data[[#This Row],[  Sales ]]&gt;=50000,"Medium","Low"))</f>
        <v>Low</v>
      </c>
      <c r="S366" t="str">
        <f>IF(OR(ISBLANK(New_Finance_Data[[#This Row],[  Sales ]]),ISBLANK(New_Finance_Data[[#This Row],[ Profit ]])),"Missing","OK")</f>
        <v>OK</v>
      </c>
      <c r="T366" t="str">
        <f>TEXT(New_Finance_Data[[#This Row],[Date]],"MMM-YYYY")</f>
        <v>Mar-2014</v>
      </c>
      <c r="U366" t="str">
        <f>IF(New_Finance_Data[[#This Row],[ Profit ]]&gt;0,"Profit","Loss")</f>
        <v>Profit</v>
      </c>
      <c r="V366" t="str">
        <f>IF(New_Finance_Data[[#This Row],[  Sales ]]&gt;=50000,"High Sales","Low Sales")</f>
        <v>Low Sales</v>
      </c>
      <c r="W366" t="b">
        <f>ISNUMBER(New_Finance_Data[[#This Row],[Date]])</f>
        <v>1</v>
      </c>
    </row>
    <row r="367" spans="1:23" x14ac:dyDescent="0.2">
      <c r="A367" t="s">
        <v>15</v>
      </c>
      <c r="B367" t="s">
        <v>16</v>
      </c>
      <c r="C367" t="s">
        <v>26</v>
      </c>
      <c r="D367" t="s">
        <v>45</v>
      </c>
      <c r="E367" s="27">
        <v>708</v>
      </c>
      <c r="F367" s="27">
        <v>5</v>
      </c>
      <c r="G367" s="27">
        <v>20</v>
      </c>
      <c r="H367" s="27">
        <v>14160</v>
      </c>
      <c r="I367" s="5">
        <v>1132.8</v>
      </c>
      <c r="J367" s="27">
        <v>13027.2</v>
      </c>
      <c r="K367" s="27">
        <v>7080</v>
      </c>
      <c r="L367" s="5">
        <v>5947.2</v>
      </c>
      <c r="M367" s="28">
        <v>41791</v>
      </c>
      <c r="N367" s="3">
        <v>6</v>
      </c>
      <c r="O367" s="29" t="s">
        <v>23</v>
      </c>
      <c r="P367" s="3">
        <v>2014</v>
      </c>
      <c r="Q367" s="6">
        <f>New_Finance_Data[[#This Row],[ Profit ]]/New_Finance_Data[[#This Row],[  Sales ]]</f>
        <v>0.45652173913043476</v>
      </c>
      <c r="R367" t="str">
        <f>IF(New_Finance_Data[[#This Row],[  Sales ]]&gt;=100000,"High",IF(New_Finance_Data[[#This Row],[  Sales ]]&gt;=50000,"Medium","Low"))</f>
        <v>Low</v>
      </c>
      <c r="S367" t="str">
        <f>IF(OR(ISBLANK(New_Finance_Data[[#This Row],[  Sales ]]),ISBLANK(New_Finance_Data[[#This Row],[ Profit ]])),"Missing","OK")</f>
        <v>OK</v>
      </c>
      <c r="T367" t="str">
        <f>TEXT(New_Finance_Data[[#This Row],[Date]],"MMM-YYYY")</f>
        <v>Jun-2014</v>
      </c>
      <c r="U367" t="str">
        <f>IF(New_Finance_Data[[#This Row],[ Profit ]]&gt;0,"Profit","Loss")</f>
        <v>Profit</v>
      </c>
      <c r="V367" t="str">
        <f>IF(New_Finance_Data[[#This Row],[  Sales ]]&gt;=50000,"High Sales","Low Sales")</f>
        <v>Low Sales</v>
      </c>
      <c r="W367" t="b">
        <f>ISNUMBER(New_Finance_Data[[#This Row],[Date]])</f>
        <v>1</v>
      </c>
    </row>
    <row r="368" spans="1:23" x14ac:dyDescent="0.2">
      <c r="A368" t="s">
        <v>15</v>
      </c>
      <c r="B368" t="s">
        <v>20</v>
      </c>
      <c r="C368" t="s">
        <v>26</v>
      </c>
      <c r="D368" t="s">
        <v>45</v>
      </c>
      <c r="E368" s="27">
        <v>645</v>
      </c>
      <c r="F368" s="27">
        <v>5</v>
      </c>
      <c r="G368" s="27">
        <v>20</v>
      </c>
      <c r="H368" s="27">
        <v>12900</v>
      </c>
      <c r="I368" s="5">
        <v>1032</v>
      </c>
      <c r="J368" s="27">
        <v>11868</v>
      </c>
      <c r="K368" s="27">
        <v>6450</v>
      </c>
      <c r="L368" s="5">
        <v>5418</v>
      </c>
      <c r="M368" s="28">
        <v>41821</v>
      </c>
      <c r="N368" s="3">
        <v>7</v>
      </c>
      <c r="O368" s="29" t="s">
        <v>30</v>
      </c>
      <c r="P368" s="3">
        <v>2014</v>
      </c>
      <c r="Q368" s="6">
        <f>New_Finance_Data[[#This Row],[ Profit ]]/New_Finance_Data[[#This Row],[  Sales ]]</f>
        <v>0.45652173913043476</v>
      </c>
      <c r="R368" t="str">
        <f>IF(New_Finance_Data[[#This Row],[  Sales ]]&gt;=100000,"High",IF(New_Finance_Data[[#This Row],[  Sales ]]&gt;=50000,"Medium","Low"))</f>
        <v>Low</v>
      </c>
      <c r="S368" t="str">
        <f>IF(OR(ISBLANK(New_Finance_Data[[#This Row],[  Sales ]]),ISBLANK(New_Finance_Data[[#This Row],[ Profit ]])),"Missing","OK")</f>
        <v>OK</v>
      </c>
      <c r="T368" t="str">
        <f>TEXT(New_Finance_Data[[#This Row],[Date]],"MMM-YYYY")</f>
        <v>Jul-2014</v>
      </c>
      <c r="U368" t="str">
        <f>IF(New_Finance_Data[[#This Row],[ Profit ]]&gt;0,"Profit","Loss")</f>
        <v>Profit</v>
      </c>
      <c r="V368" t="str">
        <f>IF(New_Finance_Data[[#This Row],[  Sales ]]&gt;=50000,"High Sales","Low Sales")</f>
        <v>Low Sales</v>
      </c>
      <c r="W368" t="b">
        <f>ISNUMBER(New_Finance_Data[[#This Row],[Date]])</f>
        <v>1</v>
      </c>
    </row>
    <row r="369" spans="1:23" x14ac:dyDescent="0.2">
      <c r="A369" t="s">
        <v>31</v>
      </c>
      <c r="B369" t="s">
        <v>22</v>
      </c>
      <c r="C369" t="s">
        <v>26</v>
      </c>
      <c r="D369" t="s">
        <v>45</v>
      </c>
      <c r="E369" s="27">
        <v>1562</v>
      </c>
      <c r="F369" s="27">
        <v>5</v>
      </c>
      <c r="G369" s="27">
        <v>300</v>
      </c>
      <c r="H369" s="27">
        <v>468600</v>
      </c>
      <c r="I369" s="5">
        <v>37488</v>
      </c>
      <c r="J369" s="27">
        <v>431112</v>
      </c>
      <c r="K369" s="27">
        <v>390500</v>
      </c>
      <c r="L369" s="5">
        <v>40612</v>
      </c>
      <c r="M369" s="28">
        <v>41852</v>
      </c>
      <c r="N369" s="3">
        <v>8</v>
      </c>
      <c r="O369" s="29" t="s">
        <v>32</v>
      </c>
      <c r="P369" s="3">
        <v>2014</v>
      </c>
      <c r="Q369" s="6">
        <f>New_Finance_Data[[#This Row],[ Profit ]]/New_Finance_Data[[#This Row],[  Sales ]]</f>
        <v>9.420289855072464E-2</v>
      </c>
      <c r="R369" t="str">
        <f>IF(New_Finance_Data[[#This Row],[  Sales ]]&gt;=100000,"High",IF(New_Finance_Data[[#This Row],[  Sales ]]&gt;=50000,"Medium","Low"))</f>
        <v>High</v>
      </c>
      <c r="S369" t="str">
        <f>IF(OR(ISBLANK(New_Finance_Data[[#This Row],[  Sales ]]),ISBLANK(New_Finance_Data[[#This Row],[ Profit ]])),"Missing","OK")</f>
        <v>OK</v>
      </c>
      <c r="T369" t="str">
        <f>TEXT(New_Finance_Data[[#This Row],[Date]],"MMM-YYYY")</f>
        <v>Aug-2014</v>
      </c>
      <c r="U369" t="str">
        <f>IF(New_Finance_Data[[#This Row],[ Profit ]]&gt;0,"Profit","Loss")</f>
        <v>Profit</v>
      </c>
      <c r="V369" t="str">
        <f>IF(New_Finance_Data[[#This Row],[  Sales ]]&gt;=50000,"High Sales","Low Sales")</f>
        <v>High Sales</v>
      </c>
      <c r="W369" t="b">
        <f>ISNUMBER(New_Finance_Data[[#This Row],[Date]])</f>
        <v>1</v>
      </c>
    </row>
    <row r="370" spans="1:23" x14ac:dyDescent="0.2">
      <c r="A370" t="s">
        <v>31</v>
      </c>
      <c r="B370" t="s">
        <v>16</v>
      </c>
      <c r="C370" t="s">
        <v>26</v>
      </c>
      <c r="D370" t="s">
        <v>45</v>
      </c>
      <c r="E370" s="27">
        <v>1283</v>
      </c>
      <c r="F370" s="27">
        <v>5</v>
      </c>
      <c r="G370" s="27">
        <v>300</v>
      </c>
      <c r="H370" s="27">
        <v>384900</v>
      </c>
      <c r="I370" s="5">
        <v>30792</v>
      </c>
      <c r="J370" s="27">
        <v>354108</v>
      </c>
      <c r="K370" s="27">
        <v>320750</v>
      </c>
      <c r="L370" s="5">
        <v>33358</v>
      </c>
      <c r="M370" s="28">
        <v>41518</v>
      </c>
      <c r="N370" s="3">
        <v>9</v>
      </c>
      <c r="O370" s="29" t="s">
        <v>33</v>
      </c>
      <c r="P370" s="3">
        <v>2013</v>
      </c>
      <c r="Q370" s="6">
        <f>New_Finance_Data[[#This Row],[ Profit ]]/New_Finance_Data[[#This Row],[  Sales ]]</f>
        <v>9.420289855072464E-2</v>
      </c>
      <c r="R370" t="str">
        <f>IF(New_Finance_Data[[#This Row],[  Sales ]]&gt;=100000,"High",IF(New_Finance_Data[[#This Row],[  Sales ]]&gt;=50000,"Medium","Low"))</f>
        <v>High</v>
      </c>
      <c r="S370" t="str">
        <f>IF(OR(ISBLANK(New_Finance_Data[[#This Row],[  Sales ]]),ISBLANK(New_Finance_Data[[#This Row],[ Profit ]])),"Missing","OK")</f>
        <v>OK</v>
      </c>
      <c r="T370" t="str">
        <f>TEXT(New_Finance_Data[[#This Row],[Date]],"MMM-YYYY")</f>
        <v>Sep-2013</v>
      </c>
      <c r="U370" t="str">
        <f>IF(New_Finance_Data[[#This Row],[ Profit ]]&gt;0,"Profit","Loss")</f>
        <v>Profit</v>
      </c>
      <c r="V370" t="str">
        <f>IF(New_Finance_Data[[#This Row],[  Sales ]]&gt;=50000,"High Sales","Low Sales")</f>
        <v>High Sales</v>
      </c>
      <c r="W370" t="b">
        <f>ISNUMBER(New_Finance_Data[[#This Row],[Date]])</f>
        <v>1</v>
      </c>
    </row>
    <row r="371" spans="1:23" x14ac:dyDescent="0.2">
      <c r="A371" t="s">
        <v>21</v>
      </c>
      <c r="B371" t="s">
        <v>20</v>
      </c>
      <c r="C371" t="s">
        <v>26</v>
      </c>
      <c r="D371" t="s">
        <v>45</v>
      </c>
      <c r="E371" s="27">
        <v>711</v>
      </c>
      <c r="F371" s="27">
        <v>5</v>
      </c>
      <c r="G371" s="27">
        <v>15</v>
      </c>
      <c r="H371" s="27">
        <v>10665</v>
      </c>
      <c r="I371" s="5">
        <v>853.2</v>
      </c>
      <c r="J371" s="27">
        <v>9811.7999999999993</v>
      </c>
      <c r="K371" s="27">
        <v>7110</v>
      </c>
      <c r="L371" s="5">
        <v>2701.8</v>
      </c>
      <c r="M371" s="28">
        <v>41974</v>
      </c>
      <c r="N371" s="3">
        <v>12</v>
      </c>
      <c r="O371" s="29" t="s">
        <v>25</v>
      </c>
      <c r="P371" s="3">
        <v>2014</v>
      </c>
      <c r="Q371" s="6">
        <f>New_Finance_Data[[#This Row],[ Profit ]]/New_Finance_Data[[#This Row],[  Sales ]]</f>
        <v>0.27536231884057977</v>
      </c>
      <c r="R371" t="str">
        <f>IF(New_Finance_Data[[#This Row],[  Sales ]]&gt;=100000,"High",IF(New_Finance_Data[[#This Row],[  Sales ]]&gt;=50000,"Medium","Low"))</f>
        <v>Low</v>
      </c>
      <c r="S371" t="str">
        <f>IF(OR(ISBLANK(New_Finance_Data[[#This Row],[  Sales ]]),ISBLANK(New_Finance_Data[[#This Row],[ Profit ]])),"Missing","OK")</f>
        <v>OK</v>
      </c>
      <c r="T371" t="str">
        <f>TEXT(New_Finance_Data[[#This Row],[Date]],"MMM-YYYY")</f>
        <v>Dec-2014</v>
      </c>
      <c r="U371" t="str">
        <f>IF(New_Finance_Data[[#This Row],[ Profit ]]&gt;0,"Profit","Loss")</f>
        <v>Profit</v>
      </c>
      <c r="V371" t="str">
        <f>IF(New_Finance_Data[[#This Row],[  Sales ]]&gt;=50000,"High Sales","Low Sales")</f>
        <v>Low Sales</v>
      </c>
      <c r="W371" t="b">
        <f>ISNUMBER(New_Finance_Data[[#This Row],[Date]])</f>
        <v>1</v>
      </c>
    </row>
    <row r="372" spans="1:23" x14ac:dyDescent="0.2">
      <c r="A372" t="s">
        <v>29</v>
      </c>
      <c r="B372" t="s">
        <v>24</v>
      </c>
      <c r="C372" t="s">
        <v>36</v>
      </c>
      <c r="D372" t="s">
        <v>45</v>
      </c>
      <c r="E372" s="27">
        <v>1114</v>
      </c>
      <c r="F372" s="27">
        <v>10</v>
      </c>
      <c r="G372" s="27">
        <v>125</v>
      </c>
      <c r="H372" s="27">
        <v>139250</v>
      </c>
      <c r="I372" s="5">
        <v>11140</v>
      </c>
      <c r="J372" s="27">
        <v>128110</v>
      </c>
      <c r="K372" s="27">
        <v>133680</v>
      </c>
      <c r="L372" s="5">
        <v>-5570</v>
      </c>
      <c r="M372" s="28">
        <v>41699</v>
      </c>
      <c r="N372" s="3">
        <v>3</v>
      </c>
      <c r="O372" s="29" t="s">
        <v>27</v>
      </c>
      <c r="P372" s="3">
        <v>2014</v>
      </c>
      <c r="Q372" s="6">
        <f>New_Finance_Data[[#This Row],[ Profit ]]/New_Finance_Data[[#This Row],[  Sales ]]</f>
        <v>-4.3478260869565216E-2</v>
      </c>
      <c r="R372" t="str">
        <f>IF(New_Finance_Data[[#This Row],[  Sales ]]&gt;=100000,"High",IF(New_Finance_Data[[#This Row],[  Sales ]]&gt;=50000,"Medium","Low"))</f>
        <v>High</v>
      </c>
      <c r="S372" t="str">
        <f>IF(OR(ISBLANK(New_Finance_Data[[#This Row],[  Sales ]]),ISBLANK(New_Finance_Data[[#This Row],[ Profit ]])),"Missing","OK")</f>
        <v>OK</v>
      </c>
      <c r="T372" t="str">
        <f>TEXT(New_Finance_Data[[#This Row],[Date]],"MMM-YYYY")</f>
        <v>Mar-2014</v>
      </c>
      <c r="U372" t="str">
        <f>IF(New_Finance_Data[[#This Row],[ Profit ]]&gt;0,"Profit","Loss")</f>
        <v>Loss</v>
      </c>
      <c r="V372" t="str">
        <f>IF(New_Finance_Data[[#This Row],[  Sales ]]&gt;=50000,"High Sales","Low Sales")</f>
        <v>High Sales</v>
      </c>
      <c r="W372" t="b">
        <f>ISNUMBER(New_Finance_Data[[#This Row],[Date]])</f>
        <v>1</v>
      </c>
    </row>
    <row r="373" spans="1:23" x14ac:dyDescent="0.2">
      <c r="A373" t="s">
        <v>15</v>
      </c>
      <c r="B373" t="s">
        <v>20</v>
      </c>
      <c r="C373" t="s">
        <v>36</v>
      </c>
      <c r="D373" t="s">
        <v>45</v>
      </c>
      <c r="E373" s="27">
        <v>1259</v>
      </c>
      <c r="F373" s="27">
        <v>10</v>
      </c>
      <c r="G373" s="27">
        <v>7</v>
      </c>
      <c r="H373" s="27">
        <v>8813</v>
      </c>
      <c r="I373" s="5">
        <v>705.04</v>
      </c>
      <c r="J373" s="27">
        <v>8107.96</v>
      </c>
      <c r="K373" s="27">
        <v>6295</v>
      </c>
      <c r="L373" s="5">
        <v>1812.96</v>
      </c>
      <c r="M373" s="28">
        <v>41730</v>
      </c>
      <c r="N373" s="3">
        <v>4</v>
      </c>
      <c r="O373" s="29" t="s">
        <v>41</v>
      </c>
      <c r="P373" s="3">
        <v>2014</v>
      </c>
      <c r="Q373" s="6">
        <f>New_Finance_Data[[#This Row],[ Profit ]]/New_Finance_Data[[#This Row],[  Sales ]]</f>
        <v>0.2236024844720497</v>
      </c>
      <c r="R373" t="str">
        <f>IF(New_Finance_Data[[#This Row],[  Sales ]]&gt;=100000,"High",IF(New_Finance_Data[[#This Row],[  Sales ]]&gt;=50000,"Medium","Low"))</f>
        <v>Low</v>
      </c>
      <c r="S373" t="str">
        <f>IF(OR(ISBLANK(New_Finance_Data[[#This Row],[  Sales ]]),ISBLANK(New_Finance_Data[[#This Row],[ Profit ]])),"Missing","OK")</f>
        <v>OK</v>
      </c>
      <c r="T373" t="str">
        <f>TEXT(New_Finance_Data[[#This Row],[Date]],"MMM-YYYY")</f>
        <v>Apr-2014</v>
      </c>
      <c r="U373" t="str">
        <f>IF(New_Finance_Data[[#This Row],[ Profit ]]&gt;0,"Profit","Loss")</f>
        <v>Profit</v>
      </c>
      <c r="V373" t="str">
        <f>IF(New_Finance_Data[[#This Row],[  Sales ]]&gt;=50000,"High Sales","Low Sales")</f>
        <v>Low Sales</v>
      </c>
      <c r="W373" t="b">
        <f>ISNUMBER(New_Finance_Data[[#This Row],[Date]])</f>
        <v>1</v>
      </c>
    </row>
    <row r="374" spans="1:23" x14ac:dyDescent="0.2">
      <c r="A374" t="s">
        <v>15</v>
      </c>
      <c r="B374" t="s">
        <v>20</v>
      </c>
      <c r="C374" t="s">
        <v>36</v>
      </c>
      <c r="D374" t="s">
        <v>45</v>
      </c>
      <c r="E374" s="27">
        <v>1095</v>
      </c>
      <c r="F374" s="27">
        <v>10</v>
      </c>
      <c r="G374" s="27">
        <v>7</v>
      </c>
      <c r="H374" s="27">
        <v>7665</v>
      </c>
      <c r="I374" s="5">
        <v>613.20000000000005</v>
      </c>
      <c r="J374" s="27">
        <v>7051.8</v>
      </c>
      <c r="K374" s="27">
        <v>5475</v>
      </c>
      <c r="L374" s="5">
        <v>1576.8</v>
      </c>
      <c r="M374" s="28">
        <v>41760</v>
      </c>
      <c r="N374" s="3">
        <v>5</v>
      </c>
      <c r="O374" s="29" t="s">
        <v>44</v>
      </c>
      <c r="P374" s="3">
        <v>2014</v>
      </c>
      <c r="Q374" s="6">
        <f>New_Finance_Data[[#This Row],[ Profit ]]/New_Finance_Data[[#This Row],[  Sales ]]</f>
        <v>0.22360248447204967</v>
      </c>
      <c r="R374" t="str">
        <f>IF(New_Finance_Data[[#This Row],[  Sales ]]&gt;=100000,"High",IF(New_Finance_Data[[#This Row],[  Sales ]]&gt;=50000,"Medium","Low"))</f>
        <v>Low</v>
      </c>
      <c r="S374" t="str">
        <f>IF(OR(ISBLANK(New_Finance_Data[[#This Row],[  Sales ]]),ISBLANK(New_Finance_Data[[#This Row],[ Profit ]])),"Missing","OK")</f>
        <v>OK</v>
      </c>
      <c r="T374" t="str">
        <f>TEXT(New_Finance_Data[[#This Row],[Date]],"MMM-YYYY")</f>
        <v>May-2014</v>
      </c>
      <c r="U374" t="str">
        <f>IF(New_Finance_Data[[#This Row],[ Profit ]]&gt;0,"Profit","Loss")</f>
        <v>Profit</v>
      </c>
      <c r="V374" t="str">
        <f>IF(New_Finance_Data[[#This Row],[  Sales ]]&gt;=50000,"High Sales","Low Sales")</f>
        <v>Low Sales</v>
      </c>
      <c r="W374" t="b">
        <f>ISNUMBER(New_Finance_Data[[#This Row],[Date]])</f>
        <v>1</v>
      </c>
    </row>
    <row r="375" spans="1:23" x14ac:dyDescent="0.2">
      <c r="A375" t="s">
        <v>15</v>
      </c>
      <c r="B375" t="s">
        <v>20</v>
      </c>
      <c r="C375" t="s">
        <v>36</v>
      </c>
      <c r="D375" t="s">
        <v>45</v>
      </c>
      <c r="E375" s="27">
        <v>1366</v>
      </c>
      <c r="F375" s="27">
        <v>10</v>
      </c>
      <c r="G375" s="27">
        <v>20</v>
      </c>
      <c r="H375" s="27">
        <v>27320</v>
      </c>
      <c r="I375" s="5">
        <v>2185.6</v>
      </c>
      <c r="J375" s="27">
        <v>25134.400000000001</v>
      </c>
      <c r="K375" s="27">
        <v>13660</v>
      </c>
      <c r="L375" s="5">
        <v>11474.4</v>
      </c>
      <c r="M375" s="28">
        <v>41791</v>
      </c>
      <c r="N375" s="3">
        <v>6</v>
      </c>
      <c r="O375" s="29" t="s">
        <v>23</v>
      </c>
      <c r="P375" s="3">
        <v>2014</v>
      </c>
      <c r="Q375" s="6">
        <f>New_Finance_Data[[#This Row],[ Profit ]]/New_Finance_Data[[#This Row],[  Sales ]]</f>
        <v>0.45652173913043476</v>
      </c>
      <c r="R375" t="str">
        <f>IF(New_Finance_Data[[#This Row],[  Sales ]]&gt;=100000,"High",IF(New_Finance_Data[[#This Row],[  Sales ]]&gt;=50000,"Medium","Low"))</f>
        <v>Low</v>
      </c>
      <c r="S375" t="str">
        <f>IF(OR(ISBLANK(New_Finance_Data[[#This Row],[  Sales ]]),ISBLANK(New_Finance_Data[[#This Row],[ Profit ]])),"Missing","OK")</f>
        <v>OK</v>
      </c>
      <c r="T375" t="str">
        <f>TEXT(New_Finance_Data[[#This Row],[Date]],"MMM-YYYY")</f>
        <v>Jun-2014</v>
      </c>
      <c r="U375" t="str">
        <f>IF(New_Finance_Data[[#This Row],[ Profit ]]&gt;0,"Profit","Loss")</f>
        <v>Profit</v>
      </c>
      <c r="V375" t="str">
        <f>IF(New_Finance_Data[[#This Row],[  Sales ]]&gt;=50000,"High Sales","Low Sales")</f>
        <v>Low Sales</v>
      </c>
      <c r="W375" t="b">
        <f>ISNUMBER(New_Finance_Data[[#This Row],[Date]])</f>
        <v>1</v>
      </c>
    </row>
    <row r="376" spans="1:23" x14ac:dyDescent="0.2">
      <c r="A376" t="s">
        <v>31</v>
      </c>
      <c r="B376" t="s">
        <v>24</v>
      </c>
      <c r="C376" t="s">
        <v>36</v>
      </c>
      <c r="D376" t="s">
        <v>45</v>
      </c>
      <c r="E376" s="27">
        <v>2460</v>
      </c>
      <c r="F376" s="27">
        <v>10</v>
      </c>
      <c r="G376" s="27">
        <v>300</v>
      </c>
      <c r="H376" s="27">
        <v>738000</v>
      </c>
      <c r="I376" s="5">
        <v>59040</v>
      </c>
      <c r="J376" s="27">
        <v>678960</v>
      </c>
      <c r="K376" s="27">
        <v>615000</v>
      </c>
      <c r="L376" s="5">
        <v>63960</v>
      </c>
      <c r="M376" s="28">
        <v>41791</v>
      </c>
      <c r="N376" s="3">
        <v>6</v>
      </c>
      <c r="O376" s="29" t="s">
        <v>23</v>
      </c>
      <c r="P376" s="3">
        <v>2014</v>
      </c>
      <c r="Q376" s="6">
        <f>New_Finance_Data[[#This Row],[ Profit ]]/New_Finance_Data[[#This Row],[  Sales ]]</f>
        <v>9.420289855072464E-2</v>
      </c>
      <c r="R376" t="str">
        <f>IF(New_Finance_Data[[#This Row],[  Sales ]]&gt;=100000,"High",IF(New_Finance_Data[[#This Row],[  Sales ]]&gt;=50000,"Medium","Low"))</f>
        <v>High</v>
      </c>
      <c r="S376" t="str">
        <f>IF(OR(ISBLANK(New_Finance_Data[[#This Row],[  Sales ]]),ISBLANK(New_Finance_Data[[#This Row],[ Profit ]])),"Missing","OK")</f>
        <v>OK</v>
      </c>
      <c r="T376" t="str">
        <f>TEXT(New_Finance_Data[[#This Row],[Date]],"MMM-YYYY")</f>
        <v>Jun-2014</v>
      </c>
      <c r="U376" t="str">
        <f>IF(New_Finance_Data[[#This Row],[ Profit ]]&gt;0,"Profit","Loss")</f>
        <v>Profit</v>
      </c>
      <c r="V376" t="str">
        <f>IF(New_Finance_Data[[#This Row],[  Sales ]]&gt;=50000,"High Sales","Low Sales")</f>
        <v>High Sales</v>
      </c>
      <c r="W376" t="b">
        <f>ISNUMBER(New_Finance_Data[[#This Row],[Date]])</f>
        <v>1</v>
      </c>
    </row>
    <row r="377" spans="1:23" x14ac:dyDescent="0.2">
      <c r="A377" t="s">
        <v>15</v>
      </c>
      <c r="B377" t="s">
        <v>35</v>
      </c>
      <c r="C377" t="s">
        <v>36</v>
      </c>
      <c r="D377" t="s">
        <v>45</v>
      </c>
      <c r="E377" s="27">
        <v>678</v>
      </c>
      <c r="F377" s="27">
        <v>10</v>
      </c>
      <c r="G377" s="27">
        <v>7</v>
      </c>
      <c r="H377" s="27">
        <v>4746</v>
      </c>
      <c r="I377" s="5">
        <v>379.68</v>
      </c>
      <c r="J377" s="27">
        <v>4366.32</v>
      </c>
      <c r="K377" s="27">
        <v>3390</v>
      </c>
      <c r="L377" s="5">
        <v>976.32</v>
      </c>
      <c r="M377" s="28">
        <v>41852</v>
      </c>
      <c r="N377" s="3">
        <v>8</v>
      </c>
      <c r="O377" s="29" t="s">
        <v>32</v>
      </c>
      <c r="P377" s="3">
        <v>2014</v>
      </c>
      <c r="Q377" s="6">
        <f>New_Finance_Data[[#This Row],[ Profit ]]/New_Finance_Data[[#This Row],[  Sales ]]</f>
        <v>0.22360248447204972</v>
      </c>
      <c r="R377" t="str">
        <f>IF(New_Finance_Data[[#This Row],[  Sales ]]&gt;=100000,"High",IF(New_Finance_Data[[#This Row],[  Sales ]]&gt;=50000,"Medium","Low"))</f>
        <v>Low</v>
      </c>
      <c r="S377" t="str">
        <f>IF(OR(ISBLANK(New_Finance_Data[[#This Row],[  Sales ]]),ISBLANK(New_Finance_Data[[#This Row],[ Profit ]])),"Missing","OK")</f>
        <v>OK</v>
      </c>
      <c r="T377" t="str">
        <f>TEXT(New_Finance_Data[[#This Row],[Date]],"MMM-YYYY")</f>
        <v>Aug-2014</v>
      </c>
      <c r="U377" t="str">
        <f>IF(New_Finance_Data[[#This Row],[ Profit ]]&gt;0,"Profit","Loss")</f>
        <v>Profit</v>
      </c>
      <c r="V377" t="str">
        <f>IF(New_Finance_Data[[#This Row],[  Sales ]]&gt;=50000,"High Sales","Low Sales")</f>
        <v>Low Sales</v>
      </c>
      <c r="W377" t="b">
        <f>ISNUMBER(New_Finance_Data[[#This Row],[Date]])</f>
        <v>1</v>
      </c>
    </row>
    <row r="378" spans="1:23" x14ac:dyDescent="0.2">
      <c r="A378" t="s">
        <v>15</v>
      </c>
      <c r="B378" t="s">
        <v>20</v>
      </c>
      <c r="C378" t="s">
        <v>36</v>
      </c>
      <c r="D378" t="s">
        <v>45</v>
      </c>
      <c r="E378" s="27">
        <v>1598</v>
      </c>
      <c r="F378" s="27">
        <v>10</v>
      </c>
      <c r="G378" s="27">
        <v>7</v>
      </c>
      <c r="H378" s="27">
        <v>11186</v>
      </c>
      <c r="I378" s="5">
        <v>894.88</v>
      </c>
      <c r="J378" s="27">
        <v>10291.120000000001</v>
      </c>
      <c r="K378" s="27">
        <v>7990</v>
      </c>
      <c r="L378" s="5">
        <v>2301.12</v>
      </c>
      <c r="M378" s="28">
        <v>41852</v>
      </c>
      <c r="N378" s="3">
        <v>8</v>
      </c>
      <c r="O378" s="29" t="s">
        <v>32</v>
      </c>
      <c r="P378" s="3">
        <v>2014</v>
      </c>
      <c r="Q378" s="6">
        <f>New_Finance_Data[[#This Row],[ Profit ]]/New_Finance_Data[[#This Row],[  Sales ]]</f>
        <v>0.22360248447204967</v>
      </c>
      <c r="R378" t="str">
        <f>IF(New_Finance_Data[[#This Row],[  Sales ]]&gt;=100000,"High",IF(New_Finance_Data[[#This Row],[  Sales ]]&gt;=50000,"Medium","Low"))</f>
        <v>Low</v>
      </c>
      <c r="S378" t="str">
        <f>IF(OR(ISBLANK(New_Finance_Data[[#This Row],[  Sales ]]),ISBLANK(New_Finance_Data[[#This Row],[ Profit ]])),"Missing","OK")</f>
        <v>OK</v>
      </c>
      <c r="T378" t="str">
        <f>TEXT(New_Finance_Data[[#This Row],[Date]],"MMM-YYYY")</f>
        <v>Aug-2014</v>
      </c>
      <c r="U378" t="str">
        <f>IF(New_Finance_Data[[#This Row],[ Profit ]]&gt;0,"Profit","Loss")</f>
        <v>Profit</v>
      </c>
      <c r="V378" t="str">
        <f>IF(New_Finance_Data[[#This Row],[  Sales ]]&gt;=50000,"High Sales","Low Sales")</f>
        <v>Low Sales</v>
      </c>
      <c r="W378" t="b">
        <f>ISNUMBER(New_Finance_Data[[#This Row],[Date]])</f>
        <v>1</v>
      </c>
    </row>
    <row r="379" spans="1:23" x14ac:dyDescent="0.2">
      <c r="A379" t="s">
        <v>15</v>
      </c>
      <c r="B379" t="s">
        <v>20</v>
      </c>
      <c r="C379" t="s">
        <v>36</v>
      </c>
      <c r="D379" t="s">
        <v>45</v>
      </c>
      <c r="E379" s="27">
        <v>2409</v>
      </c>
      <c r="F379" s="27">
        <v>10</v>
      </c>
      <c r="G379" s="27">
        <v>7</v>
      </c>
      <c r="H379" s="27">
        <v>16863</v>
      </c>
      <c r="I379" s="5">
        <v>1349.04</v>
      </c>
      <c r="J379" s="27">
        <v>15513.96</v>
      </c>
      <c r="K379" s="27">
        <v>12045</v>
      </c>
      <c r="L379" s="5">
        <v>3468.96</v>
      </c>
      <c r="M379" s="28">
        <v>41518</v>
      </c>
      <c r="N379" s="3">
        <v>9</v>
      </c>
      <c r="O379" s="29" t="s">
        <v>33</v>
      </c>
      <c r="P379" s="3">
        <v>2013</v>
      </c>
      <c r="Q379" s="6">
        <f>New_Finance_Data[[#This Row],[ Profit ]]/New_Finance_Data[[#This Row],[  Sales ]]</f>
        <v>0.2236024844720497</v>
      </c>
      <c r="R379" t="str">
        <f>IF(New_Finance_Data[[#This Row],[  Sales ]]&gt;=100000,"High",IF(New_Finance_Data[[#This Row],[  Sales ]]&gt;=50000,"Medium","Low"))</f>
        <v>Low</v>
      </c>
      <c r="S379" t="str">
        <f>IF(OR(ISBLANK(New_Finance_Data[[#This Row],[  Sales ]]),ISBLANK(New_Finance_Data[[#This Row],[ Profit ]])),"Missing","OK")</f>
        <v>OK</v>
      </c>
      <c r="T379" t="str">
        <f>TEXT(New_Finance_Data[[#This Row],[Date]],"MMM-YYYY")</f>
        <v>Sep-2013</v>
      </c>
      <c r="U379" t="str">
        <f>IF(New_Finance_Data[[#This Row],[ Profit ]]&gt;0,"Profit","Loss")</f>
        <v>Profit</v>
      </c>
      <c r="V379" t="str">
        <f>IF(New_Finance_Data[[#This Row],[  Sales ]]&gt;=50000,"High Sales","Low Sales")</f>
        <v>Low Sales</v>
      </c>
      <c r="W379" t="b">
        <f>ISNUMBER(New_Finance_Data[[#This Row],[Date]])</f>
        <v>1</v>
      </c>
    </row>
    <row r="380" spans="1:23" x14ac:dyDescent="0.2">
      <c r="A380" t="s">
        <v>15</v>
      </c>
      <c r="B380" t="s">
        <v>20</v>
      </c>
      <c r="C380" t="s">
        <v>36</v>
      </c>
      <c r="D380" t="s">
        <v>45</v>
      </c>
      <c r="E380" s="27">
        <v>1934</v>
      </c>
      <c r="F380" s="27">
        <v>10</v>
      </c>
      <c r="G380" s="27">
        <v>20</v>
      </c>
      <c r="H380" s="27">
        <v>38680</v>
      </c>
      <c r="I380" s="5">
        <v>3094.4</v>
      </c>
      <c r="J380" s="27">
        <v>35585.599999999999</v>
      </c>
      <c r="K380" s="27">
        <v>19340</v>
      </c>
      <c r="L380" s="5">
        <v>16245.6</v>
      </c>
      <c r="M380" s="28">
        <v>41883</v>
      </c>
      <c r="N380" s="3">
        <v>9</v>
      </c>
      <c r="O380" s="29" t="s">
        <v>33</v>
      </c>
      <c r="P380" s="3">
        <v>2014</v>
      </c>
      <c r="Q380" s="6">
        <f>New_Finance_Data[[#This Row],[ Profit ]]/New_Finance_Data[[#This Row],[  Sales ]]</f>
        <v>0.45652173913043481</v>
      </c>
      <c r="R380" t="str">
        <f>IF(New_Finance_Data[[#This Row],[  Sales ]]&gt;=100000,"High",IF(New_Finance_Data[[#This Row],[  Sales ]]&gt;=50000,"Medium","Low"))</f>
        <v>Low</v>
      </c>
      <c r="S380" t="str">
        <f>IF(OR(ISBLANK(New_Finance_Data[[#This Row],[  Sales ]]),ISBLANK(New_Finance_Data[[#This Row],[ Profit ]])),"Missing","OK")</f>
        <v>OK</v>
      </c>
      <c r="T380" t="str">
        <f>TEXT(New_Finance_Data[[#This Row],[Date]],"MMM-YYYY")</f>
        <v>Sep-2014</v>
      </c>
      <c r="U380" t="str">
        <f>IF(New_Finance_Data[[#This Row],[ Profit ]]&gt;0,"Profit","Loss")</f>
        <v>Profit</v>
      </c>
      <c r="V380" t="str">
        <f>IF(New_Finance_Data[[#This Row],[  Sales ]]&gt;=50000,"High Sales","Low Sales")</f>
        <v>Low Sales</v>
      </c>
      <c r="W380" t="b">
        <f>ISNUMBER(New_Finance_Data[[#This Row],[Date]])</f>
        <v>1</v>
      </c>
    </row>
    <row r="381" spans="1:23" x14ac:dyDescent="0.2">
      <c r="A381" t="s">
        <v>15</v>
      </c>
      <c r="B381" t="s">
        <v>24</v>
      </c>
      <c r="C381" t="s">
        <v>36</v>
      </c>
      <c r="D381" t="s">
        <v>45</v>
      </c>
      <c r="E381" s="27">
        <v>2993</v>
      </c>
      <c r="F381" s="27">
        <v>10</v>
      </c>
      <c r="G381" s="27">
        <v>20</v>
      </c>
      <c r="H381" s="27">
        <v>59860</v>
      </c>
      <c r="I381" s="5">
        <v>4788.8</v>
      </c>
      <c r="J381" s="27">
        <v>55071.199999999997</v>
      </c>
      <c r="K381" s="27">
        <v>29930</v>
      </c>
      <c r="L381" s="5">
        <v>25141.200000000001</v>
      </c>
      <c r="M381" s="28">
        <v>41883</v>
      </c>
      <c r="N381" s="3">
        <v>9</v>
      </c>
      <c r="O381" s="29" t="s">
        <v>33</v>
      </c>
      <c r="P381" s="3">
        <v>2014</v>
      </c>
      <c r="Q381" s="6">
        <f>New_Finance_Data[[#This Row],[ Profit ]]/New_Finance_Data[[#This Row],[  Sales ]]</f>
        <v>0.45652173913043481</v>
      </c>
      <c r="R381" t="str">
        <f>IF(New_Finance_Data[[#This Row],[  Sales ]]&gt;=100000,"High",IF(New_Finance_Data[[#This Row],[  Sales ]]&gt;=50000,"Medium","Low"))</f>
        <v>Medium</v>
      </c>
      <c r="S381" t="str">
        <f>IF(OR(ISBLANK(New_Finance_Data[[#This Row],[  Sales ]]),ISBLANK(New_Finance_Data[[#This Row],[ Profit ]])),"Missing","OK")</f>
        <v>OK</v>
      </c>
      <c r="T381" t="str">
        <f>TEXT(New_Finance_Data[[#This Row],[Date]],"MMM-YYYY")</f>
        <v>Sep-2014</v>
      </c>
      <c r="U381" t="str">
        <f>IF(New_Finance_Data[[#This Row],[ Profit ]]&gt;0,"Profit","Loss")</f>
        <v>Profit</v>
      </c>
      <c r="V381" t="str">
        <f>IF(New_Finance_Data[[#This Row],[  Sales ]]&gt;=50000,"High Sales","Low Sales")</f>
        <v>High Sales</v>
      </c>
      <c r="W381" t="b">
        <f>ISNUMBER(New_Finance_Data[[#This Row],[Date]])</f>
        <v>1</v>
      </c>
    </row>
    <row r="382" spans="1:23" x14ac:dyDescent="0.2">
      <c r="A382" t="s">
        <v>15</v>
      </c>
      <c r="B382" t="s">
        <v>20</v>
      </c>
      <c r="C382" t="s">
        <v>36</v>
      </c>
      <c r="D382" t="s">
        <v>45</v>
      </c>
      <c r="E382" s="27">
        <v>2146</v>
      </c>
      <c r="F382" s="27">
        <v>10</v>
      </c>
      <c r="G382" s="27">
        <v>350</v>
      </c>
      <c r="H382" s="27">
        <v>751100</v>
      </c>
      <c r="I382" s="5">
        <v>60088</v>
      </c>
      <c r="J382" s="27">
        <v>691012</v>
      </c>
      <c r="K382" s="27">
        <v>557960</v>
      </c>
      <c r="L382" s="5">
        <v>133052</v>
      </c>
      <c r="M382" s="28">
        <v>41579</v>
      </c>
      <c r="N382" s="3">
        <v>11</v>
      </c>
      <c r="O382" s="29" t="s">
        <v>38</v>
      </c>
      <c r="P382" s="3">
        <v>2013</v>
      </c>
      <c r="Q382" s="6">
        <f>New_Finance_Data[[#This Row],[ Profit ]]/New_Finance_Data[[#This Row],[  Sales ]]</f>
        <v>0.19254658385093168</v>
      </c>
      <c r="R382" t="str">
        <f>IF(New_Finance_Data[[#This Row],[  Sales ]]&gt;=100000,"High",IF(New_Finance_Data[[#This Row],[  Sales ]]&gt;=50000,"Medium","Low"))</f>
        <v>High</v>
      </c>
      <c r="S382" t="str">
        <f>IF(OR(ISBLANK(New_Finance_Data[[#This Row],[  Sales ]]),ISBLANK(New_Finance_Data[[#This Row],[ Profit ]])),"Missing","OK")</f>
        <v>OK</v>
      </c>
      <c r="T382" t="str">
        <f>TEXT(New_Finance_Data[[#This Row],[Date]],"MMM-YYYY")</f>
        <v>Nov-2013</v>
      </c>
      <c r="U382" t="str">
        <f>IF(New_Finance_Data[[#This Row],[ Profit ]]&gt;0,"Profit","Loss")</f>
        <v>Profit</v>
      </c>
      <c r="V382" t="str">
        <f>IF(New_Finance_Data[[#This Row],[  Sales ]]&gt;=50000,"High Sales","Low Sales")</f>
        <v>High Sales</v>
      </c>
      <c r="W382" t="b">
        <f>ISNUMBER(New_Finance_Data[[#This Row],[Date]])</f>
        <v>1</v>
      </c>
    </row>
    <row r="383" spans="1:23" x14ac:dyDescent="0.2">
      <c r="A383" t="s">
        <v>15</v>
      </c>
      <c r="B383" t="s">
        <v>24</v>
      </c>
      <c r="C383" t="s">
        <v>36</v>
      </c>
      <c r="D383" t="s">
        <v>45</v>
      </c>
      <c r="E383" s="27">
        <v>1946</v>
      </c>
      <c r="F383" s="27">
        <v>10</v>
      </c>
      <c r="G383" s="27">
        <v>7</v>
      </c>
      <c r="H383" s="27">
        <v>13622</v>
      </c>
      <c r="I383" s="5">
        <v>1089.76</v>
      </c>
      <c r="J383" s="27">
        <v>12532.24</v>
      </c>
      <c r="K383" s="27">
        <v>9730</v>
      </c>
      <c r="L383" s="5">
        <v>2802.24</v>
      </c>
      <c r="M383" s="28">
        <v>41609</v>
      </c>
      <c r="N383" s="3">
        <v>12</v>
      </c>
      <c r="O383" s="29" t="s">
        <v>25</v>
      </c>
      <c r="P383" s="3">
        <v>2013</v>
      </c>
      <c r="Q383" s="6">
        <f>New_Finance_Data[[#This Row],[ Profit ]]/New_Finance_Data[[#This Row],[  Sales ]]</f>
        <v>0.22360248447204967</v>
      </c>
      <c r="R383" t="str">
        <f>IF(New_Finance_Data[[#This Row],[  Sales ]]&gt;=100000,"High",IF(New_Finance_Data[[#This Row],[  Sales ]]&gt;=50000,"Medium","Low"))</f>
        <v>Low</v>
      </c>
      <c r="S383" t="str">
        <f>IF(OR(ISBLANK(New_Finance_Data[[#This Row],[  Sales ]]),ISBLANK(New_Finance_Data[[#This Row],[ Profit ]])),"Missing","OK")</f>
        <v>OK</v>
      </c>
      <c r="T383" t="str">
        <f>TEXT(New_Finance_Data[[#This Row],[Date]],"MMM-YYYY")</f>
        <v>Dec-2013</v>
      </c>
      <c r="U383" t="str">
        <f>IF(New_Finance_Data[[#This Row],[ Profit ]]&gt;0,"Profit","Loss")</f>
        <v>Profit</v>
      </c>
      <c r="V383" t="str">
        <f>IF(New_Finance_Data[[#This Row],[  Sales ]]&gt;=50000,"High Sales","Low Sales")</f>
        <v>Low Sales</v>
      </c>
      <c r="W383" t="b">
        <f>ISNUMBER(New_Finance_Data[[#This Row],[Date]])</f>
        <v>1</v>
      </c>
    </row>
    <row r="384" spans="1:23" x14ac:dyDescent="0.2">
      <c r="A384" t="s">
        <v>15</v>
      </c>
      <c r="B384" t="s">
        <v>24</v>
      </c>
      <c r="C384" t="s">
        <v>36</v>
      </c>
      <c r="D384" t="s">
        <v>45</v>
      </c>
      <c r="E384" s="27">
        <v>1362</v>
      </c>
      <c r="F384" s="27">
        <v>10</v>
      </c>
      <c r="G384" s="27">
        <v>350</v>
      </c>
      <c r="H384" s="27">
        <v>476700</v>
      </c>
      <c r="I384" s="5">
        <v>38136</v>
      </c>
      <c r="J384" s="27">
        <v>438564</v>
      </c>
      <c r="K384" s="27">
        <v>354120</v>
      </c>
      <c r="L384" s="5">
        <v>84444</v>
      </c>
      <c r="M384" s="28">
        <v>41974</v>
      </c>
      <c r="N384" s="3">
        <v>12</v>
      </c>
      <c r="O384" s="29" t="s">
        <v>25</v>
      </c>
      <c r="P384" s="3">
        <v>2014</v>
      </c>
      <c r="Q384" s="6">
        <f>New_Finance_Data[[#This Row],[ Profit ]]/New_Finance_Data[[#This Row],[  Sales ]]</f>
        <v>0.19254658385093168</v>
      </c>
      <c r="R384" t="str">
        <f>IF(New_Finance_Data[[#This Row],[  Sales ]]&gt;=100000,"High",IF(New_Finance_Data[[#This Row],[  Sales ]]&gt;=50000,"Medium","Low"))</f>
        <v>High</v>
      </c>
      <c r="S384" t="str">
        <f>IF(OR(ISBLANK(New_Finance_Data[[#This Row],[  Sales ]]),ISBLANK(New_Finance_Data[[#This Row],[ Profit ]])),"Missing","OK")</f>
        <v>OK</v>
      </c>
      <c r="T384" t="str">
        <f>TEXT(New_Finance_Data[[#This Row],[Date]],"MMM-YYYY")</f>
        <v>Dec-2014</v>
      </c>
      <c r="U384" t="str">
        <f>IF(New_Finance_Data[[#This Row],[ Profit ]]&gt;0,"Profit","Loss")</f>
        <v>Profit</v>
      </c>
      <c r="V384" t="str">
        <f>IF(New_Finance_Data[[#This Row],[  Sales ]]&gt;=50000,"High Sales","Low Sales")</f>
        <v>High Sales</v>
      </c>
      <c r="W384" t="b">
        <f>ISNUMBER(New_Finance_Data[[#This Row],[Date]])</f>
        <v>1</v>
      </c>
    </row>
    <row r="385" spans="1:23" x14ac:dyDescent="0.2">
      <c r="A385" t="s">
        <v>28</v>
      </c>
      <c r="B385" t="s">
        <v>16</v>
      </c>
      <c r="C385" t="s">
        <v>39</v>
      </c>
      <c r="D385" t="s">
        <v>45</v>
      </c>
      <c r="E385" s="27">
        <v>598</v>
      </c>
      <c r="F385" s="27">
        <v>120</v>
      </c>
      <c r="G385" s="27">
        <v>12</v>
      </c>
      <c r="H385" s="27">
        <v>7176</v>
      </c>
      <c r="I385" s="5">
        <v>574.08000000000004</v>
      </c>
      <c r="J385" s="27">
        <v>6601.92</v>
      </c>
      <c r="K385" s="27">
        <v>1794</v>
      </c>
      <c r="L385" s="5">
        <v>4807.92</v>
      </c>
      <c r="M385" s="28">
        <v>41699</v>
      </c>
      <c r="N385" s="3">
        <v>3</v>
      </c>
      <c r="O385" s="29" t="s">
        <v>27</v>
      </c>
      <c r="P385" s="3">
        <v>2014</v>
      </c>
      <c r="Q385" s="6">
        <f>New_Finance_Data[[#This Row],[ Profit ]]/New_Finance_Data[[#This Row],[  Sales ]]</f>
        <v>0.72826086956521741</v>
      </c>
      <c r="R385" t="str">
        <f>IF(New_Finance_Data[[#This Row],[  Sales ]]&gt;=100000,"High",IF(New_Finance_Data[[#This Row],[  Sales ]]&gt;=50000,"Medium","Low"))</f>
        <v>Low</v>
      </c>
      <c r="S385" t="str">
        <f>IF(OR(ISBLANK(New_Finance_Data[[#This Row],[  Sales ]]),ISBLANK(New_Finance_Data[[#This Row],[ Profit ]])),"Missing","OK")</f>
        <v>OK</v>
      </c>
      <c r="T385" t="str">
        <f>TEXT(New_Finance_Data[[#This Row],[Date]],"MMM-YYYY")</f>
        <v>Mar-2014</v>
      </c>
      <c r="U385" t="str">
        <f>IF(New_Finance_Data[[#This Row],[ Profit ]]&gt;0,"Profit","Loss")</f>
        <v>Profit</v>
      </c>
      <c r="V385" t="str">
        <f>IF(New_Finance_Data[[#This Row],[  Sales ]]&gt;=50000,"High Sales","Low Sales")</f>
        <v>Low Sales</v>
      </c>
      <c r="W385" t="b">
        <f>ISNUMBER(New_Finance_Data[[#This Row],[Date]])</f>
        <v>1</v>
      </c>
    </row>
    <row r="386" spans="1:23" x14ac:dyDescent="0.2">
      <c r="A386" t="s">
        <v>15</v>
      </c>
      <c r="B386" t="s">
        <v>35</v>
      </c>
      <c r="C386" t="s">
        <v>39</v>
      </c>
      <c r="D386" t="s">
        <v>45</v>
      </c>
      <c r="E386" s="27">
        <v>2907</v>
      </c>
      <c r="F386" s="27">
        <v>120</v>
      </c>
      <c r="G386" s="27">
        <v>7</v>
      </c>
      <c r="H386" s="27">
        <v>20349</v>
      </c>
      <c r="I386" s="5">
        <v>1627.92</v>
      </c>
      <c r="J386" s="27">
        <v>18721.080000000002</v>
      </c>
      <c r="K386" s="27">
        <v>14535</v>
      </c>
      <c r="L386" s="5">
        <v>4186.08</v>
      </c>
      <c r="M386" s="28">
        <v>41791</v>
      </c>
      <c r="N386" s="3">
        <v>6</v>
      </c>
      <c r="O386" s="29" t="s">
        <v>23</v>
      </c>
      <c r="P386" s="3">
        <v>2014</v>
      </c>
      <c r="Q386" s="6">
        <f>New_Finance_Data[[#This Row],[ Profit ]]/New_Finance_Data[[#This Row],[  Sales ]]</f>
        <v>0.22360248447204967</v>
      </c>
      <c r="R386" t="str">
        <f>IF(New_Finance_Data[[#This Row],[  Sales ]]&gt;=100000,"High",IF(New_Finance_Data[[#This Row],[  Sales ]]&gt;=50000,"Medium","Low"))</f>
        <v>Low</v>
      </c>
      <c r="S386" t="str">
        <f>IF(OR(ISBLANK(New_Finance_Data[[#This Row],[  Sales ]]),ISBLANK(New_Finance_Data[[#This Row],[ Profit ]])),"Missing","OK")</f>
        <v>OK</v>
      </c>
      <c r="T386" t="str">
        <f>TEXT(New_Finance_Data[[#This Row],[Date]],"MMM-YYYY")</f>
        <v>Jun-2014</v>
      </c>
      <c r="U386" t="str">
        <f>IF(New_Finance_Data[[#This Row],[ Profit ]]&gt;0,"Profit","Loss")</f>
        <v>Profit</v>
      </c>
      <c r="V386" t="str">
        <f>IF(New_Finance_Data[[#This Row],[  Sales ]]&gt;=50000,"High Sales","Low Sales")</f>
        <v>Low Sales</v>
      </c>
      <c r="W386" t="b">
        <f>ISNUMBER(New_Finance_Data[[#This Row],[Date]])</f>
        <v>1</v>
      </c>
    </row>
    <row r="387" spans="1:23" x14ac:dyDescent="0.2">
      <c r="A387" t="s">
        <v>15</v>
      </c>
      <c r="B387" t="s">
        <v>20</v>
      </c>
      <c r="C387" t="s">
        <v>39</v>
      </c>
      <c r="D387" t="s">
        <v>45</v>
      </c>
      <c r="E387" s="27">
        <v>2338</v>
      </c>
      <c r="F387" s="27">
        <v>120</v>
      </c>
      <c r="G387" s="27">
        <v>7</v>
      </c>
      <c r="H387" s="27">
        <v>16366</v>
      </c>
      <c r="I387" s="5">
        <v>1309.28</v>
      </c>
      <c r="J387" s="27">
        <v>15056.72</v>
      </c>
      <c r="K387" s="27">
        <v>11690</v>
      </c>
      <c r="L387" s="5">
        <v>3366.72</v>
      </c>
      <c r="M387" s="28">
        <v>41791</v>
      </c>
      <c r="N387" s="3">
        <v>6</v>
      </c>
      <c r="O387" s="29" t="s">
        <v>23</v>
      </c>
      <c r="P387" s="3">
        <v>2014</v>
      </c>
      <c r="Q387" s="6">
        <f>New_Finance_Data[[#This Row],[ Profit ]]/New_Finance_Data[[#This Row],[  Sales ]]</f>
        <v>0.2236024844720497</v>
      </c>
      <c r="R387" t="str">
        <f>IF(New_Finance_Data[[#This Row],[  Sales ]]&gt;=100000,"High",IF(New_Finance_Data[[#This Row],[  Sales ]]&gt;=50000,"Medium","Low"))</f>
        <v>Low</v>
      </c>
      <c r="S387" t="str">
        <f>IF(OR(ISBLANK(New_Finance_Data[[#This Row],[  Sales ]]),ISBLANK(New_Finance_Data[[#This Row],[ Profit ]])),"Missing","OK")</f>
        <v>OK</v>
      </c>
      <c r="T387" t="str">
        <f>TEXT(New_Finance_Data[[#This Row],[Date]],"MMM-YYYY")</f>
        <v>Jun-2014</v>
      </c>
      <c r="U387" t="str">
        <f>IF(New_Finance_Data[[#This Row],[ Profit ]]&gt;0,"Profit","Loss")</f>
        <v>Profit</v>
      </c>
      <c r="V387" t="str">
        <f>IF(New_Finance_Data[[#This Row],[  Sales ]]&gt;=50000,"High Sales","Low Sales")</f>
        <v>Low Sales</v>
      </c>
      <c r="W387" t="b">
        <f>ISNUMBER(New_Finance_Data[[#This Row],[Date]])</f>
        <v>1</v>
      </c>
    </row>
    <row r="388" spans="1:23" x14ac:dyDescent="0.2">
      <c r="A388" t="s">
        <v>31</v>
      </c>
      <c r="B388" t="s">
        <v>22</v>
      </c>
      <c r="C388" t="s">
        <v>39</v>
      </c>
      <c r="D388" t="s">
        <v>45</v>
      </c>
      <c r="E388" s="27">
        <v>386</v>
      </c>
      <c r="F388" s="27">
        <v>120</v>
      </c>
      <c r="G388" s="27">
        <v>300</v>
      </c>
      <c r="H388" s="27">
        <v>115800</v>
      </c>
      <c r="I388" s="5">
        <v>9264</v>
      </c>
      <c r="J388" s="27">
        <v>106536</v>
      </c>
      <c r="K388" s="27">
        <v>96500</v>
      </c>
      <c r="L388" s="5">
        <v>10036</v>
      </c>
      <c r="M388" s="28">
        <v>41579</v>
      </c>
      <c r="N388" s="3">
        <v>11</v>
      </c>
      <c r="O388" s="29" t="s">
        <v>38</v>
      </c>
      <c r="P388" s="3">
        <v>2013</v>
      </c>
      <c r="Q388" s="6">
        <f>New_Finance_Data[[#This Row],[ Profit ]]/New_Finance_Data[[#This Row],[  Sales ]]</f>
        <v>9.420289855072464E-2</v>
      </c>
      <c r="R388" t="str">
        <f>IF(New_Finance_Data[[#This Row],[  Sales ]]&gt;=100000,"High",IF(New_Finance_Data[[#This Row],[  Sales ]]&gt;=50000,"Medium","Low"))</f>
        <v>High</v>
      </c>
      <c r="S388" t="str">
        <f>IF(OR(ISBLANK(New_Finance_Data[[#This Row],[  Sales ]]),ISBLANK(New_Finance_Data[[#This Row],[ Profit ]])),"Missing","OK")</f>
        <v>OK</v>
      </c>
      <c r="T388" t="str">
        <f>TEXT(New_Finance_Data[[#This Row],[Date]],"MMM-YYYY")</f>
        <v>Nov-2013</v>
      </c>
      <c r="U388" t="str">
        <f>IF(New_Finance_Data[[#This Row],[ Profit ]]&gt;0,"Profit","Loss")</f>
        <v>Profit</v>
      </c>
      <c r="V388" t="str">
        <f>IF(New_Finance_Data[[#This Row],[  Sales ]]&gt;=50000,"High Sales","Low Sales")</f>
        <v>High Sales</v>
      </c>
      <c r="W388" t="b">
        <f>ISNUMBER(New_Finance_Data[[#This Row],[Date]])</f>
        <v>1</v>
      </c>
    </row>
    <row r="389" spans="1:23" x14ac:dyDescent="0.2">
      <c r="A389" t="s">
        <v>31</v>
      </c>
      <c r="B389" t="s">
        <v>24</v>
      </c>
      <c r="C389" t="s">
        <v>39</v>
      </c>
      <c r="D389" t="s">
        <v>45</v>
      </c>
      <c r="E389" s="27">
        <v>635</v>
      </c>
      <c r="F389" s="27">
        <v>120</v>
      </c>
      <c r="G389" s="27">
        <v>300</v>
      </c>
      <c r="H389" s="27">
        <v>190500</v>
      </c>
      <c r="I389" s="5">
        <v>15240</v>
      </c>
      <c r="J389" s="27">
        <v>175260</v>
      </c>
      <c r="K389" s="27">
        <v>158750</v>
      </c>
      <c r="L389" s="5">
        <v>16510</v>
      </c>
      <c r="M389" s="28">
        <v>41974</v>
      </c>
      <c r="N389" s="3">
        <v>12</v>
      </c>
      <c r="O389" s="29" t="s">
        <v>25</v>
      </c>
      <c r="P389" s="3">
        <v>2014</v>
      </c>
      <c r="Q389" s="6">
        <f>New_Finance_Data[[#This Row],[ Profit ]]/New_Finance_Data[[#This Row],[  Sales ]]</f>
        <v>9.420289855072464E-2</v>
      </c>
      <c r="R389" t="str">
        <f>IF(New_Finance_Data[[#This Row],[  Sales ]]&gt;=100000,"High",IF(New_Finance_Data[[#This Row],[  Sales ]]&gt;=50000,"Medium","Low"))</f>
        <v>High</v>
      </c>
      <c r="S389" t="str">
        <f>IF(OR(ISBLANK(New_Finance_Data[[#This Row],[  Sales ]]),ISBLANK(New_Finance_Data[[#This Row],[ Profit ]])),"Missing","OK")</f>
        <v>OK</v>
      </c>
      <c r="T389" t="str">
        <f>TEXT(New_Finance_Data[[#This Row],[Date]],"MMM-YYYY")</f>
        <v>Dec-2014</v>
      </c>
      <c r="U389" t="str">
        <f>IF(New_Finance_Data[[#This Row],[ Profit ]]&gt;0,"Profit","Loss")</f>
        <v>Profit</v>
      </c>
      <c r="V389" t="str">
        <f>IF(New_Finance_Data[[#This Row],[  Sales ]]&gt;=50000,"High Sales","Low Sales")</f>
        <v>High Sales</v>
      </c>
      <c r="W389" t="b">
        <f>ISNUMBER(New_Finance_Data[[#This Row],[Date]])</f>
        <v>1</v>
      </c>
    </row>
    <row r="390" spans="1:23" x14ac:dyDescent="0.2">
      <c r="A390" t="s">
        <v>15</v>
      </c>
      <c r="B390" t="s">
        <v>22</v>
      </c>
      <c r="C390" t="s">
        <v>40</v>
      </c>
      <c r="D390" t="s">
        <v>45</v>
      </c>
      <c r="E390" s="27">
        <v>574.5</v>
      </c>
      <c r="F390" s="27">
        <v>250</v>
      </c>
      <c r="G390" s="27">
        <v>350</v>
      </c>
      <c r="H390" s="27">
        <v>201075</v>
      </c>
      <c r="I390" s="5">
        <v>16086</v>
      </c>
      <c r="J390" s="27">
        <v>184989</v>
      </c>
      <c r="K390" s="27">
        <v>149370</v>
      </c>
      <c r="L390" s="5">
        <v>35619</v>
      </c>
      <c r="M390" s="28">
        <v>41730</v>
      </c>
      <c r="N390" s="3">
        <v>4</v>
      </c>
      <c r="O390" s="29" t="s">
        <v>41</v>
      </c>
      <c r="P390" s="3">
        <v>2014</v>
      </c>
      <c r="Q390" s="6">
        <f>New_Finance_Data[[#This Row],[ Profit ]]/New_Finance_Data[[#This Row],[  Sales ]]</f>
        <v>0.19254658385093168</v>
      </c>
      <c r="R390" t="str">
        <f>IF(New_Finance_Data[[#This Row],[  Sales ]]&gt;=100000,"High",IF(New_Finance_Data[[#This Row],[  Sales ]]&gt;=50000,"Medium","Low"))</f>
        <v>High</v>
      </c>
      <c r="S390" t="str">
        <f>IF(OR(ISBLANK(New_Finance_Data[[#This Row],[  Sales ]]),ISBLANK(New_Finance_Data[[#This Row],[ Profit ]])),"Missing","OK")</f>
        <v>OK</v>
      </c>
      <c r="T390" t="str">
        <f>TEXT(New_Finance_Data[[#This Row],[Date]],"MMM-YYYY")</f>
        <v>Apr-2014</v>
      </c>
      <c r="U390" t="str">
        <f>IF(New_Finance_Data[[#This Row],[ Profit ]]&gt;0,"Profit","Loss")</f>
        <v>Profit</v>
      </c>
      <c r="V390" t="str">
        <f>IF(New_Finance_Data[[#This Row],[  Sales ]]&gt;=50000,"High Sales","Low Sales")</f>
        <v>High Sales</v>
      </c>
      <c r="W390" t="b">
        <f>ISNUMBER(New_Finance_Data[[#This Row],[Date]])</f>
        <v>1</v>
      </c>
    </row>
    <row r="391" spans="1:23" x14ac:dyDescent="0.2">
      <c r="A391" t="s">
        <v>15</v>
      </c>
      <c r="B391" t="s">
        <v>20</v>
      </c>
      <c r="C391" t="s">
        <v>40</v>
      </c>
      <c r="D391" t="s">
        <v>45</v>
      </c>
      <c r="E391" s="27">
        <v>2338</v>
      </c>
      <c r="F391" s="27">
        <v>250</v>
      </c>
      <c r="G391" s="27">
        <v>7</v>
      </c>
      <c r="H391" s="27">
        <v>16366</v>
      </c>
      <c r="I391" s="5">
        <v>1309.28</v>
      </c>
      <c r="J391" s="27">
        <v>15056.72</v>
      </c>
      <c r="K391" s="27">
        <v>11690</v>
      </c>
      <c r="L391" s="5">
        <v>3366.72</v>
      </c>
      <c r="M391" s="28">
        <v>41791</v>
      </c>
      <c r="N391" s="3">
        <v>6</v>
      </c>
      <c r="O391" s="29" t="s">
        <v>23</v>
      </c>
      <c r="P391" s="3">
        <v>2014</v>
      </c>
      <c r="Q391" s="6">
        <f>New_Finance_Data[[#This Row],[ Profit ]]/New_Finance_Data[[#This Row],[  Sales ]]</f>
        <v>0.2236024844720497</v>
      </c>
      <c r="R391" t="str">
        <f>IF(New_Finance_Data[[#This Row],[  Sales ]]&gt;=100000,"High",IF(New_Finance_Data[[#This Row],[  Sales ]]&gt;=50000,"Medium","Low"))</f>
        <v>Low</v>
      </c>
      <c r="S391" t="str">
        <f>IF(OR(ISBLANK(New_Finance_Data[[#This Row],[  Sales ]]),ISBLANK(New_Finance_Data[[#This Row],[ Profit ]])),"Missing","OK")</f>
        <v>OK</v>
      </c>
      <c r="T391" t="str">
        <f>TEXT(New_Finance_Data[[#This Row],[Date]],"MMM-YYYY")</f>
        <v>Jun-2014</v>
      </c>
      <c r="U391" t="str">
        <f>IF(New_Finance_Data[[#This Row],[ Profit ]]&gt;0,"Profit","Loss")</f>
        <v>Profit</v>
      </c>
      <c r="V391" t="str">
        <f>IF(New_Finance_Data[[#This Row],[  Sales ]]&gt;=50000,"High Sales","Low Sales")</f>
        <v>Low Sales</v>
      </c>
      <c r="W391" t="b">
        <f>ISNUMBER(New_Finance_Data[[#This Row],[Date]])</f>
        <v>1</v>
      </c>
    </row>
    <row r="392" spans="1:23" x14ac:dyDescent="0.2">
      <c r="A392" t="s">
        <v>15</v>
      </c>
      <c r="B392" t="s">
        <v>22</v>
      </c>
      <c r="C392" t="s">
        <v>40</v>
      </c>
      <c r="D392" t="s">
        <v>45</v>
      </c>
      <c r="E392" s="27">
        <v>381</v>
      </c>
      <c r="F392" s="27">
        <v>250</v>
      </c>
      <c r="G392" s="27">
        <v>350</v>
      </c>
      <c r="H392" s="27">
        <v>133350</v>
      </c>
      <c r="I392" s="5">
        <v>10668</v>
      </c>
      <c r="J392" s="27">
        <v>122682</v>
      </c>
      <c r="K392" s="27">
        <v>99060</v>
      </c>
      <c r="L392" s="5">
        <v>23622</v>
      </c>
      <c r="M392" s="28">
        <v>41852</v>
      </c>
      <c r="N392" s="3">
        <v>8</v>
      </c>
      <c r="O392" s="29" t="s">
        <v>32</v>
      </c>
      <c r="P392" s="3">
        <v>2014</v>
      </c>
      <c r="Q392" s="6">
        <f>New_Finance_Data[[#This Row],[ Profit ]]/New_Finance_Data[[#This Row],[  Sales ]]</f>
        <v>0.19254658385093168</v>
      </c>
      <c r="R392" t="str">
        <f>IF(New_Finance_Data[[#This Row],[  Sales ]]&gt;=100000,"High",IF(New_Finance_Data[[#This Row],[  Sales ]]&gt;=50000,"Medium","Low"))</f>
        <v>High</v>
      </c>
      <c r="S392" t="str">
        <f>IF(OR(ISBLANK(New_Finance_Data[[#This Row],[  Sales ]]),ISBLANK(New_Finance_Data[[#This Row],[ Profit ]])),"Missing","OK")</f>
        <v>OK</v>
      </c>
      <c r="T392" t="str">
        <f>TEXT(New_Finance_Data[[#This Row],[Date]],"MMM-YYYY")</f>
        <v>Aug-2014</v>
      </c>
      <c r="U392" t="str">
        <f>IF(New_Finance_Data[[#This Row],[ Profit ]]&gt;0,"Profit","Loss")</f>
        <v>Profit</v>
      </c>
      <c r="V392" t="str">
        <f>IF(New_Finance_Data[[#This Row],[  Sales ]]&gt;=50000,"High Sales","Low Sales")</f>
        <v>High Sales</v>
      </c>
      <c r="W392" t="b">
        <f>ISNUMBER(New_Finance_Data[[#This Row],[Date]])</f>
        <v>1</v>
      </c>
    </row>
    <row r="393" spans="1:23" x14ac:dyDescent="0.2">
      <c r="A393" t="s">
        <v>15</v>
      </c>
      <c r="B393" t="s">
        <v>20</v>
      </c>
      <c r="C393" t="s">
        <v>40</v>
      </c>
      <c r="D393" t="s">
        <v>45</v>
      </c>
      <c r="E393" s="27">
        <v>422</v>
      </c>
      <c r="F393" s="27">
        <v>250</v>
      </c>
      <c r="G393" s="27">
        <v>350</v>
      </c>
      <c r="H393" s="27">
        <v>147700</v>
      </c>
      <c r="I393" s="5">
        <v>11816</v>
      </c>
      <c r="J393" s="27">
        <v>135884</v>
      </c>
      <c r="K393" s="27">
        <v>109720</v>
      </c>
      <c r="L393" s="5">
        <v>26164</v>
      </c>
      <c r="M393" s="28">
        <v>41852</v>
      </c>
      <c r="N393" s="3">
        <v>8</v>
      </c>
      <c r="O393" s="29" t="s">
        <v>32</v>
      </c>
      <c r="P393" s="3">
        <v>2014</v>
      </c>
      <c r="Q393" s="6">
        <f>New_Finance_Data[[#This Row],[ Profit ]]/New_Finance_Data[[#This Row],[  Sales ]]</f>
        <v>0.19254658385093168</v>
      </c>
      <c r="R393" t="str">
        <f>IF(New_Finance_Data[[#This Row],[  Sales ]]&gt;=100000,"High",IF(New_Finance_Data[[#This Row],[  Sales ]]&gt;=50000,"Medium","Low"))</f>
        <v>High</v>
      </c>
      <c r="S393" t="str">
        <f>IF(OR(ISBLANK(New_Finance_Data[[#This Row],[  Sales ]]),ISBLANK(New_Finance_Data[[#This Row],[ Profit ]])),"Missing","OK")</f>
        <v>OK</v>
      </c>
      <c r="T393" t="str">
        <f>TEXT(New_Finance_Data[[#This Row],[Date]],"MMM-YYYY")</f>
        <v>Aug-2014</v>
      </c>
      <c r="U393" t="str">
        <f>IF(New_Finance_Data[[#This Row],[ Profit ]]&gt;0,"Profit","Loss")</f>
        <v>Profit</v>
      </c>
      <c r="V393" t="str">
        <f>IF(New_Finance_Data[[#This Row],[  Sales ]]&gt;=50000,"High Sales","Low Sales")</f>
        <v>High Sales</v>
      </c>
      <c r="W393" t="b">
        <f>ISNUMBER(New_Finance_Data[[#This Row],[Date]])</f>
        <v>1</v>
      </c>
    </row>
    <row r="394" spans="1:23" x14ac:dyDescent="0.2">
      <c r="A394" t="s">
        <v>31</v>
      </c>
      <c r="B394" t="s">
        <v>16</v>
      </c>
      <c r="C394" t="s">
        <v>40</v>
      </c>
      <c r="D394" t="s">
        <v>45</v>
      </c>
      <c r="E394" s="27">
        <v>2134</v>
      </c>
      <c r="F394" s="27">
        <v>250</v>
      </c>
      <c r="G394" s="27">
        <v>300</v>
      </c>
      <c r="H394" s="27">
        <v>640200</v>
      </c>
      <c r="I394" s="5">
        <v>51216</v>
      </c>
      <c r="J394" s="27">
        <v>588984</v>
      </c>
      <c r="K394" s="27">
        <v>533500</v>
      </c>
      <c r="L394" s="5">
        <v>55484</v>
      </c>
      <c r="M394" s="28">
        <v>41883</v>
      </c>
      <c r="N394" s="3">
        <v>9</v>
      </c>
      <c r="O394" s="29" t="s">
        <v>33</v>
      </c>
      <c r="P394" s="3">
        <v>2014</v>
      </c>
      <c r="Q394" s="6">
        <f>New_Finance_Data[[#This Row],[ Profit ]]/New_Finance_Data[[#This Row],[  Sales ]]</f>
        <v>9.420289855072464E-2</v>
      </c>
      <c r="R394" t="str">
        <f>IF(New_Finance_Data[[#This Row],[  Sales ]]&gt;=100000,"High",IF(New_Finance_Data[[#This Row],[  Sales ]]&gt;=50000,"Medium","Low"))</f>
        <v>High</v>
      </c>
      <c r="S394" t="str">
        <f>IF(OR(ISBLANK(New_Finance_Data[[#This Row],[  Sales ]]),ISBLANK(New_Finance_Data[[#This Row],[ Profit ]])),"Missing","OK")</f>
        <v>OK</v>
      </c>
      <c r="T394" t="str">
        <f>TEXT(New_Finance_Data[[#This Row],[Date]],"MMM-YYYY")</f>
        <v>Sep-2014</v>
      </c>
      <c r="U394" t="str">
        <f>IF(New_Finance_Data[[#This Row],[ Profit ]]&gt;0,"Profit","Loss")</f>
        <v>Profit</v>
      </c>
      <c r="V394" t="str">
        <f>IF(New_Finance_Data[[#This Row],[  Sales ]]&gt;=50000,"High Sales","Low Sales")</f>
        <v>High Sales</v>
      </c>
      <c r="W394" t="b">
        <f>ISNUMBER(New_Finance_Data[[#This Row],[Date]])</f>
        <v>1</v>
      </c>
    </row>
    <row r="395" spans="1:23" x14ac:dyDescent="0.2">
      <c r="A395" t="s">
        <v>31</v>
      </c>
      <c r="B395" t="s">
        <v>35</v>
      </c>
      <c r="C395" t="s">
        <v>40</v>
      </c>
      <c r="D395" t="s">
        <v>45</v>
      </c>
      <c r="E395" s="27">
        <v>808</v>
      </c>
      <c r="F395" s="27">
        <v>250</v>
      </c>
      <c r="G395" s="27">
        <v>300</v>
      </c>
      <c r="H395" s="27">
        <v>242400</v>
      </c>
      <c r="I395" s="5">
        <v>19392</v>
      </c>
      <c r="J395" s="27">
        <v>223008</v>
      </c>
      <c r="K395" s="27">
        <v>202000</v>
      </c>
      <c r="L395" s="5">
        <v>21008</v>
      </c>
      <c r="M395" s="28">
        <v>41609</v>
      </c>
      <c r="N395" s="3">
        <v>12</v>
      </c>
      <c r="O395" s="29" t="s">
        <v>25</v>
      </c>
      <c r="P395" s="3">
        <v>2013</v>
      </c>
      <c r="Q395" s="6">
        <f>New_Finance_Data[[#This Row],[ Profit ]]/New_Finance_Data[[#This Row],[  Sales ]]</f>
        <v>9.420289855072464E-2</v>
      </c>
      <c r="R395" t="str">
        <f>IF(New_Finance_Data[[#This Row],[  Sales ]]&gt;=100000,"High",IF(New_Finance_Data[[#This Row],[  Sales ]]&gt;=50000,"Medium","Low"))</f>
        <v>High</v>
      </c>
      <c r="S395" t="str">
        <f>IF(OR(ISBLANK(New_Finance_Data[[#This Row],[  Sales ]]),ISBLANK(New_Finance_Data[[#This Row],[ Profit ]])),"Missing","OK")</f>
        <v>OK</v>
      </c>
      <c r="T395" t="str">
        <f>TEXT(New_Finance_Data[[#This Row],[Date]],"MMM-YYYY")</f>
        <v>Dec-2013</v>
      </c>
      <c r="U395" t="str">
        <f>IF(New_Finance_Data[[#This Row],[ Profit ]]&gt;0,"Profit","Loss")</f>
        <v>Profit</v>
      </c>
      <c r="V395" t="str">
        <f>IF(New_Finance_Data[[#This Row],[  Sales ]]&gt;=50000,"High Sales","Low Sales")</f>
        <v>High Sales</v>
      </c>
      <c r="W395" t="b">
        <f>ISNUMBER(New_Finance_Data[[#This Row],[Date]])</f>
        <v>1</v>
      </c>
    </row>
    <row r="396" spans="1:23" x14ac:dyDescent="0.2">
      <c r="A396" t="s">
        <v>15</v>
      </c>
      <c r="B396" t="s">
        <v>16</v>
      </c>
      <c r="C396" t="s">
        <v>42</v>
      </c>
      <c r="D396" t="s">
        <v>45</v>
      </c>
      <c r="E396" s="27">
        <v>708</v>
      </c>
      <c r="F396" s="27">
        <v>260</v>
      </c>
      <c r="G396" s="27">
        <v>20</v>
      </c>
      <c r="H396" s="27">
        <v>14160</v>
      </c>
      <c r="I396" s="5">
        <v>1132.8</v>
      </c>
      <c r="J396" s="27">
        <v>13027.2</v>
      </c>
      <c r="K396" s="27">
        <v>7080</v>
      </c>
      <c r="L396" s="5">
        <v>5947.2</v>
      </c>
      <c r="M396" s="28">
        <v>41791</v>
      </c>
      <c r="N396" s="3">
        <v>6</v>
      </c>
      <c r="O396" s="29" t="s">
        <v>23</v>
      </c>
      <c r="P396" s="3">
        <v>2014</v>
      </c>
      <c r="Q396" s="6">
        <f>New_Finance_Data[[#This Row],[ Profit ]]/New_Finance_Data[[#This Row],[  Sales ]]</f>
        <v>0.45652173913043476</v>
      </c>
      <c r="R396" t="str">
        <f>IF(New_Finance_Data[[#This Row],[  Sales ]]&gt;=100000,"High",IF(New_Finance_Data[[#This Row],[  Sales ]]&gt;=50000,"Medium","Low"))</f>
        <v>Low</v>
      </c>
      <c r="S396" t="str">
        <f>IF(OR(ISBLANK(New_Finance_Data[[#This Row],[  Sales ]]),ISBLANK(New_Finance_Data[[#This Row],[ Profit ]])),"Missing","OK")</f>
        <v>OK</v>
      </c>
      <c r="T396" t="str">
        <f>TEXT(New_Finance_Data[[#This Row],[Date]],"MMM-YYYY")</f>
        <v>Jun-2014</v>
      </c>
      <c r="U396" t="str">
        <f>IF(New_Finance_Data[[#This Row],[ Profit ]]&gt;0,"Profit","Loss")</f>
        <v>Profit</v>
      </c>
      <c r="V396" t="str">
        <f>IF(New_Finance_Data[[#This Row],[  Sales ]]&gt;=50000,"High Sales","Low Sales")</f>
        <v>Low Sales</v>
      </c>
      <c r="W396" t="b">
        <f>ISNUMBER(New_Finance_Data[[#This Row],[Date]])</f>
        <v>1</v>
      </c>
    </row>
    <row r="397" spans="1:23" x14ac:dyDescent="0.2">
      <c r="A397" t="s">
        <v>15</v>
      </c>
      <c r="B397" t="s">
        <v>35</v>
      </c>
      <c r="C397" t="s">
        <v>42</v>
      </c>
      <c r="D397" t="s">
        <v>45</v>
      </c>
      <c r="E397" s="27">
        <v>2907</v>
      </c>
      <c r="F397" s="27">
        <v>260</v>
      </c>
      <c r="G397" s="27">
        <v>7</v>
      </c>
      <c r="H397" s="27">
        <v>20349</v>
      </c>
      <c r="I397" s="5">
        <v>1627.92</v>
      </c>
      <c r="J397" s="27">
        <v>18721.080000000002</v>
      </c>
      <c r="K397" s="27">
        <v>14535</v>
      </c>
      <c r="L397" s="5">
        <v>4186.08</v>
      </c>
      <c r="M397" s="28">
        <v>41791</v>
      </c>
      <c r="N397" s="3">
        <v>6</v>
      </c>
      <c r="O397" s="29" t="s">
        <v>23</v>
      </c>
      <c r="P397" s="3">
        <v>2014</v>
      </c>
      <c r="Q397" s="6">
        <f>New_Finance_Data[[#This Row],[ Profit ]]/New_Finance_Data[[#This Row],[  Sales ]]</f>
        <v>0.22360248447204967</v>
      </c>
      <c r="R397" t="str">
        <f>IF(New_Finance_Data[[#This Row],[  Sales ]]&gt;=100000,"High",IF(New_Finance_Data[[#This Row],[  Sales ]]&gt;=50000,"Medium","Low"))</f>
        <v>Low</v>
      </c>
      <c r="S397" t="str">
        <f>IF(OR(ISBLANK(New_Finance_Data[[#This Row],[  Sales ]]),ISBLANK(New_Finance_Data[[#This Row],[ Profit ]])),"Missing","OK")</f>
        <v>OK</v>
      </c>
      <c r="T397" t="str">
        <f>TEXT(New_Finance_Data[[#This Row],[Date]],"MMM-YYYY")</f>
        <v>Jun-2014</v>
      </c>
      <c r="U397" t="str">
        <f>IF(New_Finance_Data[[#This Row],[ Profit ]]&gt;0,"Profit","Loss")</f>
        <v>Profit</v>
      </c>
      <c r="V397" t="str">
        <f>IF(New_Finance_Data[[#This Row],[  Sales ]]&gt;=50000,"High Sales","Low Sales")</f>
        <v>Low Sales</v>
      </c>
      <c r="W397" t="b">
        <f>ISNUMBER(New_Finance_Data[[#This Row],[Date]])</f>
        <v>1</v>
      </c>
    </row>
    <row r="398" spans="1:23" x14ac:dyDescent="0.2">
      <c r="A398" t="s">
        <v>15</v>
      </c>
      <c r="B398" t="s">
        <v>20</v>
      </c>
      <c r="C398" t="s">
        <v>42</v>
      </c>
      <c r="D398" t="s">
        <v>45</v>
      </c>
      <c r="E398" s="27">
        <v>1366</v>
      </c>
      <c r="F398" s="27">
        <v>260</v>
      </c>
      <c r="G398" s="27">
        <v>20</v>
      </c>
      <c r="H398" s="27">
        <v>27320</v>
      </c>
      <c r="I398" s="5">
        <v>2185.6</v>
      </c>
      <c r="J398" s="27">
        <v>25134.400000000001</v>
      </c>
      <c r="K398" s="27">
        <v>13660</v>
      </c>
      <c r="L398" s="5">
        <v>11474.4</v>
      </c>
      <c r="M398" s="28">
        <v>41791</v>
      </c>
      <c r="N398" s="3">
        <v>6</v>
      </c>
      <c r="O398" s="29" t="s">
        <v>23</v>
      </c>
      <c r="P398" s="3">
        <v>2014</v>
      </c>
      <c r="Q398" s="6">
        <f>New_Finance_Data[[#This Row],[ Profit ]]/New_Finance_Data[[#This Row],[  Sales ]]</f>
        <v>0.45652173913043476</v>
      </c>
      <c r="R398" t="str">
        <f>IF(New_Finance_Data[[#This Row],[  Sales ]]&gt;=100000,"High",IF(New_Finance_Data[[#This Row],[  Sales ]]&gt;=50000,"Medium","Low"))</f>
        <v>Low</v>
      </c>
      <c r="S398" t="str">
        <f>IF(OR(ISBLANK(New_Finance_Data[[#This Row],[  Sales ]]),ISBLANK(New_Finance_Data[[#This Row],[ Profit ]])),"Missing","OK")</f>
        <v>OK</v>
      </c>
      <c r="T398" t="str">
        <f>TEXT(New_Finance_Data[[#This Row],[Date]],"MMM-YYYY")</f>
        <v>Jun-2014</v>
      </c>
      <c r="U398" t="str">
        <f>IF(New_Finance_Data[[#This Row],[ Profit ]]&gt;0,"Profit","Loss")</f>
        <v>Profit</v>
      </c>
      <c r="V398" t="str">
        <f>IF(New_Finance_Data[[#This Row],[  Sales ]]&gt;=50000,"High Sales","Low Sales")</f>
        <v>Low Sales</v>
      </c>
      <c r="W398" t="b">
        <f>ISNUMBER(New_Finance_Data[[#This Row],[Date]])</f>
        <v>1</v>
      </c>
    </row>
    <row r="399" spans="1:23" x14ac:dyDescent="0.2">
      <c r="A399" t="s">
        <v>31</v>
      </c>
      <c r="B399" t="s">
        <v>24</v>
      </c>
      <c r="C399" t="s">
        <v>42</v>
      </c>
      <c r="D399" t="s">
        <v>45</v>
      </c>
      <c r="E399" s="27">
        <v>2460</v>
      </c>
      <c r="F399" s="27">
        <v>260</v>
      </c>
      <c r="G399" s="27">
        <v>300</v>
      </c>
      <c r="H399" s="27">
        <v>738000</v>
      </c>
      <c r="I399" s="5">
        <v>59040</v>
      </c>
      <c r="J399" s="27">
        <v>678960</v>
      </c>
      <c r="K399" s="27">
        <v>615000</v>
      </c>
      <c r="L399" s="5">
        <v>63960</v>
      </c>
      <c r="M399" s="28">
        <v>41791</v>
      </c>
      <c r="N399" s="3">
        <v>6</v>
      </c>
      <c r="O399" s="29" t="s">
        <v>23</v>
      </c>
      <c r="P399" s="3">
        <v>2014</v>
      </c>
      <c r="Q399" s="6">
        <f>New_Finance_Data[[#This Row],[ Profit ]]/New_Finance_Data[[#This Row],[  Sales ]]</f>
        <v>9.420289855072464E-2</v>
      </c>
      <c r="R399" t="str">
        <f>IF(New_Finance_Data[[#This Row],[  Sales ]]&gt;=100000,"High",IF(New_Finance_Data[[#This Row],[  Sales ]]&gt;=50000,"Medium","Low"))</f>
        <v>High</v>
      </c>
      <c r="S399" t="str">
        <f>IF(OR(ISBLANK(New_Finance_Data[[#This Row],[  Sales ]]),ISBLANK(New_Finance_Data[[#This Row],[ Profit ]])),"Missing","OK")</f>
        <v>OK</v>
      </c>
      <c r="T399" t="str">
        <f>TEXT(New_Finance_Data[[#This Row],[Date]],"MMM-YYYY")</f>
        <v>Jun-2014</v>
      </c>
      <c r="U399" t="str">
        <f>IF(New_Finance_Data[[#This Row],[ Profit ]]&gt;0,"Profit","Loss")</f>
        <v>Profit</v>
      </c>
      <c r="V399" t="str">
        <f>IF(New_Finance_Data[[#This Row],[  Sales ]]&gt;=50000,"High Sales","Low Sales")</f>
        <v>High Sales</v>
      </c>
      <c r="W399" t="b">
        <f>ISNUMBER(New_Finance_Data[[#This Row],[Date]])</f>
        <v>1</v>
      </c>
    </row>
    <row r="400" spans="1:23" x14ac:dyDescent="0.2">
      <c r="A400" t="s">
        <v>15</v>
      </c>
      <c r="B400" t="s">
        <v>20</v>
      </c>
      <c r="C400" t="s">
        <v>42</v>
      </c>
      <c r="D400" t="s">
        <v>45</v>
      </c>
      <c r="E400" s="27">
        <v>1520</v>
      </c>
      <c r="F400" s="27">
        <v>260</v>
      </c>
      <c r="G400" s="27">
        <v>20</v>
      </c>
      <c r="H400" s="27">
        <v>30400</v>
      </c>
      <c r="I400" s="5">
        <v>2432</v>
      </c>
      <c r="J400" s="27">
        <v>27968</v>
      </c>
      <c r="K400" s="27">
        <v>15200</v>
      </c>
      <c r="L400" s="5">
        <v>12768</v>
      </c>
      <c r="M400" s="28">
        <v>41944</v>
      </c>
      <c r="N400" s="3">
        <v>11</v>
      </c>
      <c r="O400" s="29" t="s">
        <v>38</v>
      </c>
      <c r="P400" s="3">
        <v>2014</v>
      </c>
      <c r="Q400" s="6">
        <f>New_Finance_Data[[#This Row],[ Profit ]]/New_Finance_Data[[#This Row],[  Sales ]]</f>
        <v>0.45652173913043476</v>
      </c>
      <c r="R400" t="str">
        <f>IF(New_Finance_Data[[#This Row],[  Sales ]]&gt;=100000,"High",IF(New_Finance_Data[[#This Row],[  Sales ]]&gt;=50000,"Medium","Low"))</f>
        <v>Low</v>
      </c>
      <c r="S400" t="str">
        <f>IF(OR(ISBLANK(New_Finance_Data[[#This Row],[  Sales ]]),ISBLANK(New_Finance_Data[[#This Row],[ Profit ]])),"Missing","OK")</f>
        <v>OK</v>
      </c>
      <c r="T400" t="str">
        <f>TEXT(New_Finance_Data[[#This Row],[Date]],"MMM-YYYY")</f>
        <v>Nov-2014</v>
      </c>
      <c r="U400" t="str">
        <f>IF(New_Finance_Data[[#This Row],[ Profit ]]&gt;0,"Profit","Loss")</f>
        <v>Profit</v>
      </c>
      <c r="V400" t="str">
        <f>IF(New_Finance_Data[[#This Row],[  Sales ]]&gt;=50000,"High Sales","Low Sales")</f>
        <v>Low Sales</v>
      </c>
      <c r="W400" t="b">
        <f>ISNUMBER(New_Finance_Data[[#This Row],[Date]])</f>
        <v>1</v>
      </c>
    </row>
    <row r="401" spans="1:23" x14ac:dyDescent="0.2">
      <c r="A401" t="s">
        <v>21</v>
      </c>
      <c r="B401" t="s">
        <v>20</v>
      </c>
      <c r="C401" t="s">
        <v>42</v>
      </c>
      <c r="D401" t="s">
        <v>45</v>
      </c>
      <c r="E401" s="27">
        <v>711</v>
      </c>
      <c r="F401" s="27">
        <v>260</v>
      </c>
      <c r="G401" s="27">
        <v>15</v>
      </c>
      <c r="H401" s="27">
        <v>10665</v>
      </c>
      <c r="I401" s="5">
        <v>853.2</v>
      </c>
      <c r="J401" s="27">
        <v>9811.7999999999993</v>
      </c>
      <c r="K401" s="27">
        <v>7110</v>
      </c>
      <c r="L401" s="5">
        <v>2701.8</v>
      </c>
      <c r="M401" s="28">
        <v>41974</v>
      </c>
      <c r="N401" s="3">
        <v>12</v>
      </c>
      <c r="O401" s="29" t="s">
        <v>25</v>
      </c>
      <c r="P401" s="3">
        <v>2014</v>
      </c>
      <c r="Q401" s="6">
        <f>New_Finance_Data[[#This Row],[ Profit ]]/New_Finance_Data[[#This Row],[  Sales ]]</f>
        <v>0.27536231884057977</v>
      </c>
      <c r="R401" t="str">
        <f>IF(New_Finance_Data[[#This Row],[  Sales ]]&gt;=100000,"High",IF(New_Finance_Data[[#This Row],[  Sales ]]&gt;=50000,"Medium","Low"))</f>
        <v>Low</v>
      </c>
      <c r="S401" t="str">
        <f>IF(OR(ISBLANK(New_Finance_Data[[#This Row],[  Sales ]]),ISBLANK(New_Finance_Data[[#This Row],[ Profit ]])),"Missing","OK")</f>
        <v>OK</v>
      </c>
      <c r="T401" t="str">
        <f>TEXT(New_Finance_Data[[#This Row],[Date]],"MMM-YYYY")</f>
        <v>Dec-2014</v>
      </c>
      <c r="U401" t="str">
        <f>IF(New_Finance_Data[[#This Row],[ Profit ]]&gt;0,"Profit","Loss")</f>
        <v>Profit</v>
      </c>
      <c r="V401" t="str">
        <f>IF(New_Finance_Data[[#This Row],[  Sales ]]&gt;=50000,"High Sales","Low Sales")</f>
        <v>Low Sales</v>
      </c>
      <c r="W401" t="b">
        <f>ISNUMBER(New_Finance_Data[[#This Row],[Date]])</f>
        <v>1</v>
      </c>
    </row>
    <row r="402" spans="1:23" x14ac:dyDescent="0.2">
      <c r="A402" t="s">
        <v>28</v>
      </c>
      <c r="B402" t="s">
        <v>24</v>
      </c>
      <c r="C402" t="s">
        <v>42</v>
      </c>
      <c r="D402" t="s">
        <v>45</v>
      </c>
      <c r="E402" s="27">
        <v>1375</v>
      </c>
      <c r="F402" s="27">
        <v>260</v>
      </c>
      <c r="G402" s="27">
        <v>12</v>
      </c>
      <c r="H402" s="27">
        <v>16500</v>
      </c>
      <c r="I402" s="5">
        <v>1320</v>
      </c>
      <c r="J402" s="27">
        <v>15180</v>
      </c>
      <c r="K402" s="27">
        <v>4125</v>
      </c>
      <c r="L402" s="5">
        <v>11055</v>
      </c>
      <c r="M402" s="28">
        <v>41609</v>
      </c>
      <c r="N402" s="3">
        <v>12</v>
      </c>
      <c r="O402" s="29" t="s">
        <v>25</v>
      </c>
      <c r="P402" s="3">
        <v>2013</v>
      </c>
      <c r="Q402" s="6">
        <f>New_Finance_Data[[#This Row],[ Profit ]]/New_Finance_Data[[#This Row],[  Sales ]]</f>
        <v>0.72826086956521741</v>
      </c>
      <c r="R402" t="str">
        <f>IF(New_Finance_Data[[#This Row],[  Sales ]]&gt;=100000,"High",IF(New_Finance_Data[[#This Row],[  Sales ]]&gt;=50000,"Medium","Low"))</f>
        <v>Low</v>
      </c>
      <c r="S402" t="str">
        <f>IF(OR(ISBLANK(New_Finance_Data[[#This Row],[  Sales ]]),ISBLANK(New_Finance_Data[[#This Row],[ Profit ]])),"Missing","OK")</f>
        <v>OK</v>
      </c>
      <c r="T402" t="str">
        <f>TEXT(New_Finance_Data[[#This Row],[Date]],"MMM-YYYY")</f>
        <v>Dec-2013</v>
      </c>
      <c r="U402" t="str">
        <f>IF(New_Finance_Data[[#This Row],[ Profit ]]&gt;0,"Profit","Loss")</f>
        <v>Profit</v>
      </c>
      <c r="V402" t="str">
        <f>IF(New_Finance_Data[[#This Row],[  Sales ]]&gt;=50000,"High Sales","Low Sales")</f>
        <v>Low Sales</v>
      </c>
      <c r="W402" t="b">
        <f>ISNUMBER(New_Finance_Data[[#This Row],[Date]])</f>
        <v>1</v>
      </c>
    </row>
    <row r="403" spans="1:23" x14ac:dyDescent="0.2">
      <c r="A403" t="s">
        <v>31</v>
      </c>
      <c r="B403" t="s">
        <v>24</v>
      </c>
      <c r="C403" t="s">
        <v>42</v>
      </c>
      <c r="D403" t="s">
        <v>45</v>
      </c>
      <c r="E403" s="27">
        <v>635</v>
      </c>
      <c r="F403" s="27">
        <v>260</v>
      </c>
      <c r="G403" s="27">
        <v>300</v>
      </c>
      <c r="H403" s="27">
        <v>190500</v>
      </c>
      <c r="I403" s="5">
        <v>15240</v>
      </c>
      <c r="J403" s="27">
        <v>175260</v>
      </c>
      <c r="K403" s="27">
        <v>158750</v>
      </c>
      <c r="L403" s="5">
        <v>16510</v>
      </c>
      <c r="M403" s="28">
        <v>41974</v>
      </c>
      <c r="N403" s="3">
        <v>12</v>
      </c>
      <c r="O403" s="29" t="s">
        <v>25</v>
      </c>
      <c r="P403" s="3">
        <v>2014</v>
      </c>
      <c r="Q403" s="6">
        <f>New_Finance_Data[[#This Row],[ Profit ]]/New_Finance_Data[[#This Row],[  Sales ]]</f>
        <v>9.420289855072464E-2</v>
      </c>
      <c r="R403" t="str">
        <f>IF(New_Finance_Data[[#This Row],[  Sales ]]&gt;=100000,"High",IF(New_Finance_Data[[#This Row],[  Sales ]]&gt;=50000,"Medium","Low"))</f>
        <v>High</v>
      </c>
      <c r="S403" t="str">
        <f>IF(OR(ISBLANK(New_Finance_Data[[#This Row],[  Sales ]]),ISBLANK(New_Finance_Data[[#This Row],[ Profit ]])),"Missing","OK")</f>
        <v>OK</v>
      </c>
      <c r="T403" t="str">
        <f>TEXT(New_Finance_Data[[#This Row],[Date]],"MMM-YYYY")</f>
        <v>Dec-2014</v>
      </c>
      <c r="U403" t="str">
        <f>IF(New_Finance_Data[[#This Row],[ Profit ]]&gt;0,"Profit","Loss")</f>
        <v>Profit</v>
      </c>
      <c r="V403" t="str">
        <f>IF(New_Finance_Data[[#This Row],[  Sales ]]&gt;=50000,"High Sales","Low Sales")</f>
        <v>High Sales</v>
      </c>
      <c r="W403" t="b">
        <f>ISNUMBER(New_Finance_Data[[#This Row],[Date]])</f>
        <v>1</v>
      </c>
    </row>
    <row r="404" spans="1:23" x14ac:dyDescent="0.2">
      <c r="A404" t="s">
        <v>15</v>
      </c>
      <c r="B404" t="s">
        <v>35</v>
      </c>
      <c r="C404" t="s">
        <v>40</v>
      </c>
      <c r="D404" t="s">
        <v>45</v>
      </c>
      <c r="E404" s="27">
        <v>436.5</v>
      </c>
      <c r="F404" s="27">
        <v>250</v>
      </c>
      <c r="G404" s="27">
        <v>20</v>
      </c>
      <c r="H404" s="27">
        <v>8730</v>
      </c>
      <c r="I404" s="5">
        <v>698.4</v>
      </c>
      <c r="J404" s="27">
        <v>8031.6</v>
      </c>
      <c r="K404" s="27">
        <v>4365</v>
      </c>
      <c r="L404" s="5">
        <v>3666.6</v>
      </c>
      <c r="M404" s="28">
        <v>41821</v>
      </c>
      <c r="N404" s="3">
        <v>7</v>
      </c>
      <c r="O404" s="29" t="s">
        <v>30</v>
      </c>
      <c r="P404" s="3">
        <v>2014</v>
      </c>
      <c r="Q404" s="6">
        <f>New_Finance_Data[[#This Row],[ Profit ]]/New_Finance_Data[[#This Row],[  Sales ]]</f>
        <v>0.45652173913043476</v>
      </c>
      <c r="R404" t="str">
        <f>IF(New_Finance_Data[[#This Row],[  Sales ]]&gt;=100000,"High",IF(New_Finance_Data[[#This Row],[  Sales ]]&gt;=50000,"Medium","Low"))</f>
        <v>Low</v>
      </c>
      <c r="S404" t="str">
        <f>IF(OR(ISBLANK(New_Finance_Data[[#This Row],[  Sales ]]),ISBLANK(New_Finance_Data[[#This Row],[ Profit ]])),"Missing","OK")</f>
        <v>OK</v>
      </c>
      <c r="T404" t="str">
        <f>TEXT(New_Finance_Data[[#This Row],[Date]],"MMM-YYYY")</f>
        <v>Jul-2014</v>
      </c>
      <c r="U404" t="str">
        <f>IF(New_Finance_Data[[#This Row],[ Profit ]]&gt;0,"Profit","Loss")</f>
        <v>Profit</v>
      </c>
      <c r="V404" t="str">
        <f>IF(New_Finance_Data[[#This Row],[  Sales ]]&gt;=50000,"High Sales","Low Sales")</f>
        <v>Low Sales</v>
      </c>
      <c r="W404" t="b">
        <f>ISNUMBER(New_Finance_Data[[#This Row],[Date]])</f>
        <v>1</v>
      </c>
    </row>
    <row r="405" spans="1:23" x14ac:dyDescent="0.2">
      <c r="A405" t="s">
        <v>31</v>
      </c>
      <c r="B405" t="s">
        <v>16</v>
      </c>
      <c r="C405" t="s">
        <v>17</v>
      </c>
      <c r="D405" t="s">
        <v>45</v>
      </c>
      <c r="E405" s="27">
        <v>1094</v>
      </c>
      <c r="F405" s="27">
        <v>3</v>
      </c>
      <c r="G405" s="27">
        <v>300</v>
      </c>
      <c r="H405" s="27">
        <v>328200</v>
      </c>
      <c r="I405" s="5">
        <v>29538</v>
      </c>
      <c r="J405" s="27">
        <v>298662</v>
      </c>
      <c r="K405" s="27">
        <v>273500</v>
      </c>
      <c r="L405" s="5">
        <v>25162</v>
      </c>
      <c r="M405" s="28">
        <v>41791</v>
      </c>
      <c r="N405" s="3">
        <v>6</v>
      </c>
      <c r="O405" s="29" t="s">
        <v>23</v>
      </c>
      <c r="P405" s="3">
        <v>2014</v>
      </c>
      <c r="Q405" s="6">
        <f>New_Finance_Data[[#This Row],[ Profit ]]/New_Finance_Data[[#This Row],[  Sales ]]</f>
        <v>8.4249084249084255E-2</v>
      </c>
      <c r="R405" t="str">
        <f>IF(New_Finance_Data[[#This Row],[  Sales ]]&gt;=100000,"High",IF(New_Finance_Data[[#This Row],[  Sales ]]&gt;=50000,"Medium","Low"))</f>
        <v>High</v>
      </c>
      <c r="S405" t="str">
        <f>IF(OR(ISBLANK(New_Finance_Data[[#This Row],[  Sales ]]),ISBLANK(New_Finance_Data[[#This Row],[ Profit ]])),"Missing","OK")</f>
        <v>OK</v>
      </c>
      <c r="T405" t="str">
        <f>TEXT(New_Finance_Data[[#This Row],[Date]],"MMM-YYYY")</f>
        <v>Jun-2014</v>
      </c>
      <c r="U405" t="str">
        <f>IF(New_Finance_Data[[#This Row],[ Profit ]]&gt;0,"Profit","Loss")</f>
        <v>Profit</v>
      </c>
      <c r="V405" t="str">
        <f>IF(New_Finance_Data[[#This Row],[  Sales ]]&gt;=50000,"High Sales","Low Sales")</f>
        <v>High Sales</v>
      </c>
      <c r="W405" t="b">
        <f>ISNUMBER(New_Finance_Data[[#This Row],[Date]])</f>
        <v>1</v>
      </c>
    </row>
    <row r="406" spans="1:23" x14ac:dyDescent="0.2">
      <c r="A406" t="s">
        <v>28</v>
      </c>
      <c r="B406" t="s">
        <v>24</v>
      </c>
      <c r="C406" t="s">
        <v>17</v>
      </c>
      <c r="D406" t="s">
        <v>45</v>
      </c>
      <c r="E406" s="27">
        <v>367</v>
      </c>
      <c r="F406" s="27">
        <v>3</v>
      </c>
      <c r="G406" s="27">
        <v>12</v>
      </c>
      <c r="H406" s="27">
        <v>4404</v>
      </c>
      <c r="I406" s="5">
        <v>396.36</v>
      </c>
      <c r="J406" s="27">
        <v>4007.64</v>
      </c>
      <c r="K406" s="27">
        <v>1101</v>
      </c>
      <c r="L406" s="5">
        <v>2906.64</v>
      </c>
      <c r="M406" s="28">
        <v>41548</v>
      </c>
      <c r="N406" s="3">
        <v>10</v>
      </c>
      <c r="O406" s="29" t="s">
        <v>34</v>
      </c>
      <c r="P406" s="3">
        <v>2013</v>
      </c>
      <c r="Q406" s="6">
        <f>New_Finance_Data[[#This Row],[ Profit ]]/New_Finance_Data[[#This Row],[  Sales ]]</f>
        <v>0.72527472527472525</v>
      </c>
      <c r="R406" t="str">
        <f>IF(New_Finance_Data[[#This Row],[  Sales ]]&gt;=100000,"High",IF(New_Finance_Data[[#This Row],[  Sales ]]&gt;=50000,"Medium","Low"))</f>
        <v>Low</v>
      </c>
      <c r="S406" t="str">
        <f>IF(OR(ISBLANK(New_Finance_Data[[#This Row],[  Sales ]]),ISBLANK(New_Finance_Data[[#This Row],[ Profit ]])),"Missing","OK")</f>
        <v>OK</v>
      </c>
      <c r="T406" t="str">
        <f>TEXT(New_Finance_Data[[#This Row],[Date]],"MMM-YYYY")</f>
        <v>Oct-2013</v>
      </c>
      <c r="U406" t="str">
        <f>IF(New_Finance_Data[[#This Row],[ Profit ]]&gt;0,"Profit","Loss")</f>
        <v>Profit</v>
      </c>
      <c r="V406" t="str">
        <f>IF(New_Finance_Data[[#This Row],[  Sales ]]&gt;=50000,"High Sales","Low Sales")</f>
        <v>Low Sales</v>
      </c>
      <c r="W406" t="b">
        <f>ISNUMBER(New_Finance_Data[[#This Row],[Date]])</f>
        <v>1</v>
      </c>
    </row>
    <row r="407" spans="1:23" x14ac:dyDescent="0.2">
      <c r="A407" t="s">
        <v>31</v>
      </c>
      <c r="B407" t="s">
        <v>16</v>
      </c>
      <c r="C407" t="s">
        <v>26</v>
      </c>
      <c r="D407" t="s">
        <v>45</v>
      </c>
      <c r="E407" s="27">
        <v>3802.5</v>
      </c>
      <c r="F407" s="27">
        <v>5</v>
      </c>
      <c r="G407" s="27">
        <v>300</v>
      </c>
      <c r="H407" s="27">
        <v>1140750</v>
      </c>
      <c r="I407" s="5">
        <v>102667.5</v>
      </c>
      <c r="J407" s="27">
        <v>1038082.5</v>
      </c>
      <c r="K407" s="27">
        <v>950625</v>
      </c>
      <c r="L407" s="5">
        <v>87457.5</v>
      </c>
      <c r="M407" s="28">
        <v>41730</v>
      </c>
      <c r="N407" s="3">
        <v>4</v>
      </c>
      <c r="O407" s="29" t="s">
        <v>41</v>
      </c>
      <c r="P407" s="3">
        <v>2014</v>
      </c>
      <c r="Q407" s="6">
        <f>New_Finance_Data[[#This Row],[ Profit ]]/New_Finance_Data[[#This Row],[  Sales ]]</f>
        <v>8.4249084249084255E-2</v>
      </c>
      <c r="R407" t="str">
        <f>IF(New_Finance_Data[[#This Row],[  Sales ]]&gt;=100000,"High",IF(New_Finance_Data[[#This Row],[  Sales ]]&gt;=50000,"Medium","Low"))</f>
        <v>High</v>
      </c>
      <c r="S407" t="str">
        <f>IF(OR(ISBLANK(New_Finance_Data[[#This Row],[  Sales ]]),ISBLANK(New_Finance_Data[[#This Row],[ Profit ]])),"Missing","OK")</f>
        <v>OK</v>
      </c>
      <c r="T407" t="str">
        <f>TEXT(New_Finance_Data[[#This Row],[Date]],"MMM-YYYY")</f>
        <v>Apr-2014</v>
      </c>
      <c r="U407" t="str">
        <f>IF(New_Finance_Data[[#This Row],[ Profit ]]&gt;0,"Profit","Loss")</f>
        <v>Profit</v>
      </c>
      <c r="V407" t="str">
        <f>IF(New_Finance_Data[[#This Row],[  Sales ]]&gt;=50000,"High Sales","Low Sales")</f>
        <v>High Sales</v>
      </c>
      <c r="W407" t="b">
        <f>ISNUMBER(New_Finance_Data[[#This Row],[Date]])</f>
        <v>1</v>
      </c>
    </row>
    <row r="408" spans="1:23" x14ac:dyDescent="0.2">
      <c r="A408" t="s">
        <v>15</v>
      </c>
      <c r="B408" t="s">
        <v>22</v>
      </c>
      <c r="C408" t="s">
        <v>26</v>
      </c>
      <c r="D408" t="s">
        <v>45</v>
      </c>
      <c r="E408" s="27">
        <v>1666</v>
      </c>
      <c r="F408" s="27">
        <v>5</v>
      </c>
      <c r="G408" s="27">
        <v>350</v>
      </c>
      <c r="H408" s="27">
        <v>583100</v>
      </c>
      <c r="I408" s="5">
        <v>52479</v>
      </c>
      <c r="J408" s="27">
        <v>530621</v>
      </c>
      <c r="K408" s="27">
        <v>433160</v>
      </c>
      <c r="L408" s="5">
        <v>97461</v>
      </c>
      <c r="M408" s="28">
        <v>41760</v>
      </c>
      <c r="N408" s="3">
        <v>5</v>
      </c>
      <c r="O408" s="29" t="s">
        <v>44</v>
      </c>
      <c r="P408" s="3">
        <v>2014</v>
      </c>
      <c r="Q408" s="6">
        <f>New_Finance_Data[[#This Row],[ Profit ]]/New_Finance_Data[[#This Row],[  Sales ]]</f>
        <v>0.18367346938775511</v>
      </c>
      <c r="R408" t="str">
        <f>IF(New_Finance_Data[[#This Row],[  Sales ]]&gt;=100000,"High",IF(New_Finance_Data[[#This Row],[  Sales ]]&gt;=50000,"Medium","Low"))</f>
        <v>High</v>
      </c>
      <c r="S408" t="str">
        <f>IF(OR(ISBLANK(New_Finance_Data[[#This Row],[  Sales ]]),ISBLANK(New_Finance_Data[[#This Row],[ Profit ]])),"Missing","OK")</f>
        <v>OK</v>
      </c>
      <c r="T408" t="str">
        <f>TEXT(New_Finance_Data[[#This Row],[Date]],"MMM-YYYY")</f>
        <v>May-2014</v>
      </c>
      <c r="U408" t="str">
        <f>IF(New_Finance_Data[[#This Row],[ Profit ]]&gt;0,"Profit","Loss")</f>
        <v>Profit</v>
      </c>
      <c r="V408" t="str">
        <f>IF(New_Finance_Data[[#This Row],[  Sales ]]&gt;=50000,"High Sales","Low Sales")</f>
        <v>High Sales</v>
      </c>
      <c r="W408" t="b">
        <f>ISNUMBER(New_Finance_Data[[#This Row],[Date]])</f>
        <v>1</v>
      </c>
    </row>
    <row r="409" spans="1:23" x14ac:dyDescent="0.2">
      <c r="A409" t="s">
        <v>31</v>
      </c>
      <c r="B409" t="s">
        <v>22</v>
      </c>
      <c r="C409" t="s">
        <v>26</v>
      </c>
      <c r="D409" t="s">
        <v>45</v>
      </c>
      <c r="E409" s="27">
        <v>322</v>
      </c>
      <c r="F409" s="27">
        <v>5</v>
      </c>
      <c r="G409" s="27">
        <v>300</v>
      </c>
      <c r="H409" s="27">
        <v>96600</v>
      </c>
      <c r="I409" s="5">
        <v>8694</v>
      </c>
      <c r="J409" s="27">
        <v>87906</v>
      </c>
      <c r="K409" s="27">
        <v>80500</v>
      </c>
      <c r="L409" s="5">
        <v>7406</v>
      </c>
      <c r="M409" s="28">
        <v>41518</v>
      </c>
      <c r="N409" s="3">
        <v>9</v>
      </c>
      <c r="O409" s="29" t="s">
        <v>33</v>
      </c>
      <c r="P409" s="3">
        <v>2013</v>
      </c>
      <c r="Q409" s="6">
        <f>New_Finance_Data[[#This Row],[ Profit ]]/New_Finance_Data[[#This Row],[  Sales ]]</f>
        <v>8.4249084249084255E-2</v>
      </c>
      <c r="R409" t="str">
        <f>IF(New_Finance_Data[[#This Row],[  Sales ]]&gt;=100000,"High",IF(New_Finance_Data[[#This Row],[  Sales ]]&gt;=50000,"Medium","Low"))</f>
        <v>Medium</v>
      </c>
      <c r="S409" t="str">
        <f>IF(OR(ISBLANK(New_Finance_Data[[#This Row],[  Sales ]]),ISBLANK(New_Finance_Data[[#This Row],[ Profit ]])),"Missing","OK")</f>
        <v>OK</v>
      </c>
      <c r="T409" t="str">
        <f>TEXT(New_Finance_Data[[#This Row],[Date]],"MMM-YYYY")</f>
        <v>Sep-2013</v>
      </c>
      <c r="U409" t="str">
        <f>IF(New_Finance_Data[[#This Row],[ Profit ]]&gt;0,"Profit","Loss")</f>
        <v>Profit</v>
      </c>
      <c r="V409" t="str">
        <f>IF(New_Finance_Data[[#This Row],[  Sales ]]&gt;=50000,"High Sales","Low Sales")</f>
        <v>High Sales</v>
      </c>
      <c r="W409" t="b">
        <f>ISNUMBER(New_Finance_Data[[#This Row],[Date]])</f>
        <v>1</v>
      </c>
    </row>
    <row r="410" spans="1:23" x14ac:dyDescent="0.2">
      <c r="A410" t="s">
        <v>28</v>
      </c>
      <c r="B410" t="s">
        <v>16</v>
      </c>
      <c r="C410" t="s">
        <v>26</v>
      </c>
      <c r="D410" t="s">
        <v>45</v>
      </c>
      <c r="E410" s="27">
        <v>2321</v>
      </c>
      <c r="F410" s="27">
        <v>5</v>
      </c>
      <c r="G410" s="27">
        <v>12</v>
      </c>
      <c r="H410" s="27">
        <v>27852</v>
      </c>
      <c r="I410" s="5">
        <v>2506.6799999999998</v>
      </c>
      <c r="J410" s="27">
        <v>25345.32</v>
      </c>
      <c r="K410" s="27">
        <v>6963</v>
      </c>
      <c r="L410" s="5">
        <v>18382.32</v>
      </c>
      <c r="M410" s="28">
        <v>41944</v>
      </c>
      <c r="N410" s="3">
        <v>11</v>
      </c>
      <c r="O410" s="29" t="s">
        <v>38</v>
      </c>
      <c r="P410" s="3">
        <v>2014</v>
      </c>
      <c r="Q410" s="6">
        <f>New_Finance_Data[[#This Row],[ Profit ]]/New_Finance_Data[[#This Row],[  Sales ]]</f>
        <v>0.72527472527472525</v>
      </c>
      <c r="R410" t="str">
        <f>IF(New_Finance_Data[[#This Row],[  Sales ]]&gt;=100000,"High",IF(New_Finance_Data[[#This Row],[  Sales ]]&gt;=50000,"Medium","Low"))</f>
        <v>Low</v>
      </c>
      <c r="S410" t="str">
        <f>IF(OR(ISBLANK(New_Finance_Data[[#This Row],[  Sales ]]),ISBLANK(New_Finance_Data[[#This Row],[ Profit ]])),"Missing","OK")</f>
        <v>OK</v>
      </c>
      <c r="T410" t="str">
        <f>TEXT(New_Finance_Data[[#This Row],[Date]],"MMM-YYYY")</f>
        <v>Nov-2014</v>
      </c>
      <c r="U410" t="str">
        <f>IF(New_Finance_Data[[#This Row],[ Profit ]]&gt;0,"Profit","Loss")</f>
        <v>Profit</v>
      </c>
      <c r="V410" t="str">
        <f>IF(New_Finance_Data[[#This Row],[  Sales ]]&gt;=50000,"High Sales","Low Sales")</f>
        <v>Low Sales</v>
      </c>
      <c r="W410" t="b">
        <f>ISNUMBER(New_Finance_Data[[#This Row],[Date]])</f>
        <v>1</v>
      </c>
    </row>
    <row r="411" spans="1:23" x14ac:dyDescent="0.2">
      <c r="A411" t="s">
        <v>29</v>
      </c>
      <c r="B411" t="s">
        <v>22</v>
      </c>
      <c r="C411" t="s">
        <v>26</v>
      </c>
      <c r="D411" t="s">
        <v>45</v>
      </c>
      <c r="E411" s="27">
        <v>1857</v>
      </c>
      <c r="F411" s="27">
        <v>5</v>
      </c>
      <c r="G411" s="27">
        <v>125</v>
      </c>
      <c r="H411" s="27">
        <v>232125</v>
      </c>
      <c r="I411" s="5">
        <v>20891.25</v>
      </c>
      <c r="J411" s="27">
        <v>211233.75</v>
      </c>
      <c r="K411" s="27">
        <v>222840</v>
      </c>
      <c r="L411" s="5">
        <v>-11606.25</v>
      </c>
      <c r="M411" s="28">
        <v>41579</v>
      </c>
      <c r="N411" s="3">
        <v>11</v>
      </c>
      <c r="O411" s="29" t="s">
        <v>38</v>
      </c>
      <c r="P411" s="3">
        <v>2013</v>
      </c>
      <c r="Q411" s="6">
        <f>New_Finance_Data[[#This Row],[ Profit ]]/New_Finance_Data[[#This Row],[  Sales ]]</f>
        <v>-5.4945054945054944E-2</v>
      </c>
      <c r="R411" t="str">
        <f>IF(New_Finance_Data[[#This Row],[  Sales ]]&gt;=100000,"High",IF(New_Finance_Data[[#This Row],[  Sales ]]&gt;=50000,"Medium","Low"))</f>
        <v>High</v>
      </c>
      <c r="S411" t="str">
        <f>IF(OR(ISBLANK(New_Finance_Data[[#This Row],[  Sales ]]),ISBLANK(New_Finance_Data[[#This Row],[ Profit ]])),"Missing","OK")</f>
        <v>OK</v>
      </c>
      <c r="T411" t="str">
        <f>TEXT(New_Finance_Data[[#This Row],[Date]],"MMM-YYYY")</f>
        <v>Nov-2013</v>
      </c>
      <c r="U411" t="str">
        <f>IF(New_Finance_Data[[#This Row],[ Profit ]]&gt;0,"Profit","Loss")</f>
        <v>Loss</v>
      </c>
      <c r="V411" t="str">
        <f>IF(New_Finance_Data[[#This Row],[  Sales ]]&gt;=50000,"High Sales","Low Sales")</f>
        <v>High Sales</v>
      </c>
      <c r="W411" t="b">
        <f>ISNUMBER(New_Finance_Data[[#This Row],[Date]])</f>
        <v>1</v>
      </c>
    </row>
    <row r="412" spans="1:23" x14ac:dyDescent="0.2">
      <c r="A412" t="s">
        <v>15</v>
      </c>
      <c r="B412" t="s">
        <v>16</v>
      </c>
      <c r="C412" t="s">
        <v>26</v>
      </c>
      <c r="D412" t="s">
        <v>45</v>
      </c>
      <c r="E412" s="27">
        <v>1611</v>
      </c>
      <c r="F412" s="27">
        <v>5</v>
      </c>
      <c r="G412" s="27">
        <v>7</v>
      </c>
      <c r="H412" s="27">
        <v>11277</v>
      </c>
      <c r="I412" s="5">
        <v>1014.93</v>
      </c>
      <c r="J412" s="27">
        <v>10262.07</v>
      </c>
      <c r="K412" s="27">
        <v>8055</v>
      </c>
      <c r="L412" s="5">
        <v>2207.0700000000002</v>
      </c>
      <c r="M412" s="28">
        <v>41609</v>
      </c>
      <c r="N412" s="3">
        <v>12</v>
      </c>
      <c r="O412" s="29" t="s">
        <v>25</v>
      </c>
      <c r="P412" s="3">
        <v>2013</v>
      </c>
      <c r="Q412" s="6">
        <f>New_Finance_Data[[#This Row],[ Profit ]]/New_Finance_Data[[#This Row],[  Sales ]]</f>
        <v>0.21507064364207223</v>
      </c>
      <c r="R412" t="str">
        <f>IF(New_Finance_Data[[#This Row],[  Sales ]]&gt;=100000,"High",IF(New_Finance_Data[[#This Row],[  Sales ]]&gt;=50000,"Medium","Low"))</f>
        <v>Low</v>
      </c>
      <c r="S412" t="str">
        <f>IF(OR(ISBLANK(New_Finance_Data[[#This Row],[  Sales ]]),ISBLANK(New_Finance_Data[[#This Row],[ Profit ]])),"Missing","OK")</f>
        <v>OK</v>
      </c>
      <c r="T412" t="str">
        <f>TEXT(New_Finance_Data[[#This Row],[Date]],"MMM-YYYY")</f>
        <v>Dec-2013</v>
      </c>
      <c r="U412" t="str">
        <f>IF(New_Finance_Data[[#This Row],[ Profit ]]&gt;0,"Profit","Loss")</f>
        <v>Profit</v>
      </c>
      <c r="V412" t="str">
        <f>IF(New_Finance_Data[[#This Row],[  Sales ]]&gt;=50000,"High Sales","Low Sales")</f>
        <v>Low Sales</v>
      </c>
      <c r="W412" t="b">
        <f>ISNUMBER(New_Finance_Data[[#This Row],[Date]])</f>
        <v>1</v>
      </c>
    </row>
    <row r="413" spans="1:23" x14ac:dyDescent="0.2">
      <c r="A413" t="s">
        <v>29</v>
      </c>
      <c r="B413" t="s">
        <v>35</v>
      </c>
      <c r="C413" t="s">
        <v>26</v>
      </c>
      <c r="D413" t="s">
        <v>45</v>
      </c>
      <c r="E413" s="27">
        <v>2797</v>
      </c>
      <c r="F413" s="27">
        <v>5</v>
      </c>
      <c r="G413" s="27">
        <v>125</v>
      </c>
      <c r="H413" s="27">
        <v>349625</v>
      </c>
      <c r="I413" s="5">
        <v>31466.25</v>
      </c>
      <c r="J413" s="27">
        <v>318158.75</v>
      </c>
      <c r="K413" s="27">
        <v>335640</v>
      </c>
      <c r="L413" s="5">
        <v>-17481.25</v>
      </c>
      <c r="M413" s="28">
        <v>41974</v>
      </c>
      <c r="N413" s="3">
        <v>12</v>
      </c>
      <c r="O413" s="29" t="s">
        <v>25</v>
      </c>
      <c r="P413" s="3">
        <v>2014</v>
      </c>
      <c r="Q413" s="6">
        <f>New_Finance_Data[[#This Row],[ Profit ]]/New_Finance_Data[[#This Row],[  Sales ]]</f>
        <v>-5.4945054945054944E-2</v>
      </c>
      <c r="R413" t="str">
        <f>IF(New_Finance_Data[[#This Row],[  Sales ]]&gt;=100000,"High",IF(New_Finance_Data[[#This Row],[  Sales ]]&gt;=50000,"Medium","Low"))</f>
        <v>High</v>
      </c>
      <c r="S413" t="str">
        <f>IF(OR(ISBLANK(New_Finance_Data[[#This Row],[  Sales ]]),ISBLANK(New_Finance_Data[[#This Row],[ Profit ]])),"Missing","OK")</f>
        <v>OK</v>
      </c>
      <c r="T413" t="str">
        <f>TEXT(New_Finance_Data[[#This Row],[Date]],"MMM-YYYY")</f>
        <v>Dec-2014</v>
      </c>
      <c r="U413" t="str">
        <f>IF(New_Finance_Data[[#This Row],[ Profit ]]&gt;0,"Profit","Loss")</f>
        <v>Loss</v>
      </c>
      <c r="V413" t="str">
        <f>IF(New_Finance_Data[[#This Row],[  Sales ]]&gt;=50000,"High Sales","Low Sales")</f>
        <v>High Sales</v>
      </c>
      <c r="W413" t="b">
        <f>ISNUMBER(New_Finance_Data[[#This Row],[Date]])</f>
        <v>1</v>
      </c>
    </row>
    <row r="414" spans="1:23" x14ac:dyDescent="0.2">
      <c r="A414" t="s">
        <v>31</v>
      </c>
      <c r="B414" t="s">
        <v>20</v>
      </c>
      <c r="C414" t="s">
        <v>26</v>
      </c>
      <c r="D414" t="s">
        <v>45</v>
      </c>
      <c r="E414" s="27">
        <v>334</v>
      </c>
      <c r="F414" s="27">
        <v>5</v>
      </c>
      <c r="G414" s="27">
        <v>300</v>
      </c>
      <c r="H414" s="27">
        <v>100200</v>
      </c>
      <c r="I414" s="5">
        <v>9018</v>
      </c>
      <c r="J414" s="27">
        <v>91182</v>
      </c>
      <c r="K414" s="27">
        <v>83500</v>
      </c>
      <c r="L414" s="5">
        <v>7682</v>
      </c>
      <c r="M414" s="28">
        <v>41609</v>
      </c>
      <c r="N414" s="3">
        <v>12</v>
      </c>
      <c r="O414" s="29" t="s">
        <v>25</v>
      </c>
      <c r="P414" s="3">
        <v>2013</v>
      </c>
      <c r="Q414" s="6">
        <f>New_Finance_Data[[#This Row],[ Profit ]]/New_Finance_Data[[#This Row],[  Sales ]]</f>
        <v>8.4249084249084255E-2</v>
      </c>
      <c r="R414" t="str">
        <f>IF(New_Finance_Data[[#This Row],[  Sales ]]&gt;=100000,"High",IF(New_Finance_Data[[#This Row],[  Sales ]]&gt;=50000,"Medium","Low"))</f>
        <v>Medium</v>
      </c>
      <c r="S414" t="str">
        <f>IF(OR(ISBLANK(New_Finance_Data[[#This Row],[  Sales ]]),ISBLANK(New_Finance_Data[[#This Row],[ Profit ]])),"Missing","OK")</f>
        <v>OK</v>
      </c>
      <c r="T414" t="str">
        <f>TEXT(New_Finance_Data[[#This Row],[Date]],"MMM-YYYY")</f>
        <v>Dec-2013</v>
      </c>
      <c r="U414" t="str">
        <f>IF(New_Finance_Data[[#This Row],[ Profit ]]&gt;0,"Profit","Loss")</f>
        <v>Profit</v>
      </c>
      <c r="V414" t="str">
        <f>IF(New_Finance_Data[[#This Row],[  Sales ]]&gt;=50000,"High Sales","Low Sales")</f>
        <v>High Sales</v>
      </c>
      <c r="W414" t="b">
        <f>ISNUMBER(New_Finance_Data[[#This Row],[Date]])</f>
        <v>1</v>
      </c>
    </row>
    <row r="415" spans="1:23" x14ac:dyDescent="0.2">
      <c r="A415" t="s">
        <v>31</v>
      </c>
      <c r="B415" t="s">
        <v>24</v>
      </c>
      <c r="C415" t="s">
        <v>36</v>
      </c>
      <c r="D415" t="s">
        <v>45</v>
      </c>
      <c r="E415" s="27">
        <v>2565</v>
      </c>
      <c r="F415" s="27">
        <v>10</v>
      </c>
      <c r="G415" s="27">
        <v>300</v>
      </c>
      <c r="H415" s="27">
        <v>769500</v>
      </c>
      <c r="I415" s="5">
        <v>69255</v>
      </c>
      <c r="J415" s="27">
        <v>700245</v>
      </c>
      <c r="K415" s="27">
        <v>641250</v>
      </c>
      <c r="L415" s="5">
        <v>58995</v>
      </c>
      <c r="M415" s="28">
        <v>41640</v>
      </c>
      <c r="N415" s="3">
        <v>1</v>
      </c>
      <c r="O415" s="29" t="s">
        <v>19</v>
      </c>
      <c r="P415" s="3">
        <v>2014</v>
      </c>
      <c r="Q415" s="6">
        <f>New_Finance_Data[[#This Row],[ Profit ]]/New_Finance_Data[[#This Row],[  Sales ]]</f>
        <v>8.4249084249084255E-2</v>
      </c>
      <c r="R415" t="str">
        <f>IF(New_Finance_Data[[#This Row],[  Sales ]]&gt;=100000,"High",IF(New_Finance_Data[[#This Row],[  Sales ]]&gt;=50000,"Medium","Low"))</f>
        <v>High</v>
      </c>
      <c r="S415" t="str">
        <f>IF(OR(ISBLANK(New_Finance_Data[[#This Row],[  Sales ]]),ISBLANK(New_Finance_Data[[#This Row],[ Profit ]])),"Missing","OK")</f>
        <v>OK</v>
      </c>
      <c r="T415" t="str">
        <f>TEXT(New_Finance_Data[[#This Row],[Date]],"MMM-YYYY")</f>
        <v>Jan-2014</v>
      </c>
      <c r="U415" t="str">
        <f>IF(New_Finance_Data[[#This Row],[ Profit ]]&gt;0,"Profit","Loss")</f>
        <v>Profit</v>
      </c>
      <c r="V415" t="str">
        <f>IF(New_Finance_Data[[#This Row],[  Sales ]]&gt;=50000,"High Sales","Low Sales")</f>
        <v>High Sales</v>
      </c>
      <c r="W415" t="b">
        <f>ISNUMBER(New_Finance_Data[[#This Row],[Date]])</f>
        <v>1</v>
      </c>
    </row>
    <row r="416" spans="1:23" x14ac:dyDescent="0.2">
      <c r="A416" t="s">
        <v>15</v>
      </c>
      <c r="B416" t="s">
        <v>24</v>
      </c>
      <c r="C416" t="s">
        <v>36</v>
      </c>
      <c r="D416" t="s">
        <v>45</v>
      </c>
      <c r="E416" s="27">
        <v>2417</v>
      </c>
      <c r="F416" s="27">
        <v>10</v>
      </c>
      <c r="G416" s="27">
        <v>350</v>
      </c>
      <c r="H416" s="27">
        <v>845950</v>
      </c>
      <c r="I416" s="5">
        <v>76135.5</v>
      </c>
      <c r="J416" s="27">
        <v>769814.5</v>
      </c>
      <c r="K416" s="27">
        <v>628420</v>
      </c>
      <c r="L416" s="5">
        <v>141394.5</v>
      </c>
      <c r="M416" s="28">
        <v>41640</v>
      </c>
      <c r="N416" s="3">
        <v>1</v>
      </c>
      <c r="O416" s="29" t="s">
        <v>19</v>
      </c>
      <c r="P416" s="3">
        <v>2014</v>
      </c>
      <c r="Q416" s="6">
        <f>New_Finance_Data[[#This Row],[ Profit ]]/New_Finance_Data[[#This Row],[  Sales ]]</f>
        <v>0.18367346938775511</v>
      </c>
      <c r="R416" t="str">
        <f>IF(New_Finance_Data[[#This Row],[  Sales ]]&gt;=100000,"High",IF(New_Finance_Data[[#This Row],[  Sales ]]&gt;=50000,"Medium","Low"))</f>
        <v>High</v>
      </c>
      <c r="S416" t="str">
        <f>IF(OR(ISBLANK(New_Finance_Data[[#This Row],[  Sales ]]),ISBLANK(New_Finance_Data[[#This Row],[ Profit ]])),"Missing","OK")</f>
        <v>OK</v>
      </c>
      <c r="T416" t="str">
        <f>TEXT(New_Finance_Data[[#This Row],[Date]],"MMM-YYYY")</f>
        <v>Jan-2014</v>
      </c>
      <c r="U416" t="str">
        <f>IF(New_Finance_Data[[#This Row],[ Profit ]]&gt;0,"Profit","Loss")</f>
        <v>Profit</v>
      </c>
      <c r="V416" t="str">
        <f>IF(New_Finance_Data[[#This Row],[  Sales ]]&gt;=50000,"High Sales","Low Sales")</f>
        <v>High Sales</v>
      </c>
      <c r="W416" t="b">
        <f>ISNUMBER(New_Finance_Data[[#This Row],[Date]])</f>
        <v>1</v>
      </c>
    </row>
    <row r="417" spans="1:23" x14ac:dyDescent="0.2">
      <c r="A417" t="s">
        <v>21</v>
      </c>
      <c r="B417" t="s">
        <v>35</v>
      </c>
      <c r="C417" t="s">
        <v>36</v>
      </c>
      <c r="D417" t="s">
        <v>45</v>
      </c>
      <c r="E417" s="27">
        <v>3675</v>
      </c>
      <c r="F417" s="27">
        <v>10</v>
      </c>
      <c r="G417" s="27">
        <v>15</v>
      </c>
      <c r="H417" s="27">
        <v>55125</v>
      </c>
      <c r="I417" s="5">
        <v>4961.25</v>
      </c>
      <c r="J417" s="27">
        <v>50163.75</v>
      </c>
      <c r="K417" s="27">
        <v>36750</v>
      </c>
      <c r="L417" s="5">
        <v>13413.75</v>
      </c>
      <c r="M417" s="28">
        <v>41730</v>
      </c>
      <c r="N417" s="3">
        <v>4</v>
      </c>
      <c r="O417" s="29" t="s">
        <v>41</v>
      </c>
      <c r="P417" s="3">
        <v>2014</v>
      </c>
      <c r="Q417" s="6">
        <f>New_Finance_Data[[#This Row],[ Profit ]]/New_Finance_Data[[#This Row],[  Sales ]]</f>
        <v>0.26739926739926739</v>
      </c>
      <c r="R417" t="str">
        <f>IF(New_Finance_Data[[#This Row],[  Sales ]]&gt;=100000,"High",IF(New_Finance_Data[[#This Row],[  Sales ]]&gt;=50000,"Medium","Low"))</f>
        <v>Medium</v>
      </c>
      <c r="S417" t="str">
        <f>IF(OR(ISBLANK(New_Finance_Data[[#This Row],[  Sales ]]),ISBLANK(New_Finance_Data[[#This Row],[ Profit ]])),"Missing","OK")</f>
        <v>OK</v>
      </c>
      <c r="T417" t="str">
        <f>TEXT(New_Finance_Data[[#This Row],[Date]],"MMM-YYYY")</f>
        <v>Apr-2014</v>
      </c>
      <c r="U417" t="str">
        <f>IF(New_Finance_Data[[#This Row],[ Profit ]]&gt;0,"Profit","Loss")</f>
        <v>Profit</v>
      </c>
      <c r="V417" t="str">
        <f>IF(New_Finance_Data[[#This Row],[  Sales ]]&gt;=50000,"High Sales","Low Sales")</f>
        <v>High Sales</v>
      </c>
      <c r="W417" t="b">
        <f>ISNUMBER(New_Finance_Data[[#This Row],[Date]])</f>
        <v>1</v>
      </c>
    </row>
    <row r="418" spans="1:23" x14ac:dyDescent="0.2">
      <c r="A418" t="s">
        <v>31</v>
      </c>
      <c r="B418" t="s">
        <v>16</v>
      </c>
      <c r="C418" t="s">
        <v>36</v>
      </c>
      <c r="D418" t="s">
        <v>45</v>
      </c>
      <c r="E418" s="27">
        <v>1094</v>
      </c>
      <c r="F418" s="27">
        <v>10</v>
      </c>
      <c r="G418" s="27">
        <v>300</v>
      </c>
      <c r="H418" s="27">
        <v>328200</v>
      </c>
      <c r="I418" s="5">
        <v>29538</v>
      </c>
      <c r="J418" s="27">
        <v>298662</v>
      </c>
      <c r="K418" s="27">
        <v>273500</v>
      </c>
      <c r="L418" s="5">
        <v>25162</v>
      </c>
      <c r="M418" s="28">
        <v>41791</v>
      </c>
      <c r="N418" s="3">
        <v>6</v>
      </c>
      <c r="O418" s="29" t="s">
        <v>23</v>
      </c>
      <c r="P418" s="3">
        <v>2014</v>
      </c>
      <c r="Q418" s="6">
        <f>New_Finance_Data[[#This Row],[ Profit ]]/New_Finance_Data[[#This Row],[  Sales ]]</f>
        <v>8.4249084249084255E-2</v>
      </c>
      <c r="R418" t="str">
        <f>IF(New_Finance_Data[[#This Row],[  Sales ]]&gt;=100000,"High",IF(New_Finance_Data[[#This Row],[  Sales ]]&gt;=50000,"Medium","Low"))</f>
        <v>High</v>
      </c>
      <c r="S418" t="str">
        <f>IF(OR(ISBLANK(New_Finance_Data[[#This Row],[  Sales ]]),ISBLANK(New_Finance_Data[[#This Row],[ Profit ]])),"Missing","OK")</f>
        <v>OK</v>
      </c>
      <c r="T418" t="str">
        <f>TEXT(New_Finance_Data[[#This Row],[Date]],"MMM-YYYY")</f>
        <v>Jun-2014</v>
      </c>
      <c r="U418" t="str">
        <f>IF(New_Finance_Data[[#This Row],[ Profit ]]&gt;0,"Profit","Loss")</f>
        <v>Profit</v>
      </c>
      <c r="V418" t="str">
        <f>IF(New_Finance_Data[[#This Row],[  Sales ]]&gt;=50000,"High Sales","Low Sales")</f>
        <v>High Sales</v>
      </c>
      <c r="W418" t="b">
        <f>ISNUMBER(New_Finance_Data[[#This Row],[Date]])</f>
        <v>1</v>
      </c>
    </row>
    <row r="419" spans="1:23" x14ac:dyDescent="0.2">
      <c r="A419" t="s">
        <v>21</v>
      </c>
      <c r="B419" t="s">
        <v>22</v>
      </c>
      <c r="C419" t="s">
        <v>36</v>
      </c>
      <c r="D419" t="s">
        <v>45</v>
      </c>
      <c r="E419" s="27">
        <v>1227</v>
      </c>
      <c r="F419" s="27">
        <v>10</v>
      </c>
      <c r="G419" s="27">
        <v>15</v>
      </c>
      <c r="H419" s="27">
        <v>18405</v>
      </c>
      <c r="I419" s="5">
        <v>1656.45</v>
      </c>
      <c r="J419" s="27">
        <v>16748.55</v>
      </c>
      <c r="K419" s="27">
        <v>12270</v>
      </c>
      <c r="L419" s="5">
        <v>4478.55</v>
      </c>
      <c r="M419" s="28">
        <v>41913</v>
      </c>
      <c r="N419" s="3">
        <v>10</v>
      </c>
      <c r="O419" s="29" t="s">
        <v>34</v>
      </c>
      <c r="P419" s="3">
        <v>2014</v>
      </c>
      <c r="Q419" s="6">
        <f>New_Finance_Data[[#This Row],[ Profit ]]/New_Finance_Data[[#This Row],[  Sales ]]</f>
        <v>0.26739926739926745</v>
      </c>
      <c r="R419" t="str">
        <f>IF(New_Finance_Data[[#This Row],[  Sales ]]&gt;=100000,"High",IF(New_Finance_Data[[#This Row],[  Sales ]]&gt;=50000,"Medium","Low"))</f>
        <v>Low</v>
      </c>
      <c r="S419" t="str">
        <f>IF(OR(ISBLANK(New_Finance_Data[[#This Row],[  Sales ]]),ISBLANK(New_Finance_Data[[#This Row],[ Profit ]])),"Missing","OK")</f>
        <v>OK</v>
      </c>
      <c r="T419" t="str">
        <f>TEXT(New_Finance_Data[[#This Row],[Date]],"MMM-YYYY")</f>
        <v>Oct-2014</v>
      </c>
      <c r="U419" t="str">
        <f>IF(New_Finance_Data[[#This Row],[ Profit ]]&gt;0,"Profit","Loss")</f>
        <v>Profit</v>
      </c>
      <c r="V419" t="str">
        <f>IF(New_Finance_Data[[#This Row],[  Sales ]]&gt;=50000,"High Sales","Low Sales")</f>
        <v>Low Sales</v>
      </c>
      <c r="W419" t="b">
        <f>ISNUMBER(New_Finance_Data[[#This Row],[Date]])</f>
        <v>1</v>
      </c>
    </row>
    <row r="420" spans="1:23" x14ac:dyDescent="0.2">
      <c r="A420" t="s">
        <v>28</v>
      </c>
      <c r="B420" t="s">
        <v>24</v>
      </c>
      <c r="C420" t="s">
        <v>36</v>
      </c>
      <c r="D420" t="s">
        <v>45</v>
      </c>
      <c r="E420" s="27">
        <v>367</v>
      </c>
      <c r="F420" s="27">
        <v>10</v>
      </c>
      <c r="G420" s="27">
        <v>12</v>
      </c>
      <c r="H420" s="27">
        <v>4404</v>
      </c>
      <c r="I420" s="5">
        <v>396.36</v>
      </c>
      <c r="J420" s="27">
        <v>4007.64</v>
      </c>
      <c r="K420" s="27">
        <v>1101</v>
      </c>
      <c r="L420" s="5">
        <v>2906.64</v>
      </c>
      <c r="M420" s="28">
        <v>41548</v>
      </c>
      <c r="N420" s="3">
        <v>10</v>
      </c>
      <c r="O420" s="29" t="s">
        <v>34</v>
      </c>
      <c r="P420" s="3">
        <v>2013</v>
      </c>
      <c r="Q420" s="6">
        <f>New_Finance_Data[[#This Row],[ Profit ]]/New_Finance_Data[[#This Row],[  Sales ]]</f>
        <v>0.72527472527472525</v>
      </c>
      <c r="R420" t="str">
        <f>IF(New_Finance_Data[[#This Row],[  Sales ]]&gt;=100000,"High",IF(New_Finance_Data[[#This Row],[  Sales ]]&gt;=50000,"Medium","Low"))</f>
        <v>Low</v>
      </c>
      <c r="S420" t="str">
        <f>IF(OR(ISBLANK(New_Finance_Data[[#This Row],[  Sales ]]),ISBLANK(New_Finance_Data[[#This Row],[ Profit ]])),"Missing","OK")</f>
        <v>OK</v>
      </c>
      <c r="T420" t="str">
        <f>TEXT(New_Finance_Data[[#This Row],[Date]],"MMM-YYYY")</f>
        <v>Oct-2013</v>
      </c>
      <c r="U420" t="str">
        <f>IF(New_Finance_Data[[#This Row],[ Profit ]]&gt;0,"Profit","Loss")</f>
        <v>Profit</v>
      </c>
      <c r="V420" t="str">
        <f>IF(New_Finance_Data[[#This Row],[  Sales ]]&gt;=50000,"High Sales","Low Sales")</f>
        <v>Low Sales</v>
      </c>
      <c r="W420" t="b">
        <f>ISNUMBER(New_Finance_Data[[#This Row],[Date]])</f>
        <v>1</v>
      </c>
    </row>
    <row r="421" spans="1:23" x14ac:dyDescent="0.2">
      <c r="A421" t="s">
        <v>31</v>
      </c>
      <c r="B421" t="s">
        <v>22</v>
      </c>
      <c r="C421" t="s">
        <v>36</v>
      </c>
      <c r="D421" t="s">
        <v>45</v>
      </c>
      <c r="E421" s="27">
        <v>1324</v>
      </c>
      <c r="F421" s="27">
        <v>10</v>
      </c>
      <c r="G421" s="27">
        <v>300</v>
      </c>
      <c r="H421" s="27">
        <v>397200</v>
      </c>
      <c r="I421" s="5">
        <v>35748</v>
      </c>
      <c r="J421" s="27">
        <v>361452</v>
      </c>
      <c r="K421" s="27">
        <v>331000</v>
      </c>
      <c r="L421" s="5">
        <v>30452</v>
      </c>
      <c r="M421" s="28">
        <v>41944</v>
      </c>
      <c r="N421" s="3">
        <v>11</v>
      </c>
      <c r="O421" s="29" t="s">
        <v>38</v>
      </c>
      <c r="P421" s="3">
        <v>2014</v>
      </c>
      <c r="Q421" s="6">
        <f>New_Finance_Data[[#This Row],[ Profit ]]/New_Finance_Data[[#This Row],[  Sales ]]</f>
        <v>8.4249084249084255E-2</v>
      </c>
      <c r="R421" t="str">
        <f>IF(New_Finance_Data[[#This Row],[  Sales ]]&gt;=100000,"High",IF(New_Finance_Data[[#This Row],[  Sales ]]&gt;=50000,"Medium","Low"))</f>
        <v>High</v>
      </c>
      <c r="S421" t="str">
        <f>IF(OR(ISBLANK(New_Finance_Data[[#This Row],[  Sales ]]),ISBLANK(New_Finance_Data[[#This Row],[ Profit ]])),"Missing","OK")</f>
        <v>OK</v>
      </c>
      <c r="T421" t="str">
        <f>TEXT(New_Finance_Data[[#This Row],[Date]],"MMM-YYYY")</f>
        <v>Nov-2014</v>
      </c>
      <c r="U421" t="str">
        <f>IF(New_Finance_Data[[#This Row],[ Profit ]]&gt;0,"Profit","Loss")</f>
        <v>Profit</v>
      </c>
      <c r="V421" t="str">
        <f>IF(New_Finance_Data[[#This Row],[  Sales ]]&gt;=50000,"High Sales","Low Sales")</f>
        <v>High Sales</v>
      </c>
      <c r="W421" t="b">
        <f>ISNUMBER(New_Finance_Data[[#This Row],[Date]])</f>
        <v>1</v>
      </c>
    </row>
    <row r="422" spans="1:23" x14ac:dyDescent="0.2">
      <c r="A422" t="s">
        <v>28</v>
      </c>
      <c r="B422" t="s">
        <v>20</v>
      </c>
      <c r="C422" t="s">
        <v>36</v>
      </c>
      <c r="D422" t="s">
        <v>45</v>
      </c>
      <c r="E422" s="27">
        <v>1775</v>
      </c>
      <c r="F422" s="27">
        <v>10</v>
      </c>
      <c r="G422" s="27">
        <v>12</v>
      </c>
      <c r="H422" s="27">
        <v>21300</v>
      </c>
      <c r="I422" s="5">
        <v>1917</v>
      </c>
      <c r="J422" s="27">
        <v>19383</v>
      </c>
      <c r="K422" s="27">
        <v>5325</v>
      </c>
      <c r="L422" s="5">
        <v>14058</v>
      </c>
      <c r="M422" s="28">
        <v>41579</v>
      </c>
      <c r="N422" s="3">
        <v>11</v>
      </c>
      <c r="O422" s="29" t="s">
        <v>38</v>
      </c>
      <c r="P422" s="3">
        <v>2013</v>
      </c>
      <c r="Q422" s="6">
        <f>New_Finance_Data[[#This Row],[ Profit ]]/New_Finance_Data[[#This Row],[  Sales ]]</f>
        <v>0.72527472527472525</v>
      </c>
      <c r="R422" t="str">
        <f>IF(New_Finance_Data[[#This Row],[  Sales ]]&gt;=100000,"High",IF(New_Finance_Data[[#This Row],[  Sales ]]&gt;=50000,"Medium","Low"))</f>
        <v>Low</v>
      </c>
      <c r="S422" t="str">
        <f>IF(OR(ISBLANK(New_Finance_Data[[#This Row],[  Sales ]]),ISBLANK(New_Finance_Data[[#This Row],[ Profit ]])),"Missing","OK")</f>
        <v>OK</v>
      </c>
      <c r="T422" t="str">
        <f>TEXT(New_Finance_Data[[#This Row],[Date]],"MMM-YYYY")</f>
        <v>Nov-2013</v>
      </c>
      <c r="U422" t="str">
        <f>IF(New_Finance_Data[[#This Row],[ Profit ]]&gt;0,"Profit","Loss")</f>
        <v>Profit</v>
      </c>
      <c r="V422" t="str">
        <f>IF(New_Finance_Data[[#This Row],[  Sales ]]&gt;=50000,"High Sales","Low Sales")</f>
        <v>Low Sales</v>
      </c>
      <c r="W422" t="b">
        <f>ISNUMBER(New_Finance_Data[[#This Row],[Date]])</f>
        <v>1</v>
      </c>
    </row>
    <row r="423" spans="1:23" x14ac:dyDescent="0.2">
      <c r="A423" t="s">
        <v>29</v>
      </c>
      <c r="B423" t="s">
        <v>35</v>
      </c>
      <c r="C423" t="s">
        <v>36</v>
      </c>
      <c r="D423" t="s">
        <v>45</v>
      </c>
      <c r="E423" s="27">
        <v>2797</v>
      </c>
      <c r="F423" s="27">
        <v>10</v>
      </c>
      <c r="G423" s="27">
        <v>125</v>
      </c>
      <c r="H423" s="27">
        <v>349625</v>
      </c>
      <c r="I423" s="5">
        <v>31466.25</v>
      </c>
      <c r="J423" s="27">
        <v>318158.75</v>
      </c>
      <c r="K423" s="27">
        <v>335640</v>
      </c>
      <c r="L423" s="5">
        <v>-17481.25</v>
      </c>
      <c r="M423" s="28">
        <v>41974</v>
      </c>
      <c r="N423" s="3">
        <v>12</v>
      </c>
      <c r="O423" s="29" t="s">
        <v>25</v>
      </c>
      <c r="P423" s="3">
        <v>2014</v>
      </c>
      <c r="Q423" s="6">
        <f>New_Finance_Data[[#This Row],[ Profit ]]/New_Finance_Data[[#This Row],[  Sales ]]</f>
        <v>-5.4945054945054944E-2</v>
      </c>
      <c r="R423" t="str">
        <f>IF(New_Finance_Data[[#This Row],[  Sales ]]&gt;=100000,"High",IF(New_Finance_Data[[#This Row],[  Sales ]]&gt;=50000,"Medium","Low"))</f>
        <v>High</v>
      </c>
      <c r="S423" t="str">
        <f>IF(OR(ISBLANK(New_Finance_Data[[#This Row],[  Sales ]]),ISBLANK(New_Finance_Data[[#This Row],[ Profit ]])),"Missing","OK")</f>
        <v>OK</v>
      </c>
      <c r="T423" t="str">
        <f>TEXT(New_Finance_Data[[#This Row],[Date]],"MMM-YYYY")</f>
        <v>Dec-2014</v>
      </c>
      <c r="U423" t="str">
        <f>IF(New_Finance_Data[[#This Row],[ Profit ]]&gt;0,"Profit","Loss")</f>
        <v>Loss</v>
      </c>
      <c r="V423" t="str">
        <f>IF(New_Finance_Data[[#This Row],[  Sales ]]&gt;=50000,"High Sales","Low Sales")</f>
        <v>High Sales</v>
      </c>
      <c r="W423" t="b">
        <f>ISNUMBER(New_Finance_Data[[#This Row],[Date]])</f>
        <v>1</v>
      </c>
    </row>
    <row r="424" spans="1:23" x14ac:dyDescent="0.2">
      <c r="A424" t="s">
        <v>21</v>
      </c>
      <c r="B424" t="s">
        <v>24</v>
      </c>
      <c r="C424" t="s">
        <v>39</v>
      </c>
      <c r="D424" t="s">
        <v>45</v>
      </c>
      <c r="E424" s="27">
        <v>245</v>
      </c>
      <c r="F424" s="27">
        <v>120</v>
      </c>
      <c r="G424" s="27">
        <v>15</v>
      </c>
      <c r="H424" s="27">
        <v>3675</v>
      </c>
      <c r="I424" s="5">
        <v>330.75</v>
      </c>
      <c r="J424" s="27">
        <v>3344.25</v>
      </c>
      <c r="K424" s="27">
        <v>2450</v>
      </c>
      <c r="L424" s="5">
        <v>894.25</v>
      </c>
      <c r="M424" s="28">
        <v>41760</v>
      </c>
      <c r="N424" s="3">
        <v>5</v>
      </c>
      <c r="O424" s="29" t="s">
        <v>44</v>
      </c>
      <c r="P424" s="3">
        <v>2014</v>
      </c>
      <c r="Q424" s="6">
        <f>New_Finance_Data[[#This Row],[ Profit ]]/New_Finance_Data[[#This Row],[  Sales ]]</f>
        <v>0.26739926739926739</v>
      </c>
      <c r="R424" t="str">
        <f>IF(New_Finance_Data[[#This Row],[  Sales ]]&gt;=100000,"High",IF(New_Finance_Data[[#This Row],[  Sales ]]&gt;=50000,"Medium","Low"))</f>
        <v>Low</v>
      </c>
      <c r="S424" t="str">
        <f>IF(OR(ISBLANK(New_Finance_Data[[#This Row],[  Sales ]]),ISBLANK(New_Finance_Data[[#This Row],[ Profit ]])),"Missing","OK")</f>
        <v>OK</v>
      </c>
      <c r="T424" t="str">
        <f>TEXT(New_Finance_Data[[#This Row],[Date]],"MMM-YYYY")</f>
        <v>May-2014</v>
      </c>
      <c r="U424" t="str">
        <f>IF(New_Finance_Data[[#This Row],[ Profit ]]&gt;0,"Profit","Loss")</f>
        <v>Profit</v>
      </c>
      <c r="V424" t="str">
        <f>IF(New_Finance_Data[[#This Row],[  Sales ]]&gt;=50000,"High Sales","Low Sales")</f>
        <v>Low Sales</v>
      </c>
      <c r="W424" t="b">
        <f>ISNUMBER(New_Finance_Data[[#This Row],[Date]])</f>
        <v>1</v>
      </c>
    </row>
    <row r="425" spans="1:23" x14ac:dyDescent="0.2">
      <c r="A425" t="s">
        <v>31</v>
      </c>
      <c r="B425" t="s">
        <v>16</v>
      </c>
      <c r="C425" t="s">
        <v>39</v>
      </c>
      <c r="D425" t="s">
        <v>45</v>
      </c>
      <c r="E425" s="27">
        <v>3793.5</v>
      </c>
      <c r="F425" s="27">
        <v>120</v>
      </c>
      <c r="G425" s="27">
        <v>300</v>
      </c>
      <c r="H425" s="27">
        <v>1138050</v>
      </c>
      <c r="I425" s="5">
        <v>102424.5</v>
      </c>
      <c r="J425" s="27">
        <v>1035625.5</v>
      </c>
      <c r="K425" s="27">
        <v>948375</v>
      </c>
      <c r="L425" s="5">
        <v>87250.5</v>
      </c>
      <c r="M425" s="28">
        <v>41821</v>
      </c>
      <c r="N425" s="3">
        <v>7</v>
      </c>
      <c r="O425" s="29" t="s">
        <v>30</v>
      </c>
      <c r="P425" s="3">
        <v>2014</v>
      </c>
      <c r="Q425" s="6">
        <f>New_Finance_Data[[#This Row],[ Profit ]]/New_Finance_Data[[#This Row],[  Sales ]]</f>
        <v>8.4249084249084255E-2</v>
      </c>
      <c r="R425" t="str">
        <f>IF(New_Finance_Data[[#This Row],[  Sales ]]&gt;=100000,"High",IF(New_Finance_Data[[#This Row],[  Sales ]]&gt;=50000,"Medium","Low"))</f>
        <v>High</v>
      </c>
      <c r="S425" t="str">
        <f>IF(OR(ISBLANK(New_Finance_Data[[#This Row],[  Sales ]]),ISBLANK(New_Finance_Data[[#This Row],[ Profit ]])),"Missing","OK")</f>
        <v>OK</v>
      </c>
      <c r="T425" t="str">
        <f>TEXT(New_Finance_Data[[#This Row],[Date]],"MMM-YYYY")</f>
        <v>Jul-2014</v>
      </c>
      <c r="U425" t="str">
        <f>IF(New_Finance_Data[[#This Row],[ Profit ]]&gt;0,"Profit","Loss")</f>
        <v>Profit</v>
      </c>
      <c r="V425" t="str">
        <f>IF(New_Finance_Data[[#This Row],[  Sales ]]&gt;=50000,"High Sales","Low Sales")</f>
        <v>High Sales</v>
      </c>
      <c r="W425" t="b">
        <f>ISNUMBER(New_Finance_Data[[#This Row],[Date]])</f>
        <v>1</v>
      </c>
    </row>
    <row r="426" spans="1:23" x14ac:dyDescent="0.2">
      <c r="A426" t="s">
        <v>15</v>
      </c>
      <c r="B426" t="s">
        <v>20</v>
      </c>
      <c r="C426" t="s">
        <v>39</v>
      </c>
      <c r="D426" t="s">
        <v>45</v>
      </c>
      <c r="E426" s="27">
        <v>1307</v>
      </c>
      <c r="F426" s="27">
        <v>120</v>
      </c>
      <c r="G426" s="27">
        <v>350</v>
      </c>
      <c r="H426" s="27">
        <v>457450</v>
      </c>
      <c r="I426" s="5">
        <v>41170.5</v>
      </c>
      <c r="J426" s="27">
        <v>416279.5</v>
      </c>
      <c r="K426" s="27">
        <v>339820</v>
      </c>
      <c r="L426" s="5">
        <v>76459.5</v>
      </c>
      <c r="M426" s="28">
        <v>41821</v>
      </c>
      <c r="N426" s="3">
        <v>7</v>
      </c>
      <c r="O426" s="29" t="s">
        <v>30</v>
      </c>
      <c r="P426" s="3">
        <v>2014</v>
      </c>
      <c r="Q426" s="6">
        <f>New_Finance_Data[[#This Row],[ Profit ]]/New_Finance_Data[[#This Row],[  Sales ]]</f>
        <v>0.18367346938775511</v>
      </c>
      <c r="R426" t="str">
        <f>IF(New_Finance_Data[[#This Row],[  Sales ]]&gt;=100000,"High",IF(New_Finance_Data[[#This Row],[  Sales ]]&gt;=50000,"Medium","Low"))</f>
        <v>High</v>
      </c>
      <c r="S426" t="str">
        <f>IF(OR(ISBLANK(New_Finance_Data[[#This Row],[  Sales ]]),ISBLANK(New_Finance_Data[[#This Row],[ Profit ]])),"Missing","OK")</f>
        <v>OK</v>
      </c>
      <c r="T426" t="str">
        <f>TEXT(New_Finance_Data[[#This Row],[Date]],"MMM-YYYY")</f>
        <v>Jul-2014</v>
      </c>
      <c r="U426" t="str">
        <f>IF(New_Finance_Data[[#This Row],[ Profit ]]&gt;0,"Profit","Loss")</f>
        <v>Profit</v>
      </c>
      <c r="V426" t="str">
        <f>IF(New_Finance_Data[[#This Row],[  Sales ]]&gt;=50000,"High Sales","Low Sales")</f>
        <v>High Sales</v>
      </c>
      <c r="W426" t="b">
        <f>ISNUMBER(New_Finance_Data[[#This Row],[Date]])</f>
        <v>1</v>
      </c>
    </row>
    <row r="427" spans="1:23" x14ac:dyDescent="0.2">
      <c r="A427" t="s">
        <v>29</v>
      </c>
      <c r="B427" t="s">
        <v>16</v>
      </c>
      <c r="C427" t="s">
        <v>39</v>
      </c>
      <c r="D427" t="s">
        <v>45</v>
      </c>
      <c r="E427" s="27">
        <v>567</v>
      </c>
      <c r="F427" s="27">
        <v>120</v>
      </c>
      <c r="G427" s="27">
        <v>125</v>
      </c>
      <c r="H427" s="27">
        <v>70875</v>
      </c>
      <c r="I427" s="5">
        <v>6378.75</v>
      </c>
      <c r="J427" s="27">
        <v>64496.25</v>
      </c>
      <c r="K427" s="27">
        <v>68040</v>
      </c>
      <c r="L427" s="5">
        <v>-3543.75</v>
      </c>
      <c r="M427" s="28">
        <v>41883</v>
      </c>
      <c r="N427" s="3">
        <v>9</v>
      </c>
      <c r="O427" s="29" t="s">
        <v>33</v>
      </c>
      <c r="P427" s="3">
        <v>2014</v>
      </c>
      <c r="Q427" s="6">
        <f>New_Finance_Data[[#This Row],[ Profit ]]/New_Finance_Data[[#This Row],[  Sales ]]</f>
        <v>-5.4945054945054944E-2</v>
      </c>
      <c r="R427" t="str">
        <f>IF(New_Finance_Data[[#This Row],[  Sales ]]&gt;=100000,"High",IF(New_Finance_Data[[#This Row],[  Sales ]]&gt;=50000,"Medium","Low"))</f>
        <v>Medium</v>
      </c>
      <c r="S427" t="str">
        <f>IF(OR(ISBLANK(New_Finance_Data[[#This Row],[  Sales ]]),ISBLANK(New_Finance_Data[[#This Row],[ Profit ]])),"Missing","OK")</f>
        <v>OK</v>
      </c>
      <c r="T427" t="str">
        <f>TEXT(New_Finance_Data[[#This Row],[Date]],"MMM-YYYY")</f>
        <v>Sep-2014</v>
      </c>
      <c r="U427" t="str">
        <f>IF(New_Finance_Data[[#This Row],[ Profit ]]&gt;0,"Profit","Loss")</f>
        <v>Loss</v>
      </c>
      <c r="V427" t="str">
        <f>IF(New_Finance_Data[[#This Row],[  Sales ]]&gt;=50000,"High Sales","Low Sales")</f>
        <v>High Sales</v>
      </c>
      <c r="W427" t="b">
        <f>ISNUMBER(New_Finance_Data[[#This Row],[Date]])</f>
        <v>1</v>
      </c>
    </row>
    <row r="428" spans="1:23" x14ac:dyDescent="0.2">
      <c r="A428" t="s">
        <v>29</v>
      </c>
      <c r="B428" t="s">
        <v>24</v>
      </c>
      <c r="C428" t="s">
        <v>39</v>
      </c>
      <c r="D428" t="s">
        <v>45</v>
      </c>
      <c r="E428" s="27">
        <v>2110</v>
      </c>
      <c r="F428" s="27">
        <v>120</v>
      </c>
      <c r="G428" s="27">
        <v>125</v>
      </c>
      <c r="H428" s="27">
        <v>263750</v>
      </c>
      <c r="I428" s="5">
        <v>23737.5</v>
      </c>
      <c r="J428" s="27">
        <v>240012.5</v>
      </c>
      <c r="K428" s="27">
        <v>253200</v>
      </c>
      <c r="L428" s="5">
        <v>-13187.5</v>
      </c>
      <c r="M428" s="28">
        <v>41883</v>
      </c>
      <c r="N428" s="3">
        <v>9</v>
      </c>
      <c r="O428" s="29" t="s">
        <v>33</v>
      </c>
      <c r="P428" s="3">
        <v>2014</v>
      </c>
      <c r="Q428" s="6">
        <f>New_Finance_Data[[#This Row],[ Profit ]]/New_Finance_Data[[#This Row],[  Sales ]]</f>
        <v>-5.4945054945054944E-2</v>
      </c>
      <c r="R428" t="str">
        <f>IF(New_Finance_Data[[#This Row],[  Sales ]]&gt;=100000,"High",IF(New_Finance_Data[[#This Row],[  Sales ]]&gt;=50000,"Medium","Low"))</f>
        <v>High</v>
      </c>
      <c r="S428" t="str">
        <f>IF(OR(ISBLANK(New_Finance_Data[[#This Row],[  Sales ]]),ISBLANK(New_Finance_Data[[#This Row],[ Profit ]])),"Missing","OK")</f>
        <v>OK</v>
      </c>
      <c r="T428" t="str">
        <f>TEXT(New_Finance_Data[[#This Row],[Date]],"MMM-YYYY")</f>
        <v>Sep-2014</v>
      </c>
      <c r="U428" t="str">
        <f>IF(New_Finance_Data[[#This Row],[ Profit ]]&gt;0,"Profit","Loss")</f>
        <v>Loss</v>
      </c>
      <c r="V428" t="str">
        <f>IF(New_Finance_Data[[#This Row],[  Sales ]]&gt;=50000,"High Sales","Low Sales")</f>
        <v>High Sales</v>
      </c>
      <c r="W428" t="b">
        <f>ISNUMBER(New_Finance_Data[[#This Row],[Date]])</f>
        <v>1</v>
      </c>
    </row>
    <row r="429" spans="1:23" x14ac:dyDescent="0.2">
      <c r="A429" t="s">
        <v>15</v>
      </c>
      <c r="B429" t="s">
        <v>16</v>
      </c>
      <c r="C429" t="s">
        <v>39</v>
      </c>
      <c r="D429" t="s">
        <v>45</v>
      </c>
      <c r="E429" s="27">
        <v>1269</v>
      </c>
      <c r="F429" s="27">
        <v>120</v>
      </c>
      <c r="G429" s="27">
        <v>350</v>
      </c>
      <c r="H429" s="27">
        <v>444150</v>
      </c>
      <c r="I429" s="5">
        <v>39973.5</v>
      </c>
      <c r="J429" s="27">
        <v>404176.5</v>
      </c>
      <c r="K429" s="27">
        <v>329940</v>
      </c>
      <c r="L429" s="5">
        <v>74236.5</v>
      </c>
      <c r="M429" s="28">
        <v>41913</v>
      </c>
      <c r="N429" s="3">
        <v>10</v>
      </c>
      <c r="O429" s="29" t="s">
        <v>34</v>
      </c>
      <c r="P429" s="3">
        <v>2014</v>
      </c>
      <c r="Q429" s="6">
        <f>New_Finance_Data[[#This Row],[ Profit ]]/New_Finance_Data[[#This Row],[  Sales ]]</f>
        <v>0.18367346938775511</v>
      </c>
      <c r="R429" t="str">
        <f>IF(New_Finance_Data[[#This Row],[  Sales ]]&gt;=100000,"High",IF(New_Finance_Data[[#This Row],[  Sales ]]&gt;=50000,"Medium","Low"))</f>
        <v>High</v>
      </c>
      <c r="S429" t="str">
        <f>IF(OR(ISBLANK(New_Finance_Data[[#This Row],[  Sales ]]),ISBLANK(New_Finance_Data[[#This Row],[ Profit ]])),"Missing","OK")</f>
        <v>OK</v>
      </c>
      <c r="T429" t="str">
        <f>TEXT(New_Finance_Data[[#This Row],[Date]],"MMM-YYYY")</f>
        <v>Oct-2014</v>
      </c>
      <c r="U429" t="str">
        <f>IF(New_Finance_Data[[#This Row],[ Profit ]]&gt;0,"Profit","Loss")</f>
        <v>Profit</v>
      </c>
      <c r="V429" t="str">
        <f>IF(New_Finance_Data[[#This Row],[  Sales ]]&gt;=50000,"High Sales","Low Sales")</f>
        <v>High Sales</v>
      </c>
      <c r="W429" t="b">
        <f>ISNUMBER(New_Finance_Data[[#This Row],[Date]])</f>
        <v>1</v>
      </c>
    </row>
    <row r="430" spans="1:23" x14ac:dyDescent="0.2">
      <c r="A430" t="s">
        <v>28</v>
      </c>
      <c r="B430" t="s">
        <v>35</v>
      </c>
      <c r="C430" t="s">
        <v>40</v>
      </c>
      <c r="D430" t="s">
        <v>45</v>
      </c>
      <c r="E430" s="27">
        <v>1956</v>
      </c>
      <c r="F430" s="27">
        <v>250</v>
      </c>
      <c r="G430" s="27">
        <v>12</v>
      </c>
      <c r="H430" s="27">
        <v>23472</v>
      </c>
      <c r="I430" s="5">
        <v>2112.48</v>
      </c>
      <c r="J430" s="27">
        <v>21359.52</v>
      </c>
      <c r="K430" s="27">
        <v>5868</v>
      </c>
      <c r="L430" s="5">
        <v>15491.52</v>
      </c>
      <c r="M430" s="28">
        <v>41640</v>
      </c>
      <c r="N430" s="3">
        <v>1</v>
      </c>
      <c r="O430" s="29" t="s">
        <v>19</v>
      </c>
      <c r="P430" s="3">
        <v>2014</v>
      </c>
      <c r="Q430" s="6">
        <f>New_Finance_Data[[#This Row],[ Profit ]]/New_Finance_Data[[#This Row],[  Sales ]]</f>
        <v>0.72527472527472525</v>
      </c>
      <c r="R430" t="str">
        <f>IF(New_Finance_Data[[#This Row],[  Sales ]]&gt;=100000,"High",IF(New_Finance_Data[[#This Row],[  Sales ]]&gt;=50000,"Medium","Low"))</f>
        <v>Low</v>
      </c>
      <c r="S430" t="str">
        <f>IF(OR(ISBLANK(New_Finance_Data[[#This Row],[  Sales ]]),ISBLANK(New_Finance_Data[[#This Row],[ Profit ]])),"Missing","OK")</f>
        <v>OK</v>
      </c>
      <c r="T430" t="str">
        <f>TEXT(New_Finance_Data[[#This Row],[Date]],"MMM-YYYY")</f>
        <v>Jan-2014</v>
      </c>
      <c r="U430" t="str">
        <f>IF(New_Finance_Data[[#This Row],[ Profit ]]&gt;0,"Profit","Loss")</f>
        <v>Profit</v>
      </c>
      <c r="V430" t="str">
        <f>IF(New_Finance_Data[[#This Row],[  Sales ]]&gt;=50000,"High Sales","Low Sales")</f>
        <v>Low Sales</v>
      </c>
      <c r="W430" t="b">
        <f>ISNUMBER(New_Finance_Data[[#This Row],[Date]])</f>
        <v>1</v>
      </c>
    </row>
    <row r="431" spans="1:23" x14ac:dyDescent="0.2">
      <c r="A431" t="s">
        <v>31</v>
      </c>
      <c r="B431" t="s">
        <v>20</v>
      </c>
      <c r="C431" t="s">
        <v>40</v>
      </c>
      <c r="D431" t="s">
        <v>45</v>
      </c>
      <c r="E431" s="27">
        <v>2659</v>
      </c>
      <c r="F431" s="27">
        <v>250</v>
      </c>
      <c r="G431" s="27">
        <v>300</v>
      </c>
      <c r="H431" s="27">
        <v>797700</v>
      </c>
      <c r="I431" s="5">
        <v>71793</v>
      </c>
      <c r="J431" s="27">
        <v>725907</v>
      </c>
      <c r="K431" s="27">
        <v>664750</v>
      </c>
      <c r="L431" s="5">
        <v>61157</v>
      </c>
      <c r="M431" s="28">
        <v>41671</v>
      </c>
      <c r="N431" s="3">
        <v>2</v>
      </c>
      <c r="O431" s="29" t="s">
        <v>37</v>
      </c>
      <c r="P431" s="3">
        <v>2014</v>
      </c>
      <c r="Q431" s="6">
        <f>New_Finance_Data[[#This Row],[ Profit ]]/New_Finance_Data[[#This Row],[  Sales ]]</f>
        <v>8.4249084249084255E-2</v>
      </c>
      <c r="R431" t="str">
        <f>IF(New_Finance_Data[[#This Row],[  Sales ]]&gt;=100000,"High",IF(New_Finance_Data[[#This Row],[  Sales ]]&gt;=50000,"Medium","Low"))</f>
        <v>High</v>
      </c>
      <c r="S431" t="str">
        <f>IF(OR(ISBLANK(New_Finance_Data[[#This Row],[  Sales ]]),ISBLANK(New_Finance_Data[[#This Row],[ Profit ]])),"Missing","OK")</f>
        <v>OK</v>
      </c>
      <c r="T431" t="str">
        <f>TEXT(New_Finance_Data[[#This Row],[Date]],"MMM-YYYY")</f>
        <v>Feb-2014</v>
      </c>
      <c r="U431" t="str">
        <f>IF(New_Finance_Data[[#This Row],[ Profit ]]&gt;0,"Profit","Loss")</f>
        <v>Profit</v>
      </c>
      <c r="V431" t="str">
        <f>IF(New_Finance_Data[[#This Row],[  Sales ]]&gt;=50000,"High Sales","Low Sales")</f>
        <v>High Sales</v>
      </c>
      <c r="W431" t="b">
        <f>ISNUMBER(New_Finance_Data[[#This Row],[Date]])</f>
        <v>1</v>
      </c>
    </row>
    <row r="432" spans="1:23" x14ac:dyDescent="0.2">
      <c r="A432" t="s">
        <v>15</v>
      </c>
      <c r="B432" t="s">
        <v>35</v>
      </c>
      <c r="C432" t="s">
        <v>40</v>
      </c>
      <c r="D432" t="s">
        <v>45</v>
      </c>
      <c r="E432" s="27">
        <v>1351.5</v>
      </c>
      <c r="F432" s="27">
        <v>250</v>
      </c>
      <c r="G432" s="27">
        <v>350</v>
      </c>
      <c r="H432" s="27">
        <v>473025</v>
      </c>
      <c r="I432" s="5">
        <v>42572.25</v>
      </c>
      <c r="J432" s="27">
        <v>430452.75</v>
      </c>
      <c r="K432" s="27">
        <v>351390</v>
      </c>
      <c r="L432" s="5">
        <v>79062.75</v>
      </c>
      <c r="M432" s="28">
        <v>41730</v>
      </c>
      <c r="N432" s="3">
        <v>4</v>
      </c>
      <c r="O432" s="29" t="s">
        <v>41</v>
      </c>
      <c r="P432" s="3">
        <v>2014</v>
      </c>
      <c r="Q432" s="6">
        <f>New_Finance_Data[[#This Row],[ Profit ]]/New_Finance_Data[[#This Row],[  Sales ]]</f>
        <v>0.18367346938775511</v>
      </c>
      <c r="R432" t="str">
        <f>IF(New_Finance_Data[[#This Row],[  Sales ]]&gt;=100000,"High",IF(New_Finance_Data[[#This Row],[  Sales ]]&gt;=50000,"Medium","Low"))</f>
        <v>High</v>
      </c>
      <c r="S432" t="str">
        <f>IF(OR(ISBLANK(New_Finance_Data[[#This Row],[  Sales ]]),ISBLANK(New_Finance_Data[[#This Row],[ Profit ]])),"Missing","OK")</f>
        <v>OK</v>
      </c>
      <c r="T432" t="str">
        <f>TEXT(New_Finance_Data[[#This Row],[Date]],"MMM-YYYY")</f>
        <v>Apr-2014</v>
      </c>
      <c r="U432" t="str">
        <f>IF(New_Finance_Data[[#This Row],[ Profit ]]&gt;0,"Profit","Loss")</f>
        <v>Profit</v>
      </c>
      <c r="V432" t="str">
        <f>IF(New_Finance_Data[[#This Row],[  Sales ]]&gt;=50000,"High Sales","Low Sales")</f>
        <v>High Sales</v>
      </c>
      <c r="W432" t="b">
        <f>ISNUMBER(New_Finance_Data[[#This Row],[Date]])</f>
        <v>1</v>
      </c>
    </row>
    <row r="433" spans="1:23" x14ac:dyDescent="0.2">
      <c r="A433" t="s">
        <v>28</v>
      </c>
      <c r="B433" t="s">
        <v>20</v>
      </c>
      <c r="C433" t="s">
        <v>40</v>
      </c>
      <c r="D433" t="s">
        <v>45</v>
      </c>
      <c r="E433" s="27">
        <v>880</v>
      </c>
      <c r="F433" s="27">
        <v>250</v>
      </c>
      <c r="G433" s="27">
        <v>12</v>
      </c>
      <c r="H433" s="27">
        <v>10560</v>
      </c>
      <c r="I433" s="5">
        <v>950.4</v>
      </c>
      <c r="J433" s="27">
        <v>9609.6</v>
      </c>
      <c r="K433" s="27">
        <v>2640</v>
      </c>
      <c r="L433" s="5">
        <v>6969.6</v>
      </c>
      <c r="M433" s="28">
        <v>41760</v>
      </c>
      <c r="N433" s="3">
        <v>5</v>
      </c>
      <c r="O433" s="29" t="s">
        <v>44</v>
      </c>
      <c r="P433" s="3">
        <v>2014</v>
      </c>
      <c r="Q433" s="6">
        <f>New_Finance_Data[[#This Row],[ Profit ]]/New_Finance_Data[[#This Row],[  Sales ]]</f>
        <v>0.72527472527472525</v>
      </c>
      <c r="R433" t="str">
        <f>IF(New_Finance_Data[[#This Row],[  Sales ]]&gt;=100000,"High",IF(New_Finance_Data[[#This Row],[  Sales ]]&gt;=50000,"Medium","Low"))</f>
        <v>Low</v>
      </c>
      <c r="S433" t="str">
        <f>IF(OR(ISBLANK(New_Finance_Data[[#This Row],[  Sales ]]),ISBLANK(New_Finance_Data[[#This Row],[ Profit ]])),"Missing","OK")</f>
        <v>OK</v>
      </c>
      <c r="T433" t="str">
        <f>TEXT(New_Finance_Data[[#This Row],[Date]],"MMM-YYYY")</f>
        <v>May-2014</v>
      </c>
      <c r="U433" t="str">
        <f>IF(New_Finance_Data[[#This Row],[ Profit ]]&gt;0,"Profit","Loss")</f>
        <v>Profit</v>
      </c>
      <c r="V433" t="str">
        <f>IF(New_Finance_Data[[#This Row],[  Sales ]]&gt;=50000,"High Sales","Low Sales")</f>
        <v>Low Sales</v>
      </c>
      <c r="W433" t="b">
        <f>ISNUMBER(New_Finance_Data[[#This Row],[Date]])</f>
        <v>1</v>
      </c>
    </row>
    <row r="434" spans="1:23" x14ac:dyDescent="0.2">
      <c r="A434" t="s">
        <v>31</v>
      </c>
      <c r="B434" t="s">
        <v>35</v>
      </c>
      <c r="C434" t="s">
        <v>40</v>
      </c>
      <c r="D434" t="s">
        <v>45</v>
      </c>
      <c r="E434" s="27">
        <v>1867</v>
      </c>
      <c r="F434" s="27">
        <v>250</v>
      </c>
      <c r="G434" s="27">
        <v>300</v>
      </c>
      <c r="H434" s="27">
        <v>560100</v>
      </c>
      <c r="I434" s="5">
        <v>50409</v>
      </c>
      <c r="J434" s="27">
        <v>509691</v>
      </c>
      <c r="K434" s="27">
        <v>466750</v>
      </c>
      <c r="L434" s="5">
        <v>42941</v>
      </c>
      <c r="M434" s="28">
        <v>41883</v>
      </c>
      <c r="N434" s="3">
        <v>9</v>
      </c>
      <c r="O434" s="29" t="s">
        <v>33</v>
      </c>
      <c r="P434" s="3">
        <v>2014</v>
      </c>
      <c r="Q434" s="6">
        <f>New_Finance_Data[[#This Row],[ Profit ]]/New_Finance_Data[[#This Row],[  Sales ]]</f>
        <v>8.4249084249084255E-2</v>
      </c>
      <c r="R434" t="str">
        <f>IF(New_Finance_Data[[#This Row],[  Sales ]]&gt;=100000,"High",IF(New_Finance_Data[[#This Row],[  Sales ]]&gt;=50000,"Medium","Low"))</f>
        <v>High</v>
      </c>
      <c r="S434" t="str">
        <f>IF(OR(ISBLANK(New_Finance_Data[[#This Row],[  Sales ]]),ISBLANK(New_Finance_Data[[#This Row],[ Profit ]])),"Missing","OK")</f>
        <v>OK</v>
      </c>
      <c r="T434" t="str">
        <f>TEXT(New_Finance_Data[[#This Row],[Date]],"MMM-YYYY")</f>
        <v>Sep-2014</v>
      </c>
      <c r="U434" t="str">
        <f>IF(New_Finance_Data[[#This Row],[ Profit ]]&gt;0,"Profit","Loss")</f>
        <v>Profit</v>
      </c>
      <c r="V434" t="str">
        <f>IF(New_Finance_Data[[#This Row],[  Sales ]]&gt;=50000,"High Sales","Low Sales")</f>
        <v>High Sales</v>
      </c>
      <c r="W434" t="b">
        <f>ISNUMBER(New_Finance_Data[[#This Row],[Date]])</f>
        <v>1</v>
      </c>
    </row>
    <row r="435" spans="1:23" x14ac:dyDescent="0.2">
      <c r="A435" t="s">
        <v>28</v>
      </c>
      <c r="B435" t="s">
        <v>22</v>
      </c>
      <c r="C435" t="s">
        <v>40</v>
      </c>
      <c r="D435" t="s">
        <v>45</v>
      </c>
      <c r="E435" s="27">
        <v>2234</v>
      </c>
      <c r="F435" s="27">
        <v>250</v>
      </c>
      <c r="G435" s="27">
        <v>12</v>
      </c>
      <c r="H435" s="27">
        <v>26808</v>
      </c>
      <c r="I435" s="5">
        <v>2412.7199999999998</v>
      </c>
      <c r="J435" s="27">
        <v>24395.279999999999</v>
      </c>
      <c r="K435" s="27">
        <v>6702</v>
      </c>
      <c r="L435" s="5">
        <v>17693.28</v>
      </c>
      <c r="M435" s="28">
        <v>41518</v>
      </c>
      <c r="N435" s="3">
        <v>9</v>
      </c>
      <c r="O435" s="29" t="s">
        <v>33</v>
      </c>
      <c r="P435" s="3">
        <v>2013</v>
      </c>
      <c r="Q435" s="6">
        <f>New_Finance_Data[[#This Row],[ Profit ]]/New_Finance_Data[[#This Row],[  Sales ]]</f>
        <v>0.72527472527472525</v>
      </c>
      <c r="R435" t="str">
        <f>IF(New_Finance_Data[[#This Row],[  Sales ]]&gt;=100000,"High",IF(New_Finance_Data[[#This Row],[  Sales ]]&gt;=50000,"Medium","Low"))</f>
        <v>Low</v>
      </c>
      <c r="S435" t="str">
        <f>IF(OR(ISBLANK(New_Finance_Data[[#This Row],[  Sales ]]),ISBLANK(New_Finance_Data[[#This Row],[ Profit ]])),"Missing","OK")</f>
        <v>OK</v>
      </c>
      <c r="T435" t="str">
        <f>TEXT(New_Finance_Data[[#This Row],[Date]],"MMM-YYYY")</f>
        <v>Sep-2013</v>
      </c>
      <c r="U435" t="str">
        <f>IF(New_Finance_Data[[#This Row],[ Profit ]]&gt;0,"Profit","Loss")</f>
        <v>Profit</v>
      </c>
      <c r="V435" t="str">
        <f>IF(New_Finance_Data[[#This Row],[  Sales ]]&gt;=50000,"High Sales","Low Sales")</f>
        <v>Low Sales</v>
      </c>
      <c r="W435" t="b">
        <f>ISNUMBER(New_Finance_Data[[#This Row],[Date]])</f>
        <v>1</v>
      </c>
    </row>
    <row r="436" spans="1:23" x14ac:dyDescent="0.2">
      <c r="A436" t="s">
        <v>21</v>
      </c>
      <c r="B436" t="s">
        <v>22</v>
      </c>
      <c r="C436" t="s">
        <v>40</v>
      </c>
      <c r="D436" t="s">
        <v>45</v>
      </c>
      <c r="E436" s="27">
        <v>1227</v>
      </c>
      <c r="F436" s="27">
        <v>250</v>
      </c>
      <c r="G436" s="27">
        <v>15</v>
      </c>
      <c r="H436" s="27">
        <v>18405</v>
      </c>
      <c r="I436" s="5">
        <v>1656.45</v>
      </c>
      <c r="J436" s="27">
        <v>16748.55</v>
      </c>
      <c r="K436" s="27">
        <v>12270</v>
      </c>
      <c r="L436" s="5">
        <v>4478.55</v>
      </c>
      <c r="M436" s="28">
        <v>41913</v>
      </c>
      <c r="N436" s="3">
        <v>10</v>
      </c>
      <c r="O436" s="29" t="s">
        <v>34</v>
      </c>
      <c r="P436" s="3">
        <v>2014</v>
      </c>
      <c r="Q436" s="6">
        <f>New_Finance_Data[[#This Row],[ Profit ]]/New_Finance_Data[[#This Row],[  Sales ]]</f>
        <v>0.26739926739926745</v>
      </c>
      <c r="R436" t="str">
        <f>IF(New_Finance_Data[[#This Row],[  Sales ]]&gt;=100000,"High",IF(New_Finance_Data[[#This Row],[  Sales ]]&gt;=50000,"Medium","Low"))</f>
        <v>Low</v>
      </c>
      <c r="S436" t="str">
        <f>IF(OR(ISBLANK(New_Finance_Data[[#This Row],[  Sales ]]),ISBLANK(New_Finance_Data[[#This Row],[ Profit ]])),"Missing","OK")</f>
        <v>OK</v>
      </c>
      <c r="T436" t="str">
        <f>TEXT(New_Finance_Data[[#This Row],[Date]],"MMM-YYYY")</f>
        <v>Oct-2014</v>
      </c>
      <c r="U436" t="str">
        <f>IF(New_Finance_Data[[#This Row],[ Profit ]]&gt;0,"Profit","Loss")</f>
        <v>Profit</v>
      </c>
      <c r="V436" t="str">
        <f>IF(New_Finance_Data[[#This Row],[  Sales ]]&gt;=50000,"High Sales","Low Sales")</f>
        <v>Low Sales</v>
      </c>
      <c r="W436" t="b">
        <f>ISNUMBER(New_Finance_Data[[#This Row],[Date]])</f>
        <v>1</v>
      </c>
    </row>
    <row r="437" spans="1:23" x14ac:dyDescent="0.2">
      <c r="A437" t="s">
        <v>29</v>
      </c>
      <c r="B437" t="s">
        <v>24</v>
      </c>
      <c r="C437" t="s">
        <v>40</v>
      </c>
      <c r="D437" t="s">
        <v>45</v>
      </c>
      <c r="E437" s="27">
        <v>877</v>
      </c>
      <c r="F437" s="27">
        <v>250</v>
      </c>
      <c r="G437" s="27">
        <v>125</v>
      </c>
      <c r="H437" s="27">
        <v>109625</v>
      </c>
      <c r="I437" s="5">
        <v>9866.25</v>
      </c>
      <c r="J437" s="27">
        <v>99758.75</v>
      </c>
      <c r="K437" s="27">
        <v>105240</v>
      </c>
      <c r="L437" s="5">
        <v>-5481.25</v>
      </c>
      <c r="M437" s="28">
        <v>41944</v>
      </c>
      <c r="N437" s="3">
        <v>11</v>
      </c>
      <c r="O437" s="29" t="s">
        <v>38</v>
      </c>
      <c r="P437" s="3">
        <v>2014</v>
      </c>
      <c r="Q437" s="6">
        <f>New_Finance_Data[[#This Row],[ Profit ]]/New_Finance_Data[[#This Row],[  Sales ]]</f>
        <v>-5.4945054945054944E-2</v>
      </c>
      <c r="R437" t="str">
        <f>IF(New_Finance_Data[[#This Row],[  Sales ]]&gt;=100000,"High",IF(New_Finance_Data[[#This Row],[  Sales ]]&gt;=50000,"Medium","Low"))</f>
        <v>Medium</v>
      </c>
      <c r="S437" t="str">
        <f>IF(OR(ISBLANK(New_Finance_Data[[#This Row],[  Sales ]]),ISBLANK(New_Finance_Data[[#This Row],[ Profit ]])),"Missing","OK")</f>
        <v>OK</v>
      </c>
      <c r="T437" t="str">
        <f>TEXT(New_Finance_Data[[#This Row],[Date]],"MMM-YYYY")</f>
        <v>Nov-2014</v>
      </c>
      <c r="U437" t="str">
        <f>IF(New_Finance_Data[[#This Row],[ Profit ]]&gt;0,"Profit","Loss")</f>
        <v>Loss</v>
      </c>
      <c r="V437" t="str">
        <f>IF(New_Finance_Data[[#This Row],[  Sales ]]&gt;=50000,"High Sales","Low Sales")</f>
        <v>High Sales</v>
      </c>
      <c r="W437" t="b">
        <f>ISNUMBER(New_Finance_Data[[#This Row],[Date]])</f>
        <v>1</v>
      </c>
    </row>
    <row r="438" spans="1:23" x14ac:dyDescent="0.2">
      <c r="A438" t="s">
        <v>15</v>
      </c>
      <c r="B438" t="s">
        <v>35</v>
      </c>
      <c r="C438" t="s">
        <v>42</v>
      </c>
      <c r="D438" t="s">
        <v>45</v>
      </c>
      <c r="E438" s="27">
        <v>2071</v>
      </c>
      <c r="F438" s="27">
        <v>260</v>
      </c>
      <c r="G438" s="27">
        <v>350</v>
      </c>
      <c r="H438" s="27">
        <v>724850</v>
      </c>
      <c r="I438" s="5">
        <v>65236.5</v>
      </c>
      <c r="J438" s="27">
        <v>659613.5</v>
      </c>
      <c r="K438" s="27">
        <v>538460</v>
      </c>
      <c r="L438" s="5">
        <v>121153.5</v>
      </c>
      <c r="M438" s="28">
        <v>41883</v>
      </c>
      <c r="N438" s="3">
        <v>9</v>
      </c>
      <c r="O438" s="29" t="s">
        <v>33</v>
      </c>
      <c r="P438" s="3">
        <v>2014</v>
      </c>
      <c r="Q438" s="6">
        <f>New_Finance_Data[[#This Row],[ Profit ]]/New_Finance_Data[[#This Row],[  Sales ]]</f>
        <v>0.18367346938775511</v>
      </c>
      <c r="R438" t="str">
        <f>IF(New_Finance_Data[[#This Row],[  Sales ]]&gt;=100000,"High",IF(New_Finance_Data[[#This Row],[  Sales ]]&gt;=50000,"Medium","Low"))</f>
        <v>High</v>
      </c>
      <c r="S438" t="str">
        <f>IF(OR(ISBLANK(New_Finance_Data[[#This Row],[  Sales ]]),ISBLANK(New_Finance_Data[[#This Row],[ Profit ]])),"Missing","OK")</f>
        <v>OK</v>
      </c>
      <c r="T438" t="str">
        <f>TEXT(New_Finance_Data[[#This Row],[Date]],"MMM-YYYY")</f>
        <v>Sep-2014</v>
      </c>
      <c r="U438" t="str">
        <f>IF(New_Finance_Data[[#This Row],[ Profit ]]&gt;0,"Profit","Loss")</f>
        <v>Profit</v>
      </c>
      <c r="V438" t="str">
        <f>IF(New_Finance_Data[[#This Row],[  Sales ]]&gt;=50000,"High Sales","Low Sales")</f>
        <v>High Sales</v>
      </c>
      <c r="W438" t="b">
        <f>ISNUMBER(New_Finance_Data[[#This Row],[Date]])</f>
        <v>1</v>
      </c>
    </row>
    <row r="439" spans="1:23" x14ac:dyDescent="0.2">
      <c r="A439" t="s">
        <v>15</v>
      </c>
      <c r="B439" t="s">
        <v>16</v>
      </c>
      <c r="C439" t="s">
        <v>42</v>
      </c>
      <c r="D439" t="s">
        <v>45</v>
      </c>
      <c r="E439" s="27">
        <v>1269</v>
      </c>
      <c r="F439" s="27">
        <v>260</v>
      </c>
      <c r="G439" s="27">
        <v>350</v>
      </c>
      <c r="H439" s="27">
        <v>444150</v>
      </c>
      <c r="I439" s="5">
        <v>39973.5</v>
      </c>
      <c r="J439" s="27">
        <v>404176.5</v>
      </c>
      <c r="K439" s="27">
        <v>329940</v>
      </c>
      <c r="L439" s="5">
        <v>74236.5</v>
      </c>
      <c r="M439" s="28">
        <v>41913</v>
      </c>
      <c r="N439" s="3">
        <v>10</v>
      </c>
      <c r="O439" s="29" t="s">
        <v>34</v>
      </c>
      <c r="P439" s="3">
        <v>2014</v>
      </c>
      <c r="Q439" s="6">
        <f>New_Finance_Data[[#This Row],[ Profit ]]/New_Finance_Data[[#This Row],[  Sales ]]</f>
        <v>0.18367346938775511</v>
      </c>
      <c r="R439" t="str">
        <f>IF(New_Finance_Data[[#This Row],[  Sales ]]&gt;=100000,"High",IF(New_Finance_Data[[#This Row],[  Sales ]]&gt;=50000,"Medium","Low"))</f>
        <v>High</v>
      </c>
      <c r="S439" t="str">
        <f>IF(OR(ISBLANK(New_Finance_Data[[#This Row],[  Sales ]]),ISBLANK(New_Finance_Data[[#This Row],[ Profit ]])),"Missing","OK")</f>
        <v>OK</v>
      </c>
      <c r="T439" t="str">
        <f>TEXT(New_Finance_Data[[#This Row],[Date]],"MMM-YYYY")</f>
        <v>Oct-2014</v>
      </c>
      <c r="U439" t="str">
        <f>IF(New_Finance_Data[[#This Row],[ Profit ]]&gt;0,"Profit","Loss")</f>
        <v>Profit</v>
      </c>
      <c r="V439" t="str">
        <f>IF(New_Finance_Data[[#This Row],[  Sales ]]&gt;=50000,"High Sales","Low Sales")</f>
        <v>High Sales</v>
      </c>
      <c r="W439" t="b">
        <f>ISNUMBER(New_Finance_Data[[#This Row],[Date]])</f>
        <v>1</v>
      </c>
    </row>
    <row r="440" spans="1:23" x14ac:dyDescent="0.2">
      <c r="A440" t="s">
        <v>21</v>
      </c>
      <c r="B440" t="s">
        <v>20</v>
      </c>
      <c r="C440" t="s">
        <v>42</v>
      </c>
      <c r="D440" t="s">
        <v>45</v>
      </c>
      <c r="E440" s="27">
        <v>970</v>
      </c>
      <c r="F440" s="27">
        <v>260</v>
      </c>
      <c r="G440" s="27">
        <v>15</v>
      </c>
      <c r="H440" s="27">
        <v>14550</v>
      </c>
      <c r="I440" s="5">
        <v>1309.5</v>
      </c>
      <c r="J440" s="27">
        <v>13240.5</v>
      </c>
      <c r="K440" s="27">
        <v>9700</v>
      </c>
      <c r="L440" s="5">
        <v>3540.5</v>
      </c>
      <c r="M440" s="28">
        <v>41579</v>
      </c>
      <c r="N440" s="3">
        <v>11</v>
      </c>
      <c r="O440" s="29" t="s">
        <v>38</v>
      </c>
      <c r="P440" s="3">
        <v>2013</v>
      </c>
      <c r="Q440" s="6">
        <f>New_Finance_Data[[#This Row],[ Profit ]]/New_Finance_Data[[#This Row],[  Sales ]]</f>
        <v>0.26739926739926739</v>
      </c>
      <c r="R440" t="str">
        <f>IF(New_Finance_Data[[#This Row],[  Sales ]]&gt;=100000,"High",IF(New_Finance_Data[[#This Row],[  Sales ]]&gt;=50000,"Medium","Low"))</f>
        <v>Low</v>
      </c>
      <c r="S440" t="str">
        <f>IF(OR(ISBLANK(New_Finance_Data[[#This Row],[  Sales ]]),ISBLANK(New_Finance_Data[[#This Row],[ Profit ]])),"Missing","OK")</f>
        <v>OK</v>
      </c>
      <c r="T440" t="str">
        <f>TEXT(New_Finance_Data[[#This Row],[Date]],"MMM-YYYY")</f>
        <v>Nov-2013</v>
      </c>
      <c r="U440" t="str">
        <f>IF(New_Finance_Data[[#This Row],[ Profit ]]&gt;0,"Profit","Loss")</f>
        <v>Profit</v>
      </c>
      <c r="V440" t="str">
        <f>IF(New_Finance_Data[[#This Row],[  Sales ]]&gt;=50000,"High Sales","Low Sales")</f>
        <v>Low Sales</v>
      </c>
      <c r="W440" t="b">
        <f>ISNUMBER(New_Finance_Data[[#This Row],[Date]])</f>
        <v>1</v>
      </c>
    </row>
    <row r="441" spans="1:23" x14ac:dyDescent="0.2">
      <c r="A441" t="s">
        <v>15</v>
      </c>
      <c r="B441" t="s">
        <v>24</v>
      </c>
      <c r="C441" t="s">
        <v>42</v>
      </c>
      <c r="D441" t="s">
        <v>45</v>
      </c>
      <c r="E441" s="27">
        <v>1694</v>
      </c>
      <c r="F441" s="27">
        <v>260</v>
      </c>
      <c r="G441" s="27">
        <v>20</v>
      </c>
      <c r="H441" s="27">
        <v>33880</v>
      </c>
      <c r="I441" s="5">
        <v>3049.2</v>
      </c>
      <c r="J441" s="27">
        <v>30830.799999999999</v>
      </c>
      <c r="K441" s="27">
        <v>16940</v>
      </c>
      <c r="L441" s="5">
        <v>13890.8</v>
      </c>
      <c r="M441" s="28">
        <v>41944</v>
      </c>
      <c r="N441" s="3">
        <v>11</v>
      </c>
      <c r="O441" s="29" t="s">
        <v>38</v>
      </c>
      <c r="P441" s="3">
        <v>2014</v>
      </c>
      <c r="Q441" s="6">
        <f>New_Finance_Data[[#This Row],[ Profit ]]/New_Finance_Data[[#This Row],[  Sales ]]</f>
        <v>0.45054945054945056</v>
      </c>
      <c r="R441" t="str">
        <f>IF(New_Finance_Data[[#This Row],[  Sales ]]&gt;=100000,"High",IF(New_Finance_Data[[#This Row],[  Sales ]]&gt;=50000,"Medium","Low"))</f>
        <v>Low</v>
      </c>
      <c r="S441" t="str">
        <f>IF(OR(ISBLANK(New_Finance_Data[[#This Row],[  Sales ]]),ISBLANK(New_Finance_Data[[#This Row],[ Profit ]])),"Missing","OK")</f>
        <v>OK</v>
      </c>
      <c r="T441" t="str">
        <f>TEXT(New_Finance_Data[[#This Row],[Date]],"MMM-YYYY")</f>
        <v>Nov-2014</v>
      </c>
      <c r="U441" t="str">
        <f>IF(New_Finance_Data[[#This Row],[ Profit ]]&gt;0,"Profit","Loss")</f>
        <v>Profit</v>
      </c>
      <c r="V441" t="str">
        <f>IF(New_Finance_Data[[#This Row],[  Sales ]]&gt;=50000,"High Sales","Low Sales")</f>
        <v>Low Sales</v>
      </c>
      <c r="W441" t="b">
        <f>ISNUMBER(New_Finance_Data[[#This Row],[Date]])</f>
        <v>1</v>
      </c>
    </row>
    <row r="442" spans="1:23" x14ac:dyDescent="0.2">
      <c r="A442" t="s">
        <v>15</v>
      </c>
      <c r="B442" t="s">
        <v>20</v>
      </c>
      <c r="C442" t="s">
        <v>17</v>
      </c>
      <c r="D442" t="s">
        <v>45</v>
      </c>
      <c r="E442" s="27">
        <v>663</v>
      </c>
      <c r="F442" s="27">
        <v>3</v>
      </c>
      <c r="G442" s="27">
        <v>20</v>
      </c>
      <c r="H442" s="27">
        <v>13260</v>
      </c>
      <c r="I442" s="5">
        <v>1193.4000000000001</v>
      </c>
      <c r="J442" s="27">
        <v>12066.6</v>
      </c>
      <c r="K442" s="27">
        <v>6630</v>
      </c>
      <c r="L442" s="5">
        <v>5436.6</v>
      </c>
      <c r="M442" s="28">
        <v>41760</v>
      </c>
      <c r="N442" s="3">
        <v>5</v>
      </c>
      <c r="O442" s="29" t="s">
        <v>44</v>
      </c>
      <c r="P442" s="3">
        <v>2014</v>
      </c>
      <c r="Q442" s="6">
        <f>New_Finance_Data[[#This Row],[ Profit ]]/New_Finance_Data[[#This Row],[  Sales ]]</f>
        <v>0.45054945054945056</v>
      </c>
      <c r="R442" t="str">
        <f>IF(New_Finance_Data[[#This Row],[  Sales ]]&gt;=100000,"High",IF(New_Finance_Data[[#This Row],[  Sales ]]&gt;=50000,"Medium","Low"))</f>
        <v>Low</v>
      </c>
      <c r="S442" t="str">
        <f>IF(OR(ISBLANK(New_Finance_Data[[#This Row],[  Sales ]]),ISBLANK(New_Finance_Data[[#This Row],[ Profit ]])),"Missing","OK")</f>
        <v>OK</v>
      </c>
      <c r="T442" t="str">
        <f>TEXT(New_Finance_Data[[#This Row],[Date]],"MMM-YYYY")</f>
        <v>May-2014</v>
      </c>
      <c r="U442" t="str">
        <f>IF(New_Finance_Data[[#This Row],[ Profit ]]&gt;0,"Profit","Loss")</f>
        <v>Profit</v>
      </c>
      <c r="V442" t="str">
        <f>IF(New_Finance_Data[[#This Row],[  Sales ]]&gt;=50000,"High Sales","Low Sales")</f>
        <v>Low Sales</v>
      </c>
      <c r="W442" t="b">
        <f>ISNUMBER(New_Finance_Data[[#This Row],[Date]])</f>
        <v>1</v>
      </c>
    </row>
    <row r="443" spans="1:23" x14ac:dyDescent="0.2">
      <c r="A443" t="s">
        <v>15</v>
      </c>
      <c r="B443" t="s">
        <v>16</v>
      </c>
      <c r="C443" t="s">
        <v>17</v>
      </c>
      <c r="D443" t="s">
        <v>45</v>
      </c>
      <c r="E443" s="27">
        <v>819</v>
      </c>
      <c r="F443" s="27">
        <v>3</v>
      </c>
      <c r="G443" s="27">
        <v>7</v>
      </c>
      <c r="H443" s="27">
        <v>5733</v>
      </c>
      <c r="I443" s="5">
        <v>515.97</v>
      </c>
      <c r="J443" s="27">
        <v>5217.03</v>
      </c>
      <c r="K443" s="27">
        <v>4095</v>
      </c>
      <c r="L443" s="5">
        <v>1122.03</v>
      </c>
      <c r="M443" s="28">
        <v>41821</v>
      </c>
      <c r="N443" s="3">
        <v>7</v>
      </c>
      <c r="O443" s="29" t="s">
        <v>30</v>
      </c>
      <c r="P443" s="3">
        <v>2014</v>
      </c>
      <c r="Q443" s="6">
        <f>New_Finance_Data[[#This Row],[ Profit ]]/New_Finance_Data[[#This Row],[  Sales ]]</f>
        <v>0.21507064364207221</v>
      </c>
      <c r="R443" t="str">
        <f>IF(New_Finance_Data[[#This Row],[  Sales ]]&gt;=100000,"High",IF(New_Finance_Data[[#This Row],[  Sales ]]&gt;=50000,"Medium","Low"))</f>
        <v>Low</v>
      </c>
      <c r="S443" t="str">
        <f>IF(OR(ISBLANK(New_Finance_Data[[#This Row],[  Sales ]]),ISBLANK(New_Finance_Data[[#This Row],[ Profit ]])),"Missing","OK")</f>
        <v>OK</v>
      </c>
      <c r="T443" t="str">
        <f>TEXT(New_Finance_Data[[#This Row],[Date]],"MMM-YYYY")</f>
        <v>Jul-2014</v>
      </c>
      <c r="U443" t="str">
        <f>IF(New_Finance_Data[[#This Row],[ Profit ]]&gt;0,"Profit","Loss")</f>
        <v>Profit</v>
      </c>
      <c r="V443" t="str">
        <f>IF(New_Finance_Data[[#This Row],[  Sales ]]&gt;=50000,"High Sales","Low Sales")</f>
        <v>Low Sales</v>
      </c>
      <c r="W443" t="b">
        <f>ISNUMBER(New_Finance_Data[[#This Row],[Date]])</f>
        <v>1</v>
      </c>
    </row>
    <row r="444" spans="1:23" x14ac:dyDescent="0.2">
      <c r="A444" t="s">
        <v>28</v>
      </c>
      <c r="B444" t="s">
        <v>20</v>
      </c>
      <c r="C444" t="s">
        <v>17</v>
      </c>
      <c r="D444" t="s">
        <v>45</v>
      </c>
      <c r="E444" s="27">
        <v>1580</v>
      </c>
      <c r="F444" s="27">
        <v>3</v>
      </c>
      <c r="G444" s="27">
        <v>12</v>
      </c>
      <c r="H444" s="27">
        <v>18960</v>
      </c>
      <c r="I444" s="5">
        <v>1706.4</v>
      </c>
      <c r="J444" s="27">
        <v>17253.599999999999</v>
      </c>
      <c r="K444" s="27">
        <v>4740</v>
      </c>
      <c r="L444" s="5">
        <v>12513.6</v>
      </c>
      <c r="M444" s="28">
        <v>41883</v>
      </c>
      <c r="N444" s="3">
        <v>9</v>
      </c>
      <c r="O444" s="29" t="s">
        <v>33</v>
      </c>
      <c r="P444" s="3">
        <v>2014</v>
      </c>
      <c r="Q444" s="6">
        <f>New_Finance_Data[[#This Row],[ Profit ]]/New_Finance_Data[[#This Row],[  Sales ]]</f>
        <v>0.72527472527472536</v>
      </c>
      <c r="R444" t="str">
        <f>IF(New_Finance_Data[[#This Row],[  Sales ]]&gt;=100000,"High",IF(New_Finance_Data[[#This Row],[  Sales ]]&gt;=50000,"Medium","Low"))</f>
        <v>Low</v>
      </c>
      <c r="S444" t="str">
        <f>IF(OR(ISBLANK(New_Finance_Data[[#This Row],[  Sales ]]),ISBLANK(New_Finance_Data[[#This Row],[ Profit ]])),"Missing","OK")</f>
        <v>OK</v>
      </c>
      <c r="T444" t="str">
        <f>TEXT(New_Finance_Data[[#This Row],[Date]],"MMM-YYYY")</f>
        <v>Sep-2014</v>
      </c>
      <c r="U444" t="str">
        <f>IF(New_Finance_Data[[#This Row],[ Profit ]]&gt;0,"Profit","Loss")</f>
        <v>Profit</v>
      </c>
      <c r="V444" t="str">
        <f>IF(New_Finance_Data[[#This Row],[  Sales ]]&gt;=50000,"High Sales","Low Sales")</f>
        <v>Low Sales</v>
      </c>
      <c r="W444" t="b">
        <f>ISNUMBER(New_Finance_Data[[#This Row],[Date]])</f>
        <v>1</v>
      </c>
    </row>
    <row r="445" spans="1:23" x14ac:dyDescent="0.2">
      <c r="A445" t="s">
        <v>15</v>
      </c>
      <c r="B445" t="s">
        <v>24</v>
      </c>
      <c r="C445" t="s">
        <v>17</v>
      </c>
      <c r="D445" t="s">
        <v>45</v>
      </c>
      <c r="E445" s="27">
        <v>521</v>
      </c>
      <c r="F445" s="27">
        <v>3</v>
      </c>
      <c r="G445" s="27">
        <v>7</v>
      </c>
      <c r="H445" s="27">
        <v>3647</v>
      </c>
      <c r="I445" s="5">
        <v>328.23</v>
      </c>
      <c r="J445" s="27">
        <v>3318.77</v>
      </c>
      <c r="K445" s="27">
        <v>2605</v>
      </c>
      <c r="L445" s="5">
        <v>713.77</v>
      </c>
      <c r="M445" s="28">
        <v>41974</v>
      </c>
      <c r="N445" s="3">
        <v>12</v>
      </c>
      <c r="O445" s="29" t="s">
        <v>25</v>
      </c>
      <c r="P445" s="3">
        <v>2014</v>
      </c>
      <c r="Q445" s="6">
        <f>New_Finance_Data[[#This Row],[ Profit ]]/New_Finance_Data[[#This Row],[  Sales ]]</f>
        <v>0.21507064364207221</v>
      </c>
      <c r="R445" t="str">
        <f>IF(New_Finance_Data[[#This Row],[  Sales ]]&gt;=100000,"High",IF(New_Finance_Data[[#This Row],[  Sales ]]&gt;=50000,"Medium","Low"))</f>
        <v>Low</v>
      </c>
      <c r="S445" t="str">
        <f>IF(OR(ISBLANK(New_Finance_Data[[#This Row],[  Sales ]]),ISBLANK(New_Finance_Data[[#This Row],[ Profit ]])),"Missing","OK")</f>
        <v>OK</v>
      </c>
      <c r="T445" t="str">
        <f>TEXT(New_Finance_Data[[#This Row],[Date]],"MMM-YYYY")</f>
        <v>Dec-2014</v>
      </c>
      <c r="U445" t="str">
        <f>IF(New_Finance_Data[[#This Row],[ Profit ]]&gt;0,"Profit","Loss")</f>
        <v>Profit</v>
      </c>
      <c r="V445" t="str">
        <f>IF(New_Finance_Data[[#This Row],[  Sales ]]&gt;=50000,"High Sales","Low Sales")</f>
        <v>Low Sales</v>
      </c>
      <c r="W445" t="b">
        <f>ISNUMBER(New_Finance_Data[[#This Row],[Date]])</f>
        <v>1</v>
      </c>
    </row>
    <row r="446" spans="1:23" x14ac:dyDescent="0.2">
      <c r="A446" t="s">
        <v>15</v>
      </c>
      <c r="B446" t="s">
        <v>35</v>
      </c>
      <c r="C446" t="s">
        <v>36</v>
      </c>
      <c r="D446" t="s">
        <v>45</v>
      </c>
      <c r="E446" s="27">
        <v>973</v>
      </c>
      <c r="F446" s="27">
        <v>10</v>
      </c>
      <c r="G446" s="27">
        <v>20</v>
      </c>
      <c r="H446" s="27">
        <v>19460</v>
      </c>
      <c r="I446" s="5">
        <v>1751.4</v>
      </c>
      <c r="J446" s="27">
        <v>17708.599999999999</v>
      </c>
      <c r="K446" s="27">
        <v>9730</v>
      </c>
      <c r="L446" s="5">
        <v>7978.6</v>
      </c>
      <c r="M446" s="28">
        <v>41699</v>
      </c>
      <c r="N446" s="3">
        <v>3</v>
      </c>
      <c r="O446" s="29" t="s">
        <v>27</v>
      </c>
      <c r="P446" s="3">
        <v>2014</v>
      </c>
      <c r="Q446" s="6">
        <f>New_Finance_Data[[#This Row],[ Profit ]]/New_Finance_Data[[#This Row],[  Sales ]]</f>
        <v>0.45054945054945061</v>
      </c>
      <c r="R446" t="str">
        <f>IF(New_Finance_Data[[#This Row],[  Sales ]]&gt;=100000,"High",IF(New_Finance_Data[[#This Row],[  Sales ]]&gt;=50000,"Medium","Low"))</f>
        <v>Low</v>
      </c>
      <c r="S446" t="str">
        <f>IF(OR(ISBLANK(New_Finance_Data[[#This Row],[  Sales ]]),ISBLANK(New_Finance_Data[[#This Row],[ Profit ]])),"Missing","OK")</f>
        <v>OK</v>
      </c>
      <c r="T446" t="str">
        <f>TEXT(New_Finance_Data[[#This Row],[Date]],"MMM-YYYY")</f>
        <v>Mar-2014</v>
      </c>
      <c r="U446" t="str">
        <f>IF(New_Finance_Data[[#This Row],[ Profit ]]&gt;0,"Profit","Loss")</f>
        <v>Profit</v>
      </c>
      <c r="V446" t="str">
        <f>IF(New_Finance_Data[[#This Row],[  Sales ]]&gt;=50000,"High Sales","Low Sales")</f>
        <v>Low Sales</v>
      </c>
      <c r="W446" t="b">
        <f>ISNUMBER(New_Finance_Data[[#This Row],[Date]])</f>
        <v>1</v>
      </c>
    </row>
    <row r="447" spans="1:23" x14ac:dyDescent="0.2">
      <c r="A447" t="s">
        <v>15</v>
      </c>
      <c r="B447" t="s">
        <v>24</v>
      </c>
      <c r="C447" t="s">
        <v>36</v>
      </c>
      <c r="D447" t="s">
        <v>45</v>
      </c>
      <c r="E447" s="27">
        <v>1038</v>
      </c>
      <c r="F447" s="27">
        <v>10</v>
      </c>
      <c r="G447" s="27">
        <v>20</v>
      </c>
      <c r="H447" s="27">
        <v>20760</v>
      </c>
      <c r="I447" s="5">
        <v>1868.4</v>
      </c>
      <c r="J447" s="27">
        <v>18891.599999999999</v>
      </c>
      <c r="K447" s="27">
        <v>10380</v>
      </c>
      <c r="L447" s="5">
        <v>8511.6</v>
      </c>
      <c r="M447" s="28">
        <v>41791</v>
      </c>
      <c r="N447" s="3">
        <v>6</v>
      </c>
      <c r="O447" s="29" t="s">
        <v>23</v>
      </c>
      <c r="P447" s="3">
        <v>2014</v>
      </c>
      <c r="Q447" s="6">
        <f>New_Finance_Data[[#This Row],[ Profit ]]/New_Finance_Data[[#This Row],[  Sales ]]</f>
        <v>0.45054945054945061</v>
      </c>
      <c r="R447" t="str">
        <f>IF(New_Finance_Data[[#This Row],[  Sales ]]&gt;=100000,"High",IF(New_Finance_Data[[#This Row],[  Sales ]]&gt;=50000,"Medium","Low"))</f>
        <v>Low</v>
      </c>
      <c r="S447" t="str">
        <f>IF(OR(ISBLANK(New_Finance_Data[[#This Row],[  Sales ]]),ISBLANK(New_Finance_Data[[#This Row],[ Profit ]])),"Missing","OK")</f>
        <v>OK</v>
      </c>
      <c r="T447" t="str">
        <f>TEXT(New_Finance_Data[[#This Row],[Date]],"MMM-YYYY")</f>
        <v>Jun-2014</v>
      </c>
      <c r="U447" t="str">
        <f>IF(New_Finance_Data[[#This Row],[ Profit ]]&gt;0,"Profit","Loss")</f>
        <v>Profit</v>
      </c>
      <c r="V447" t="str">
        <f>IF(New_Finance_Data[[#This Row],[  Sales ]]&gt;=50000,"High Sales","Low Sales")</f>
        <v>Low Sales</v>
      </c>
      <c r="W447" t="b">
        <f>ISNUMBER(New_Finance_Data[[#This Row],[Date]])</f>
        <v>1</v>
      </c>
    </row>
    <row r="448" spans="1:23" x14ac:dyDescent="0.2">
      <c r="A448" t="s">
        <v>15</v>
      </c>
      <c r="B448" t="s">
        <v>20</v>
      </c>
      <c r="C448" t="s">
        <v>36</v>
      </c>
      <c r="D448" t="s">
        <v>45</v>
      </c>
      <c r="E448" s="27">
        <v>360</v>
      </c>
      <c r="F448" s="27">
        <v>10</v>
      </c>
      <c r="G448" s="27">
        <v>7</v>
      </c>
      <c r="H448" s="27">
        <v>2520</v>
      </c>
      <c r="I448" s="5">
        <v>226.8</v>
      </c>
      <c r="J448" s="27">
        <v>2293.1999999999998</v>
      </c>
      <c r="K448" s="27">
        <v>1800</v>
      </c>
      <c r="L448" s="5">
        <v>493.2</v>
      </c>
      <c r="M448" s="28">
        <v>41913</v>
      </c>
      <c r="N448" s="3">
        <v>10</v>
      </c>
      <c r="O448" s="29" t="s">
        <v>34</v>
      </c>
      <c r="P448" s="3">
        <v>2014</v>
      </c>
      <c r="Q448" s="6">
        <f>New_Finance_Data[[#This Row],[ Profit ]]/New_Finance_Data[[#This Row],[  Sales ]]</f>
        <v>0.21507064364207223</v>
      </c>
      <c r="R448" t="str">
        <f>IF(New_Finance_Data[[#This Row],[  Sales ]]&gt;=100000,"High",IF(New_Finance_Data[[#This Row],[  Sales ]]&gt;=50000,"Medium","Low"))</f>
        <v>Low</v>
      </c>
      <c r="S448" t="str">
        <f>IF(OR(ISBLANK(New_Finance_Data[[#This Row],[  Sales ]]),ISBLANK(New_Finance_Data[[#This Row],[ Profit ]])),"Missing","OK")</f>
        <v>OK</v>
      </c>
      <c r="T448" t="str">
        <f>TEXT(New_Finance_Data[[#This Row],[Date]],"MMM-YYYY")</f>
        <v>Oct-2014</v>
      </c>
      <c r="U448" t="str">
        <f>IF(New_Finance_Data[[#This Row],[ Profit ]]&gt;0,"Profit","Loss")</f>
        <v>Profit</v>
      </c>
      <c r="V448" t="str">
        <f>IF(New_Finance_Data[[#This Row],[  Sales ]]&gt;=50000,"High Sales","Low Sales")</f>
        <v>Low Sales</v>
      </c>
      <c r="W448" t="b">
        <f>ISNUMBER(New_Finance_Data[[#This Row],[Date]])</f>
        <v>1</v>
      </c>
    </row>
    <row r="449" spans="1:23" x14ac:dyDescent="0.2">
      <c r="A449" t="s">
        <v>28</v>
      </c>
      <c r="B449" t="s">
        <v>22</v>
      </c>
      <c r="C449" t="s">
        <v>39</v>
      </c>
      <c r="D449" t="s">
        <v>45</v>
      </c>
      <c r="E449" s="27">
        <v>1967</v>
      </c>
      <c r="F449" s="27">
        <v>120</v>
      </c>
      <c r="G449" s="27">
        <v>12</v>
      </c>
      <c r="H449" s="27">
        <v>23604</v>
      </c>
      <c r="I449" s="5">
        <v>2124.36</v>
      </c>
      <c r="J449" s="27">
        <v>21479.64</v>
      </c>
      <c r="K449" s="27">
        <v>5901</v>
      </c>
      <c r="L449" s="5">
        <v>15578.64</v>
      </c>
      <c r="M449" s="28">
        <v>41699</v>
      </c>
      <c r="N449" s="3">
        <v>3</v>
      </c>
      <c r="O449" s="29" t="s">
        <v>27</v>
      </c>
      <c r="P449" s="3">
        <v>2014</v>
      </c>
      <c r="Q449" s="6">
        <f>New_Finance_Data[[#This Row],[ Profit ]]/New_Finance_Data[[#This Row],[  Sales ]]</f>
        <v>0.72527472527472525</v>
      </c>
      <c r="R449" t="str">
        <f>IF(New_Finance_Data[[#This Row],[  Sales ]]&gt;=100000,"High",IF(New_Finance_Data[[#This Row],[  Sales ]]&gt;=50000,"Medium","Low"))</f>
        <v>Low</v>
      </c>
      <c r="S449" t="str">
        <f>IF(OR(ISBLANK(New_Finance_Data[[#This Row],[  Sales ]]),ISBLANK(New_Finance_Data[[#This Row],[ Profit ]])),"Missing","OK")</f>
        <v>OK</v>
      </c>
      <c r="T449" t="str">
        <f>TEXT(New_Finance_Data[[#This Row],[Date]],"MMM-YYYY")</f>
        <v>Mar-2014</v>
      </c>
      <c r="U449" t="str">
        <f>IF(New_Finance_Data[[#This Row],[ Profit ]]&gt;0,"Profit","Loss")</f>
        <v>Profit</v>
      </c>
      <c r="V449" t="str">
        <f>IF(New_Finance_Data[[#This Row],[  Sales ]]&gt;=50000,"High Sales","Low Sales")</f>
        <v>Low Sales</v>
      </c>
      <c r="W449" t="b">
        <f>ISNUMBER(New_Finance_Data[[#This Row],[Date]])</f>
        <v>1</v>
      </c>
    </row>
    <row r="450" spans="1:23" x14ac:dyDescent="0.2">
      <c r="A450" t="s">
        <v>21</v>
      </c>
      <c r="B450" t="s">
        <v>24</v>
      </c>
      <c r="C450" t="s">
        <v>39</v>
      </c>
      <c r="D450" t="s">
        <v>45</v>
      </c>
      <c r="E450" s="27">
        <v>2628</v>
      </c>
      <c r="F450" s="27">
        <v>120</v>
      </c>
      <c r="G450" s="27">
        <v>15</v>
      </c>
      <c r="H450" s="27">
        <v>39420</v>
      </c>
      <c r="I450" s="5">
        <v>3547.8</v>
      </c>
      <c r="J450" s="27">
        <v>35872.199999999997</v>
      </c>
      <c r="K450" s="27">
        <v>26280</v>
      </c>
      <c r="L450" s="5">
        <v>9592.2000000000007</v>
      </c>
      <c r="M450" s="28">
        <v>41730</v>
      </c>
      <c r="N450" s="3">
        <v>4</v>
      </c>
      <c r="O450" s="29" t="s">
        <v>41</v>
      </c>
      <c r="P450" s="3">
        <v>2014</v>
      </c>
      <c r="Q450" s="6">
        <f>New_Finance_Data[[#This Row],[ Profit ]]/New_Finance_Data[[#This Row],[  Sales ]]</f>
        <v>0.26739926739926745</v>
      </c>
      <c r="R450" t="str">
        <f>IF(New_Finance_Data[[#This Row],[  Sales ]]&gt;=100000,"High",IF(New_Finance_Data[[#This Row],[  Sales ]]&gt;=50000,"Medium","Low"))</f>
        <v>Low</v>
      </c>
      <c r="S450" t="str">
        <f>IF(OR(ISBLANK(New_Finance_Data[[#This Row],[  Sales ]]),ISBLANK(New_Finance_Data[[#This Row],[ Profit ]])),"Missing","OK")</f>
        <v>OK</v>
      </c>
      <c r="T450" t="str">
        <f>TEXT(New_Finance_Data[[#This Row],[Date]],"MMM-YYYY")</f>
        <v>Apr-2014</v>
      </c>
      <c r="U450" t="str">
        <f>IF(New_Finance_Data[[#This Row],[ Profit ]]&gt;0,"Profit","Loss")</f>
        <v>Profit</v>
      </c>
      <c r="V450" t="str">
        <f>IF(New_Finance_Data[[#This Row],[  Sales ]]&gt;=50000,"High Sales","Low Sales")</f>
        <v>Low Sales</v>
      </c>
      <c r="W450" t="b">
        <f>ISNUMBER(New_Finance_Data[[#This Row],[Date]])</f>
        <v>1</v>
      </c>
    </row>
    <row r="451" spans="1:23" x14ac:dyDescent="0.2">
      <c r="A451" t="s">
        <v>15</v>
      </c>
      <c r="B451" t="s">
        <v>20</v>
      </c>
      <c r="C451" t="s">
        <v>40</v>
      </c>
      <c r="D451" t="s">
        <v>45</v>
      </c>
      <c r="E451" s="27">
        <v>360</v>
      </c>
      <c r="F451" s="27">
        <v>250</v>
      </c>
      <c r="G451" s="27">
        <v>7</v>
      </c>
      <c r="H451" s="27">
        <v>2520</v>
      </c>
      <c r="I451" s="5">
        <v>226.8</v>
      </c>
      <c r="J451" s="27">
        <v>2293.1999999999998</v>
      </c>
      <c r="K451" s="27">
        <v>1800</v>
      </c>
      <c r="L451" s="5">
        <v>493.2</v>
      </c>
      <c r="M451" s="28">
        <v>41913</v>
      </c>
      <c r="N451" s="3">
        <v>10</v>
      </c>
      <c r="O451" s="29" t="s">
        <v>34</v>
      </c>
      <c r="P451" s="3">
        <v>2014</v>
      </c>
      <c r="Q451" s="6">
        <f>New_Finance_Data[[#This Row],[ Profit ]]/New_Finance_Data[[#This Row],[  Sales ]]</f>
        <v>0.21507064364207223</v>
      </c>
      <c r="R451" t="str">
        <f>IF(New_Finance_Data[[#This Row],[  Sales ]]&gt;=100000,"High",IF(New_Finance_Data[[#This Row],[  Sales ]]&gt;=50000,"Medium","Low"))</f>
        <v>Low</v>
      </c>
      <c r="S451" t="str">
        <f>IF(OR(ISBLANK(New_Finance_Data[[#This Row],[  Sales ]]),ISBLANK(New_Finance_Data[[#This Row],[ Profit ]])),"Missing","OK")</f>
        <v>OK</v>
      </c>
      <c r="T451" t="str">
        <f>TEXT(New_Finance_Data[[#This Row],[Date]],"MMM-YYYY")</f>
        <v>Oct-2014</v>
      </c>
      <c r="U451" t="str">
        <f>IF(New_Finance_Data[[#This Row],[ Profit ]]&gt;0,"Profit","Loss")</f>
        <v>Profit</v>
      </c>
      <c r="V451" t="str">
        <f>IF(New_Finance_Data[[#This Row],[  Sales ]]&gt;=50000,"High Sales","Low Sales")</f>
        <v>Low Sales</v>
      </c>
      <c r="W451" t="b">
        <f>ISNUMBER(New_Finance_Data[[#This Row],[Date]])</f>
        <v>1</v>
      </c>
    </row>
    <row r="452" spans="1:23" x14ac:dyDescent="0.2">
      <c r="A452" t="s">
        <v>15</v>
      </c>
      <c r="B452" t="s">
        <v>22</v>
      </c>
      <c r="C452" t="s">
        <v>40</v>
      </c>
      <c r="D452" t="s">
        <v>45</v>
      </c>
      <c r="E452" s="27">
        <v>2682</v>
      </c>
      <c r="F452" s="27">
        <v>250</v>
      </c>
      <c r="G452" s="27">
        <v>20</v>
      </c>
      <c r="H452" s="27">
        <v>53640</v>
      </c>
      <c r="I452" s="5">
        <v>4827.6000000000004</v>
      </c>
      <c r="J452" s="27">
        <v>48812.4</v>
      </c>
      <c r="K452" s="27">
        <v>26820</v>
      </c>
      <c r="L452" s="5">
        <v>21992.400000000001</v>
      </c>
      <c r="M452" s="28">
        <v>41579</v>
      </c>
      <c r="N452" s="3">
        <v>11</v>
      </c>
      <c r="O452" s="29" t="s">
        <v>38</v>
      </c>
      <c r="P452" s="3">
        <v>2013</v>
      </c>
      <c r="Q452" s="6">
        <f>New_Finance_Data[[#This Row],[ Profit ]]/New_Finance_Data[[#This Row],[  Sales ]]</f>
        <v>0.45054945054945056</v>
      </c>
      <c r="R452" t="str">
        <f>IF(New_Finance_Data[[#This Row],[  Sales ]]&gt;=100000,"High",IF(New_Finance_Data[[#This Row],[  Sales ]]&gt;=50000,"Medium","Low"))</f>
        <v>Low</v>
      </c>
      <c r="S452" t="str">
        <f>IF(OR(ISBLANK(New_Finance_Data[[#This Row],[  Sales ]]),ISBLANK(New_Finance_Data[[#This Row],[ Profit ]])),"Missing","OK")</f>
        <v>OK</v>
      </c>
      <c r="T452" t="str">
        <f>TEXT(New_Finance_Data[[#This Row],[Date]],"MMM-YYYY")</f>
        <v>Nov-2013</v>
      </c>
      <c r="U452" t="str">
        <f>IF(New_Finance_Data[[#This Row],[ Profit ]]&gt;0,"Profit","Loss")</f>
        <v>Profit</v>
      </c>
      <c r="V452" t="str">
        <f>IF(New_Finance_Data[[#This Row],[  Sales ]]&gt;=50000,"High Sales","Low Sales")</f>
        <v>Low Sales</v>
      </c>
      <c r="W452" t="b">
        <f>ISNUMBER(New_Finance_Data[[#This Row],[Date]])</f>
        <v>1</v>
      </c>
    </row>
    <row r="453" spans="1:23" x14ac:dyDescent="0.2">
      <c r="A453" t="s">
        <v>15</v>
      </c>
      <c r="B453" t="s">
        <v>24</v>
      </c>
      <c r="C453" t="s">
        <v>40</v>
      </c>
      <c r="D453" t="s">
        <v>45</v>
      </c>
      <c r="E453" s="27">
        <v>521</v>
      </c>
      <c r="F453" s="27">
        <v>250</v>
      </c>
      <c r="G453" s="27">
        <v>7</v>
      </c>
      <c r="H453" s="27">
        <v>3647</v>
      </c>
      <c r="I453" s="5">
        <v>328.23</v>
      </c>
      <c r="J453" s="27">
        <v>3318.77</v>
      </c>
      <c r="K453" s="27">
        <v>2605</v>
      </c>
      <c r="L453" s="5">
        <v>713.77</v>
      </c>
      <c r="M453" s="28">
        <v>41974</v>
      </c>
      <c r="N453" s="3">
        <v>12</v>
      </c>
      <c r="O453" s="29" t="s">
        <v>25</v>
      </c>
      <c r="P453" s="3">
        <v>2014</v>
      </c>
      <c r="Q453" s="6">
        <f>New_Finance_Data[[#This Row],[ Profit ]]/New_Finance_Data[[#This Row],[  Sales ]]</f>
        <v>0.21507064364207221</v>
      </c>
      <c r="R453" t="str">
        <f>IF(New_Finance_Data[[#This Row],[  Sales ]]&gt;=100000,"High",IF(New_Finance_Data[[#This Row],[  Sales ]]&gt;=50000,"Medium","Low"))</f>
        <v>Low</v>
      </c>
      <c r="S453" t="str">
        <f>IF(OR(ISBLANK(New_Finance_Data[[#This Row],[  Sales ]]),ISBLANK(New_Finance_Data[[#This Row],[ Profit ]])),"Missing","OK")</f>
        <v>OK</v>
      </c>
      <c r="T453" t="str">
        <f>TEXT(New_Finance_Data[[#This Row],[Date]],"MMM-YYYY")</f>
        <v>Dec-2014</v>
      </c>
      <c r="U453" t="str">
        <f>IF(New_Finance_Data[[#This Row],[ Profit ]]&gt;0,"Profit","Loss")</f>
        <v>Profit</v>
      </c>
      <c r="V453" t="str">
        <f>IF(New_Finance_Data[[#This Row],[  Sales ]]&gt;=50000,"High Sales","Low Sales")</f>
        <v>Low Sales</v>
      </c>
      <c r="W453" t="b">
        <f>ISNUMBER(New_Finance_Data[[#This Row],[Date]])</f>
        <v>1</v>
      </c>
    </row>
    <row r="454" spans="1:23" x14ac:dyDescent="0.2">
      <c r="A454" t="s">
        <v>15</v>
      </c>
      <c r="B454" t="s">
        <v>24</v>
      </c>
      <c r="C454" t="s">
        <v>42</v>
      </c>
      <c r="D454" t="s">
        <v>45</v>
      </c>
      <c r="E454" s="27">
        <v>1038</v>
      </c>
      <c r="F454" s="27">
        <v>260</v>
      </c>
      <c r="G454" s="27">
        <v>20</v>
      </c>
      <c r="H454" s="27">
        <v>20760</v>
      </c>
      <c r="I454" s="5">
        <v>1868.4</v>
      </c>
      <c r="J454" s="27">
        <v>18891.599999999999</v>
      </c>
      <c r="K454" s="27">
        <v>10380</v>
      </c>
      <c r="L454" s="5">
        <v>8511.6</v>
      </c>
      <c r="M454" s="28">
        <v>41791</v>
      </c>
      <c r="N454" s="3">
        <v>6</v>
      </c>
      <c r="O454" s="29" t="s">
        <v>23</v>
      </c>
      <c r="P454" s="3">
        <v>2014</v>
      </c>
      <c r="Q454" s="6">
        <f>New_Finance_Data[[#This Row],[ Profit ]]/New_Finance_Data[[#This Row],[  Sales ]]</f>
        <v>0.45054945054945061</v>
      </c>
      <c r="R454" t="str">
        <f>IF(New_Finance_Data[[#This Row],[  Sales ]]&gt;=100000,"High",IF(New_Finance_Data[[#This Row],[  Sales ]]&gt;=50000,"Medium","Low"))</f>
        <v>Low</v>
      </c>
      <c r="S454" t="str">
        <f>IF(OR(ISBLANK(New_Finance_Data[[#This Row],[  Sales ]]),ISBLANK(New_Finance_Data[[#This Row],[ Profit ]])),"Missing","OK")</f>
        <v>OK</v>
      </c>
      <c r="T454" t="str">
        <f>TEXT(New_Finance_Data[[#This Row],[Date]],"MMM-YYYY")</f>
        <v>Jun-2014</v>
      </c>
      <c r="U454" t="str">
        <f>IF(New_Finance_Data[[#This Row],[ Profit ]]&gt;0,"Profit","Loss")</f>
        <v>Profit</v>
      </c>
      <c r="V454" t="str">
        <f>IF(New_Finance_Data[[#This Row],[  Sales ]]&gt;=50000,"High Sales","Low Sales")</f>
        <v>Low Sales</v>
      </c>
      <c r="W454" t="b">
        <f>ISNUMBER(New_Finance_Data[[#This Row],[Date]])</f>
        <v>1</v>
      </c>
    </row>
    <row r="455" spans="1:23" x14ac:dyDescent="0.2">
      <c r="A455" t="s">
        <v>21</v>
      </c>
      <c r="B455" t="s">
        <v>16</v>
      </c>
      <c r="C455" t="s">
        <v>42</v>
      </c>
      <c r="D455" t="s">
        <v>45</v>
      </c>
      <c r="E455" s="27">
        <v>1630.5</v>
      </c>
      <c r="F455" s="27">
        <v>260</v>
      </c>
      <c r="G455" s="27">
        <v>15</v>
      </c>
      <c r="H455" s="27">
        <v>24457.5</v>
      </c>
      <c r="I455" s="5">
        <v>2201.1799999999998</v>
      </c>
      <c r="J455" s="27">
        <v>22256.32</v>
      </c>
      <c r="K455" s="27">
        <v>16305</v>
      </c>
      <c r="L455" s="5">
        <v>5951.32</v>
      </c>
      <c r="M455" s="28">
        <v>41821</v>
      </c>
      <c r="N455" s="3">
        <v>7</v>
      </c>
      <c r="O455" s="29" t="s">
        <v>30</v>
      </c>
      <c r="P455" s="3">
        <v>2014</v>
      </c>
      <c r="Q455" s="6">
        <f>New_Finance_Data[[#This Row],[ Profit ]]/New_Finance_Data[[#This Row],[  Sales ]]</f>
        <v>0.26739910281663815</v>
      </c>
      <c r="R455" t="str">
        <f>IF(New_Finance_Data[[#This Row],[  Sales ]]&gt;=100000,"High",IF(New_Finance_Data[[#This Row],[  Sales ]]&gt;=50000,"Medium","Low"))</f>
        <v>Low</v>
      </c>
      <c r="S455" t="str">
        <f>IF(OR(ISBLANK(New_Finance_Data[[#This Row],[  Sales ]]),ISBLANK(New_Finance_Data[[#This Row],[ Profit ]])),"Missing","OK")</f>
        <v>OK</v>
      </c>
      <c r="T455" t="str">
        <f>TEXT(New_Finance_Data[[#This Row],[Date]],"MMM-YYYY")</f>
        <v>Jul-2014</v>
      </c>
      <c r="U455" t="str">
        <f>IF(New_Finance_Data[[#This Row],[ Profit ]]&gt;0,"Profit","Loss")</f>
        <v>Profit</v>
      </c>
      <c r="V455" t="str">
        <f>IF(New_Finance_Data[[#This Row],[  Sales ]]&gt;=50000,"High Sales","Low Sales")</f>
        <v>Low Sales</v>
      </c>
      <c r="W455" t="b">
        <f>ISNUMBER(New_Finance_Data[[#This Row],[Date]])</f>
        <v>1</v>
      </c>
    </row>
    <row r="456" spans="1:23" x14ac:dyDescent="0.2">
      <c r="A456" t="s">
        <v>28</v>
      </c>
      <c r="B456" t="s">
        <v>22</v>
      </c>
      <c r="C456" t="s">
        <v>42</v>
      </c>
      <c r="D456" t="s">
        <v>45</v>
      </c>
      <c r="E456" s="27">
        <v>306</v>
      </c>
      <c r="F456" s="27">
        <v>260</v>
      </c>
      <c r="G456" s="27">
        <v>12</v>
      </c>
      <c r="H456" s="27">
        <v>3672</v>
      </c>
      <c r="I456" s="5">
        <v>330.48</v>
      </c>
      <c r="J456" s="27">
        <v>3341.52</v>
      </c>
      <c r="K456" s="27">
        <v>918</v>
      </c>
      <c r="L456" s="5">
        <v>2423.52</v>
      </c>
      <c r="M456" s="28">
        <v>41609</v>
      </c>
      <c r="N456" s="3">
        <v>12</v>
      </c>
      <c r="O456" s="29" t="s">
        <v>25</v>
      </c>
      <c r="P456" s="3">
        <v>2013</v>
      </c>
      <c r="Q456" s="6">
        <f>New_Finance_Data[[#This Row],[ Profit ]]/New_Finance_Data[[#This Row],[  Sales ]]</f>
        <v>0.72527472527472525</v>
      </c>
      <c r="R456" t="str">
        <f>IF(New_Finance_Data[[#This Row],[  Sales ]]&gt;=100000,"High",IF(New_Finance_Data[[#This Row],[  Sales ]]&gt;=50000,"Medium","Low"))</f>
        <v>Low</v>
      </c>
      <c r="S456" t="str">
        <f>IF(OR(ISBLANK(New_Finance_Data[[#This Row],[  Sales ]]),ISBLANK(New_Finance_Data[[#This Row],[ Profit ]])),"Missing","OK")</f>
        <v>OK</v>
      </c>
      <c r="T456" t="str">
        <f>TEXT(New_Finance_Data[[#This Row],[Date]],"MMM-YYYY")</f>
        <v>Dec-2013</v>
      </c>
      <c r="U456" t="str">
        <f>IF(New_Finance_Data[[#This Row],[ Profit ]]&gt;0,"Profit","Loss")</f>
        <v>Profit</v>
      </c>
      <c r="V456" t="str">
        <f>IF(New_Finance_Data[[#This Row],[  Sales ]]&gt;=50000,"High Sales","Low Sales")</f>
        <v>Low Sales</v>
      </c>
      <c r="W456" t="b">
        <f>ISNUMBER(New_Finance_Data[[#This Row],[Date]])</f>
        <v>1</v>
      </c>
    </row>
    <row r="457" spans="1:23" x14ac:dyDescent="0.2">
      <c r="A457" t="s">
        <v>28</v>
      </c>
      <c r="B457" t="s">
        <v>35</v>
      </c>
      <c r="C457" t="s">
        <v>17</v>
      </c>
      <c r="D457" t="s">
        <v>46</v>
      </c>
      <c r="E457" s="27">
        <v>386</v>
      </c>
      <c r="F457" s="27">
        <v>3</v>
      </c>
      <c r="G457" s="27">
        <v>12</v>
      </c>
      <c r="H457" s="27">
        <v>4632</v>
      </c>
      <c r="I457" s="5">
        <v>463.2</v>
      </c>
      <c r="J457" s="27">
        <v>4168.8</v>
      </c>
      <c r="K457" s="27">
        <v>1158</v>
      </c>
      <c r="L457" s="5">
        <v>3010.8</v>
      </c>
      <c r="M457" s="28">
        <v>41548</v>
      </c>
      <c r="N457" s="3">
        <v>10</v>
      </c>
      <c r="O457" s="29" t="s">
        <v>34</v>
      </c>
      <c r="P457" s="3">
        <v>2013</v>
      </c>
      <c r="Q457" s="6">
        <f>New_Finance_Data[[#This Row],[ Profit ]]/New_Finance_Data[[#This Row],[  Sales ]]</f>
        <v>0.72222222222222221</v>
      </c>
      <c r="R457" t="str">
        <f>IF(New_Finance_Data[[#This Row],[  Sales ]]&gt;=100000,"High",IF(New_Finance_Data[[#This Row],[  Sales ]]&gt;=50000,"Medium","Low"))</f>
        <v>Low</v>
      </c>
      <c r="S457" t="str">
        <f>IF(OR(ISBLANK(New_Finance_Data[[#This Row],[  Sales ]]),ISBLANK(New_Finance_Data[[#This Row],[ Profit ]])),"Missing","OK")</f>
        <v>OK</v>
      </c>
      <c r="T457" t="str">
        <f>TEXT(New_Finance_Data[[#This Row],[Date]],"MMM-YYYY")</f>
        <v>Oct-2013</v>
      </c>
      <c r="U457" t="str">
        <f>IF(New_Finance_Data[[#This Row],[ Profit ]]&gt;0,"Profit","Loss")</f>
        <v>Profit</v>
      </c>
      <c r="V457" t="str">
        <f>IF(New_Finance_Data[[#This Row],[  Sales ]]&gt;=50000,"High Sales","Low Sales")</f>
        <v>Low Sales</v>
      </c>
      <c r="W457" t="b">
        <f>ISNUMBER(New_Finance_Data[[#This Row],[Date]])</f>
        <v>1</v>
      </c>
    </row>
    <row r="458" spans="1:23" x14ac:dyDescent="0.2">
      <c r="A458" t="s">
        <v>15</v>
      </c>
      <c r="B458" t="s">
        <v>35</v>
      </c>
      <c r="C458" t="s">
        <v>26</v>
      </c>
      <c r="D458" t="s">
        <v>46</v>
      </c>
      <c r="E458" s="27">
        <v>2328</v>
      </c>
      <c r="F458" s="27">
        <v>5</v>
      </c>
      <c r="G458" s="27">
        <v>7</v>
      </c>
      <c r="H458" s="27">
        <v>16296</v>
      </c>
      <c r="I458" s="5">
        <v>1629.6</v>
      </c>
      <c r="J458" s="27">
        <v>14666.4</v>
      </c>
      <c r="K458" s="27">
        <v>11640</v>
      </c>
      <c r="L458" s="5">
        <v>3026.4</v>
      </c>
      <c r="M458" s="28">
        <v>41883</v>
      </c>
      <c r="N458" s="3">
        <v>9</v>
      </c>
      <c r="O458" s="29" t="s">
        <v>33</v>
      </c>
      <c r="P458" s="3">
        <v>2014</v>
      </c>
      <c r="Q458" s="6">
        <f>New_Finance_Data[[#This Row],[ Profit ]]/New_Finance_Data[[#This Row],[  Sales ]]</f>
        <v>0.20634920634920637</v>
      </c>
      <c r="R458" t="str">
        <f>IF(New_Finance_Data[[#This Row],[  Sales ]]&gt;=100000,"High",IF(New_Finance_Data[[#This Row],[  Sales ]]&gt;=50000,"Medium","Low"))</f>
        <v>Low</v>
      </c>
      <c r="S458" t="str">
        <f>IF(OR(ISBLANK(New_Finance_Data[[#This Row],[  Sales ]]),ISBLANK(New_Finance_Data[[#This Row],[ Profit ]])),"Missing","OK")</f>
        <v>OK</v>
      </c>
      <c r="T458" t="str">
        <f>TEXT(New_Finance_Data[[#This Row],[Date]],"MMM-YYYY")</f>
        <v>Sep-2014</v>
      </c>
      <c r="U458" t="str">
        <f>IF(New_Finance_Data[[#This Row],[ Profit ]]&gt;0,"Profit","Loss")</f>
        <v>Profit</v>
      </c>
      <c r="V458" t="str">
        <f>IF(New_Finance_Data[[#This Row],[  Sales ]]&gt;=50000,"High Sales","Low Sales")</f>
        <v>Low Sales</v>
      </c>
      <c r="W458" t="b">
        <f>ISNUMBER(New_Finance_Data[[#This Row],[Date]])</f>
        <v>1</v>
      </c>
    </row>
    <row r="459" spans="1:23" x14ac:dyDescent="0.2">
      <c r="A459" t="s">
        <v>28</v>
      </c>
      <c r="B459" t="s">
        <v>35</v>
      </c>
      <c r="C459" t="s">
        <v>36</v>
      </c>
      <c r="D459" t="s">
        <v>46</v>
      </c>
      <c r="E459" s="27">
        <v>386</v>
      </c>
      <c r="F459" s="27">
        <v>10</v>
      </c>
      <c r="G459" s="27">
        <v>12</v>
      </c>
      <c r="H459" s="27">
        <v>4632</v>
      </c>
      <c r="I459" s="5">
        <v>463.2</v>
      </c>
      <c r="J459" s="27">
        <v>4168.8</v>
      </c>
      <c r="K459" s="27">
        <v>1158</v>
      </c>
      <c r="L459" s="5">
        <v>3010.8</v>
      </c>
      <c r="M459" s="28">
        <v>41548</v>
      </c>
      <c r="N459" s="3">
        <v>10</v>
      </c>
      <c r="O459" s="29" t="s">
        <v>34</v>
      </c>
      <c r="P459" s="3">
        <v>2013</v>
      </c>
      <c r="Q459" s="6">
        <f>New_Finance_Data[[#This Row],[ Profit ]]/New_Finance_Data[[#This Row],[  Sales ]]</f>
        <v>0.72222222222222221</v>
      </c>
      <c r="R459" t="str">
        <f>IF(New_Finance_Data[[#This Row],[  Sales ]]&gt;=100000,"High",IF(New_Finance_Data[[#This Row],[  Sales ]]&gt;=50000,"Medium","Low"))</f>
        <v>Low</v>
      </c>
      <c r="S459" t="str">
        <f>IF(OR(ISBLANK(New_Finance_Data[[#This Row],[  Sales ]]),ISBLANK(New_Finance_Data[[#This Row],[ Profit ]])),"Missing","OK")</f>
        <v>OK</v>
      </c>
      <c r="T459" t="str">
        <f>TEXT(New_Finance_Data[[#This Row],[Date]],"MMM-YYYY")</f>
        <v>Oct-2013</v>
      </c>
      <c r="U459" t="str">
        <f>IF(New_Finance_Data[[#This Row],[ Profit ]]&gt;0,"Profit","Loss")</f>
        <v>Profit</v>
      </c>
      <c r="V459" t="str">
        <f>IF(New_Finance_Data[[#This Row],[  Sales ]]&gt;=50000,"High Sales","Low Sales")</f>
        <v>Low Sales</v>
      </c>
      <c r="W459" t="b">
        <f>ISNUMBER(New_Finance_Data[[#This Row],[Date]])</f>
        <v>1</v>
      </c>
    </row>
    <row r="460" spans="1:23" x14ac:dyDescent="0.2">
      <c r="A460" t="s">
        <v>29</v>
      </c>
      <c r="B460" t="s">
        <v>35</v>
      </c>
      <c r="C460" t="s">
        <v>17</v>
      </c>
      <c r="D460" t="s">
        <v>46</v>
      </c>
      <c r="E460" s="27">
        <v>3445.5</v>
      </c>
      <c r="F460" s="27">
        <v>3</v>
      </c>
      <c r="G460" s="27">
        <v>125</v>
      </c>
      <c r="H460" s="27">
        <v>430687.5</v>
      </c>
      <c r="I460" s="5">
        <v>43068.75</v>
      </c>
      <c r="J460" s="27">
        <v>387618.75</v>
      </c>
      <c r="K460" s="27">
        <v>413460</v>
      </c>
      <c r="L460" s="5">
        <v>-25841.25</v>
      </c>
      <c r="M460" s="28">
        <v>41730</v>
      </c>
      <c r="N460" s="3">
        <v>4</v>
      </c>
      <c r="O460" s="29" t="s">
        <v>41</v>
      </c>
      <c r="P460" s="3">
        <v>2014</v>
      </c>
      <c r="Q460" s="6">
        <f>New_Finance_Data[[#This Row],[ Profit ]]/New_Finance_Data[[#This Row],[  Sales ]]</f>
        <v>-6.6666666666666666E-2</v>
      </c>
      <c r="R460" t="str">
        <f>IF(New_Finance_Data[[#This Row],[  Sales ]]&gt;=100000,"High",IF(New_Finance_Data[[#This Row],[  Sales ]]&gt;=50000,"Medium","Low"))</f>
        <v>High</v>
      </c>
      <c r="S460" t="str">
        <f>IF(OR(ISBLANK(New_Finance_Data[[#This Row],[  Sales ]]),ISBLANK(New_Finance_Data[[#This Row],[ Profit ]])),"Missing","OK")</f>
        <v>OK</v>
      </c>
      <c r="T460" t="str">
        <f>TEXT(New_Finance_Data[[#This Row],[Date]],"MMM-YYYY")</f>
        <v>Apr-2014</v>
      </c>
      <c r="U460" t="str">
        <f>IF(New_Finance_Data[[#This Row],[ Profit ]]&gt;0,"Profit","Loss")</f>
        <v>Loss</v>
      </c>
      <c r="V460" t="str">
        <f>IF(New_Finance_Data[[#This Row],[  Sales ]]&gt;=50000,"High Sales","Low Sales")</f>
        <v>High Sales</v>
      </c>
      <c r="W460" t="b">
        <f>ISNUMBER(New_Finance_Data[[#This Row],[Date]])</f>
        <v>1</v>
      </c>
    </row>
    <row r="461" spans="1:23" x14ac:dyDescent="0.2">
      <c r="A461" t="s">
        <v>29</v>
      </c>
      <c r="B461" t="s">
        <v>22</v>
      </c>
      <c r="C461" t="s">
        <v>17</v>
      </c>
      <c r="D461" t="s">
        <v>46</v>
      </c>
      <c r="E461" s="27">
        <v>1482</v>
      </c>
      <c r="F461" s="27">
        <v>3</v>
      </c>
      <c r="G461" s="27">
        <v>125</v>
      </c>
      <c r="H461" s="27">
        <v>185250</v>
      </c>
      <c r="I461" s="5">
        <v>18525</v>
      </c>
      <c r="J461" s="27">
        <v>166725</v>
      </c>
      <c r="K461" s="27">
        <v>177840</v>
      </c>
      <c r="L461" s="5">
        <v>-11115</v>
      </c>
      <c r="M461" s="28">
        <v>41609</v>
      </c>
      <c r="N461" s="3">
        <v>12</v>
      </c>
      <c r="O461" s="29" t="s">
        <v>25</v>
      </c>
      <c r="P461" s="3">
        <v>2013</v>
      </c>
      <c r="Q461" s="6">
        <f>New_Finance_Data[[#This Row],[ Profit ]]/New_Finance_Data[[#This Row],[  Sales ]]</f>
        <v>-6.6666666666666666E-2</v>
      </c>
      <c r="R461" t="str">
        <f>IF(New_Finance_Data[[#This Row],[  Sales ]]&gt;=100000,"High",IF(New_Finance_Data[[#This Row],[  Sales ]]&gt;=50000,"Medium","Low"))</f>
        <v>High</v>
      </c>
      <c r="S461" t="str">
        <f>IF(OR(ISBLANK(New_Finance_Data[[#This Row],[  Sales ]]),ISBLANK(New_Finance_Data[[#This Row],[ Profit ]])),"Missing","OK")</f>
        <v>OK</v>
      </c>
      <c r="T461" t="str">
        <f>TEXT(New_Finance_Data[[#This Row],[Date]],"MMM-YYYY")</f>
        <v>Dec-2013</v>
      </c>
      <c r="U461" t="str">
        <f>IF(New_Finance_Data[[#This Row],[ Profit ]]&gt;0,"Profit","Loss")</f>
        <v>Loss</v>
      </c>
      <c r="V461" t="str">
        <f>IF(New_Finance_Data[[#This Row],[  Sales ]]&gt;=50000,"High Sales","Low Sales")</f>
        <v>High Sales</v>
      </c>
      <c r="W461" t="b">
        <f>ISNUMBER(New_Finance_Data[[#This Row],[Date]])</f>
        <v>1</v>
      </c>
    </row>
    <row r="462" spans="1:23" x14ac:dyDescent="0.2">
      <c r="A462" t="s">
        <v>15</v>
      </c>
      <c r="B462" t="s">
        <v>35</v>
      </c>
      <c r="C462" t="s">
        <v>26</v>
      </c>
      <c r="D462" t="s">
        <v>46</v>
      </c>
      <c r="E462" s="27">
        <v>2313</v>
      </c>
      <c r="F462" s="27">
        <v>5</v>
      </c>
      <c r="G462" s="27">
        <v>350</v>
      </c>
      <c r="H462" s="27">
        <v>809550</v>
      </c>
      <c r="I462" s="5">
        <v>80955</v>
      </c>
      <c r="J462" s="27">
        <v>728595</v>
      </c>
      <c r="K462" s="27">
        <v>601380</v>
      </c>
      <c r="L462" s="5">
        <v>127215</v>
      </c>
      <c r="M462" s="28">
        <v>41760</v>
      </c>
      <c r="N462" s="3">
        <v>5</v>
      </c>
      <c r="O462" s="29" t="s">
        <v>44</v>
      </c>
      <c r="P462" s="3">
        <v>2014</v>
      </c>
      <c r="Q462" s="6">
        <f>New_Finance_Data[[#This Row],[ Profit ]]/New_Finance_Data[[#This Row],[  Sales ]]</f>
        <v>0.17460317460317459</v>
      </c>
      <c r="R462" t="str">
        <f>IF(New_Finance_Data[[#This Row],[  Sales ]]&gt;=100000,"High",IF(New_Finance_Data[[#This Row],[  Sales ]]&gt;=50000,"Medium","Low"))</f>
        <v>High</v>
      </c>
      <c r="S462" t="str">
        <f>IF(OR(ISBLANK(New_Finance_Data[[#This Row],[  Sales ]]),ISBLANK(New_Finance_Data[[#This Row],[ Profit ]])),"Missing","OK")</f>
        <v>OK</v>
      </c>
      <c r="T462" t="str">
        <f>TEXT(New_Finance_Data[[#This Row],[Date]],"MMM-YYYY")</f>
        <v>May-2014</v>
      </c>
      <c r="U462" t="str">
        <f>IF(New_Finance_Data[[#This Row],[ Profit ]]&gt;0,"Profit","Loss")</f>
        <v>Profit</v>
      </c>
      <c r="V462" t="str">
        <f>IF(New_Finance_Data[[#This Row],[  Sales ]]&gt;=50000,"High Sales","Low Sales")</f>
        <v>High Sales</v>
      </c>
      <c r="W462" t="b">
        <f>ISNUMBER(New_Finance_Data[[#This Row],[Date]])</f>
        <v>1</v>
      </c>
    </row>
    <row r="463" spans="1:23" x14ac:dyDescent="0.2">
      <c r="A463" t="s">
        <v>29</v>
      </c>
      <c r="B463" t="s">
        <v>35</v>
      </c>
      <c r="C463" t="s">
        <v>26</v>
      </c>
      <c r="D463" t="s">
        <v>46</v>
      </c>
      <c r="E463" s="27">
        <v>1804</v>
      </c>
      <c r="F463" s="27">
        <v>5</v>
      </c>
      <c r="G463" s="27">
        <v>125</v>
      </c>
      <c r="H463" s="27">
        <v>225500</v>
      </c>
      <c r="I463" s="5">
        <v>22550</v>
      </c>
      <c r="J463" s="27">
        <v>202950</v>
      </c>
      <c r="K463" s="27">
        <v>216480</v>
      </c>
      <c r="L463" s="5">
        <v>-13530</v>
      </c>
      <c r="M463" s="28">
        <v>41579</v>
      </c>
      <c r="N463" s="3">
        <v>11</v>
      </c>
      <c r="O463" s="29" t="s">
        <v>38</v>
      </c>
      <c r="P463" s="3">
        <v>2013</v>
      </c>
      <c r="Q463" s="6">
        <f>New_Finance_Data[[#This Row],[ Profit ]]/New_Finance_Data[[#This Row],[  Sales ]]</f>
        <v>-6.6666666666666666E-2</v>
      </c>
      <c r="R463" t="str">
        <f>IF(New_Finance_Data[[#This Row],[  Sales ]]&gt;=100000,"High",IF(New_Finance_Data[[#This Row],[  Sales ]]&gt;=50000,"Medium","Low"))</f>
        <v>High</v>
      </c>
      <c r="S463" t="str">
        <f>IF(OR(ISBLANK(New_Finance_Data[[#This Row],[  Sales ]]),ISBLANK(New_Finance_Data[[#This Row],[ Profit ]])),"Missing","OK")</f>
        <v>OK</v>
      </c>
      <c r="T463" t="str">
        <f>TEXT(New_Finance_Data[[#This Row],[Date]],"MMM-YYYY")</f>
        <v>Nov-2013</v>
      </c>
      <c r="U463" t="str">
        <f>IF(New_Finance_Data[[#This Row],[ Profit ]]&gt;0,"Profit","Loss")</f>
        <v>Loss</v>
      </c>
      <c r="V463" t="str">
        <f>IF(New_Finance_Data[[#This Row],[  Sales ]]&gt;=50000,"High Sales","Low Sales")</f>
        <v>High Sales</v>
      </c>
      <c r="W463" t="b">
        <f>ISNUMBER(New_Finance_Data[[#This Row],[Date]])</f>
        <v>1</v>
      </c>
    </row>
    <row r="464" spans="1:23" x14ac:dyDescent="0.2">
      <c r="A464" t="s">
        <v>21</v>
      </c>
      <c r="B464" t="s">
        <v>22</v>
      </c>
      <c r="C464" t="s">
        <v>26</v>
      </c>
      <c r="D464" t="s">
        <v>46</v>
      </c>
      <c r="E464" s="27">
        <v>2072</v>
      </c>
      <c r="F464" s="27">
        <v>5</v>
      </c>
      <c r="G464" s="27">
        <v>15</v>
      </c>
      <c r="H464" s="27">
        <v>31080</v>
      </c>
      <c r="I464" s="5">
        <v>3108</v>
      </c>
      <c r="J464" s="27">
        <v>27972</v>
      </c>
      <c r="K464" s="27">
        <v>20720</v>
      </c>
      <c r="L464" s="5">
        <v>7252</v>
      </c>
      <c r="M464" s="28">
        <v>41974</v>
      </c>
      <c r="N464" s="3">
        <v>12</v>
      </c>
      <c r="O464" s="29" t="s">
        <v>25</v>
      </c>
      <c r="P464" s="3">
        <v>2014</v>
      </c>
      <c r="Q464" s="6">
        <f>New_Finance_Data[[#This Row],[ Profit ]]/New_Finance_Data[[#This Row],[  Sales ]]</f>
        <v>0.25925925925925924</v>
      </c>
      <c r="R464" t="str">
        <f>IF(New_Finance_Data[[#This Row],[  Sales ]]&gt;=100000,"High",IF(New_Finance_Data[[#This Row],[  Sales ]]&gt;=50000,"Medium","Low"))</f>
        <v>Low</v>
      </c>
      <c r="S464" t="str">
        <f>IF(OR(ISBLANK(New_Finance_Data[[#This Row],[  Sales ]]),ISBLANK(New_Finance_Data[[#This Row],[ Profit ]])),"Missing","OK")</f>
        <v>OK</v>
      </c>
      <c r="T464" t="str">
        <f>TEXT(New_Finance_Data[[#This Row],[Date]],"MMM-YYYY")</f>
        <v>Dec-2014</v>
      </c>
      <c r="U464" t="str">
        <f>IF(New_Finance_Data[[#This Row],[ Profit ]]&gt;0,"Profit","Loss")</f>
        <v>Profit</v>
      </c>
      <c r="V464" t="str">
        <f>IF(New_Finance_Data[[#This Row],[  Sales ]]&gt;=50000,"High Sales","Low Sales")</f>
        <v>Low Sales</v>
      </c>
      <c r="W464" t="b">
        <f>ISNUMBER(New_Finance_Data[[#This Row],[Date]])</f>
        <v>1</v>
      </c>
    </row>
    <row r="465" spans="1:23" x14ac:dyDescent="0.2">
      <c r="A465" t="s">
        <v>15</v>
      </c>
      <c r="B465" t="s">
        <v>22</v>
      </c>
      <c r="C465" t="s">
        <v>36</v>
      </c>
      <c r="D465" t="s">
        <v>46</v>
      </c>
      <c r="E465" s="27">
        <v>1954</v>
      </c>
      <c r="F465" s="27">
        <v>10</v>
      </c>
      <c r="G465" s="27">
        <v>20</v>
      </c>
      <c r="H465" s="27">
        <v>39080</v>
      </c>
      <c r="I465" s="5">
        <v>3908</v>
      </c>
      <c r="J465" s="27">
        <v>35172</v>
      </c>
      <c r="K465" s="27">
        <v>19540</v>
      </c>
      <c r="L465" s="5">
        <v>15632</v>
      </c>
      <c r="M465" s="28">
        <v>41699</v>
      </c>
      <c r="N465" s="3">
        <v>3</v>
      </c>
      <c r="O465" s="29" t="s">
        <v>27</v>
      </c>
      <c r="P465" s="3">
        <v>2014</v>
      </c>
      <c r="Q465" s="6">
        <f>New_Finance_Data[[#This Row],[ Profit ]]/New_Finance_Data[[#This Row],[  Sales ]]</f>
        <v>0.44444444444444442</v>
      </c>
      <c r="R465" t="str">
        <f>IF(New_Finance_Data[[#This Row],[  Sales ]]&gt;=100000,"High",IF(New_Finance_Data[[#This Row],[  Sales ]]&gt;=50000,"Medium","Low"))</f>
        <v>Low</v>
      </c>
      <c r="S465" t="str">
        <f>IF(OR(ISBLANK(New_Finance_Data[[#This Row],[  Sales ]]),ISBLANK(New_Finance_Data[[#This Row],[ Profit ]])),"Missing","OK")</f>
        <v>OK</v>
      </c>
      <c r="T465" t="str">
        <f>TEXT(New_Finance_Data[[#This Row],[Date]],"MMM-YYYY")</f>
        <v>Mar-2014</v>
      </c>
      <c r="U465" t="str">
        <f>IF(New_Finance_Data[[#This Row],[ Profit ]]&gt;0,"Profit","Loss")</f>
        <v>Profit</v>
      </c>
      <c r="V465" t="str">
        <f>IF(New_Finance_Data[[#This Row],[  Sales ]]&gt;=50000,"High Sales","Low Sales")</f>
        <v>Low Sales</v>
      </c>
      <c r="W465" t="b">
        <f>ISNUMBER(New_Finance_Data[[#This Row],[Date]])</f>
        <v>1</v>
      </c>
    </row>
    <row r="466" spans="1:23" x14ac:dyDescent="0.2">
      <c r="A466" t="s">
        <v>31</v>
      </c>
      <c r="B466" t="s">
        <v>24</v>
      </c>
      <c r="C466" t="s">
        <v>36</v>
      </c>
      <c r="D466" t="s">
        <v>46</v>
      </c>
      <c r="E466" s="27">
        <v>591</v>
      </c>
      <c r="F466" s="27">
        <v>10</v>
      </c>
      <c r="G466" s="27">
        <v>300</v>
      </c>
      <c r="H466" s="27">
        <v>177300</v>
      </c>
      <c r="I466" s="5">
        <v>17730</v>
      </c>
      <c r="J466" s="27">
        <v>159570</v>
      </c>
      <c r="K466" s="27">
        <v>147750</v>
      </c>
      <c r="L466" s="5">
        <v>11820</v>
      </c>
      <c r="M466" s="28">
        <v>41760</v>
      </c>
      <c r="N466" s="3">
        <v>5</v>
      </c>
      <c r="O466" s="29" t="s">
        <v>44</v>
      </c>
      <c r="P466" s="3">
        <v>2014</v>
      </c>
      <c r="Q466" s="6">
        <f>New_Finance_Data[[#This Row],[ Profit ]]/New_Finance_Data[[#This Row],[  Sales ]]</f>
        <v>7.407407407407407E-2</v>
      </c>
      <c r="R466" t="str">
        <f>IF(New_Finance_Data[[#This Row],[  Sales ]]&gt;=100000,"High",IF(New_Finance_Data[[#This Row],[  Sales ]]&gt;=50000,"Medium","Low"))</f>
        <v>High</v>
      </c>
      <c r="S466" t="str">
        <f>IF(OR(ISBLANK(New_Finance_Data[[#This Row],[  Sales ]]),ISBLANK(New_Finance_Data[[#This Row],[ Profit ]])),"Missing","OK")</f>
        <v>OK</v>
      </c>
      <c r="T466" t="str">
        <f>TEXT(New_Finance_Data[[#This Row],[Date]],"MMM-YYYY")</f>
        <v>May-2014</v>
      </c>
      <c r="U466" t="str">
        <f>IF(New_Finance_Data[[#This Row],[ Profit ]]&gt;0,"Profit","Loss")</f>
        <v>Profit</v>
      </c>
      <c r="V466" t="str">
        <f>IF(New_Finance_Data[[#This Row],[  Sales ]]&gt;=50000,"High Sales","Low Sales")</f>
        <v>High Sales</v>
      </c>
      <c r="W466" t="b">
        <f>ISNUMBER(New_Finance_Data[[#This Row],[Date]])</f>
        <v>1</v>
      </c>
    </row>
    <row r="467" spans="1:23" x14ac:dyDescent="0.2">
      <c r="A467" t="s">
        <v>21</v>
      </c>
      <c r="B467" t="s">
        <v>22</v>
      </c>
      <c r="C467" t="s">
        <v>36</v>
      </c>
      <c r="D467" t="s">
        <v>46</v>
      </c>
      <c r="E467" s="27">
        <v>2167</v>
      </c>
      <c r="F467" s="27">
        <v>10</v>
      </c>
      <c r="G467" s="27">
        <v>15</v>
      </c>
      <c r="H467" s="27">
        <v>32505</v>
      </c>
      <c r="I467" s="5">
        <v>3250.5</v>
      </c>
      <c r="J467" s="27">
        <v>29254.5</v>
      </c>
      <c r="K467" s="27">
        <v>21670</v>
      </c>
      <c r="L467" s="5">
        <v>7584.5</v>
      </c>
      <c r="M467" s="28">
        <v>41548</v>
      </c>
      <c r="N467" s="3">
        <v>10</v>
      </c>
      <c r="O467" s="29" t="s">
        <v>34</v>
      </c>
      <c r="P467" s="3">
        <v>2013</v>
      </c>
      <c r="Q467" s="6">
        <f>New_Finance_Data[[#This Row],[ Profit ]]/New_Finance_Data[[#This Row],[  Sales ]]</f>
        <v>0.25925925925925924</v>
      </c>
      <c r="R467" t="str">
        <f>IF(New_Finance_Data[[#This Row],[  Sales ]]&gt;=100000,"High",IF(New_Finance_Data[[#This Row],[  Sales ]]&gt;=50000,"Medium","Low"))</f>
        <v>Low</v>
      </c>
      <c r="S467" t="str">
        <f>IF(OR(ISBLANK(New_Finance_Data[[#This Row],[  Sales ]]),ISBLANK(New_Finance_Data[[#This Row],[ Profit ]])),"Missing","OK")</f>
        <v>OK</v>
      </c>
      <c r="T467" t="str">
        <f>TEXT(New_Finance_Data[[#This Row],[Date]],"MMM-YYYY")</f>
        <v>Oct-2013</v>
      </c>
      <c r="U467" t="str">
        <f>IF(New_Finance_Data[[#This Row],[ Profit ]]&gt;0,"Profit","Loss")</f>
        <v>Profit</v>
      </c>
      <c r="V467" t="str">
        <f>IF(New_Finance_Data[[#This Row],[  Sales ]]&gt;=50000,"High Sales","Low Sales")</f>
        <v>Low Sales</v>
      </c>
      <c r="W467" t="b">
        <f>ISNUMBER(New_Finance_Data[[#This Row],[Date]])</f>
        <v>1</v>
      </c>
    </row>
    <row r="468" spans="1:23" x14ac:dyDescent="0.2">
      <c r="A468" t="s">
        <v>15</v>
      </c>
      <c r="B468" t="s">
        <v>20</v>
      </c>
      <c r="C468" t="s">
        <v>36</v>
      </c>
      <c r="D468" t="s">
        <v>46</v>
      </c>
      <c r="E468" s="27">
        <v>241</v>
      </c>
      <c r="F468" s="27">
        <v>10</v>
      </c>
      <c r="G468" s="27">
        <v>20</v>
      </c>
      <c r="H468" s="27">
        <v>4820</v>
      </c>
      <c r="I468" s="5">
        <v>482</v>
      </c>
      <c r="J468" s="27">
        <v>4338</v>
      </c>
      <c r="K468" s="27">
        <v>2410</v>
      </c>
      <c r="L468" s="5">
        <v>1928</v>
      </c>
      <c r="M468" s="28">
        <v>41913</v>
      </c>
      <c r="N468" s="3">
        <v>10</v>
      </c>
      <c r="O468" s="29" t="s">
        <v>34</v>
      </c>
      <c r="P468" s="3">
        <v>2014</v>
      </c>
      <c r="Q468" s="6">
        <f>New_Finance_Data[[#This Row],[ Profit ]]/New_Finance_Data[[#This Row],[  Sales ]]</f>
        <v>0.44444444444444442</v>
      </c>
      <c r="R468" t="str">
        <f>IF(New_Finance_Data[[#This Row],[  Sales ]]&gt;=100000,"High",IF(New_Finance_Data[[#This Row],[  Sales ]]&gt;=50000,"Medium","Low"))</f>
        <v>Low</v>
      </c>
      <c r="S468" t="str">
        <f>IF(OR(ISBLANK(New_Finance_Data[[#This Row],[  Sales ]]),ISBLANK(New_Finance_Data[[#This Row],[ Profit ]])),"Missing","OK")</f>
        <v>OK</v>
      </c>
      <c r="T468" t="str">
        <f>TEXT(New_Finance_Data[[#This Row],[Date]],"MMM-YYYY")</f>
        <v>Oct-2014</v>
      </c>
      <c r="U468" t="str">
        <f>IF(New_Finance_Data[[#This Row],[ Profit ]]&gt;0,"Profit","Loss")</f>
        <v>Profit</v>
      </c>
      <c r="V468" t="str">
        <f>IF(New_Finance_Data[[#This Row],[  Sales ]]&gt;=50000,"High Sales","Low Sales")</f>
        <v>Low Sales</v>
      </c>
      <c r="W468" t="b">
        <f>ISNUMBER(New_Finance_Data[[#This Row],[Date]])</f>
        <v>1</v>
      </c>
    </row>
    <row r="469" spans="1:23" x14ac:dyDescent="0.2">
      <c r="A469" t="s">
        <v>21</v>
      </c>
      <c r="B469" t="s">
        <v>20</v>
      </c>
      <c r="C469" t="s">
        <v>39</v>
      </c>
      <c r="D469" t="s">
        <v>46</v>
      </c>
      <c r="E469" s="27">
        <v>681</v>
      </c>
      <c r="F469" s="27">
        <v>120</v>
      </c>
      <c r="G469" s="27">
        <v>15</v>
      </c>
      <c r="H469" s="27">
        <v>10215</v>
      </c>
      <c r="I469" s="5">
        <v>1021.5</v>
      </c>
      <c r="J469" s="27">
        <v>9193.5</v>
      </c>
      <c r="K469" s="27">
        <v>6810</v>
      </c>
      <c r="L469" s="5">
        <v>2383.5</v>
      </c>
      <c r="M469" s="28">
        <v>41640</v>
      </c>
      <c r="N469" s="3">
        <v>1</v>
      </c>
      <c r="O469" s="29" t="s">
        <v>19</v>
      </c>
      <c r="P469" s="3">
        <v>2014</v>
      </c>
      <c r="Q469" s="6">
        <f>New_Finance_Data[[#This Row],[ Profit ]]/New_Finance_Data[[#This Row],[  Sales ]]</f>
        <v>0.25925925925925924</v>
      </c>
      <c r="R469" t="str">
        <f>IF(New_Finance_Data[[#This Row],[  Sales ]]&gt;=100000,"High",IF(New_Finance_Data[[#This Row],[  Sales ]]&gt;=50000,"Medium","Low"))</f>
        <v>Low</v>
      </c>
      <c r="S469" t="str">
        <f>IF(OR(ISBLANK(New_Finance_Data[[#This Row],[  Sales ]]),ISBLANK(New_Finance_Data[[#This Row],[ Profit ]])),"Missing","OK")</f>
        <v>OK</v>
      </c>
      <c r="T469" t="str">
        <f>TEXT(New_Finance_Data[[#This Row],[Date]],"MMM-YYYY")</f>
        <v>Jan-2014</v>
      </c>
      <c r="U469" t="str">
        <f>IF(New_Finance_Data[[#This Row],[ Profit ]]&gt;0,"Profit","Loss")</f>
        <v>Profit</v>
      </c>
      <c r="V469" t="str">
        <f>IF(New_Finance_Data[[#This Row],[  Sales ]]&gt;=50000,"High Sales","Low Sales")</f>
        <v>Low Sales</v>
      </c>
      <c r="W469" t="b">
        <f>ISNUMBER(New_Finance_Data[[#This Row],[Date]])</f>
        <v>1</v>
      </c>
    </row>
    <row r="470" spans="1:23" x14ac:dyDescent="0.2">
      <c r="A470" t="s">
        <v>21</v>
      </c>
      <c r="B470" t="s">
        <v>20</v>
      </c>
      <c r="C470" t="s">
        <v>39</v>
      </c>
      <c r="D470" t="s">
        <v>46</v>
      </c>
      <c r="E470" s="27">
        <v>510</v>
      </c>
      <c r="F470" s="27">
        <v>120</v>
      </c>
      <c r="G470" s="27">
        <v>15</v>
      </c>
      <c r="H470" s="27">
        <v>7650</v>
      </c>
      <c r="I470" s="5">
        <v>765</v>
      </c>
      <c r="J470" s="27">
        <v>6885</v>
      </c>
      <c r="K470" s="27">
        <v>5100</v>
      </c>
      <c r="L470" s="5">
        <v>1785</v>
      </c>
      <c r="M470" s="28">
        <v>41730</v>
      </c>
      <c r="N470" s="3">
        <v>4</v>
      </c>
      <c r="O470" s="29" t="s">
        <v>41</v>
      </c>
      <c r="P470" s="3">
        <v>2014</v>
      </c>
      <c r="Q470" s="6">
        <f>New_Finance_Data[[#This Row],[ Profit ]]/New_Finance_Data[[#This Row],[  Sales ]]</f>
        <v>0.25925925925925924</v>
      </c>
      <c r="R470" t="str">
        <f>IF(New_Finance_Data[[#This Row],[  Sales ]]&gt;=100000,"High",IF(New_Finance_Data[[#This Row],[  Sales ]]&gt;=50000,"Medium","Low"))</f>
        <v>Low</v>
      </c>
      <c r="S470" t="str">
        <f>IF(OR(ISBLANK(New_Finance_Data[[#This Row],[  Sales ]]),ISBLANK(New_Finance_Data[[#This Row],[ Profit ]])),"Missing","OK")</f>
        <v>OK</v>
      </c>
      <c r="T470" t="str">
        <f>TEXT(New_Finance_Data[[#This Row],[Date]],"MMM-YYYY")</f>
        <v>Apr-2014</v>
      </c>
      <c r="U470" t="str">
        <f>IF(New_Finance_Data[[#This Row],[ Profit ]]&gt;0,"Profit","Loss")</f>
        <v>Profit</v>
      </c>
      <c r="V470" t="str">
        <f>IF(New_Finance_Data[[#This Row],[  Sales ]]&gt;=50000,"High Sales","Low Sales")</f>
        <v>Low Sales</v>
      </c>
      <c r="W470" t="b">
        <f>ISNUMBER(New_Finance_Data[[#This Row],[Date]])</f>
        <v>1</v>
      </c>
    </row>
    <row r="471" spans="1:23" x14ac:dyDescent="0.2">
      <c r="A471" t="s">
        <v>21</v>
      </c>
      <c r="B471" t="s">
        <v>35</v>
      </c>
      <c r="C471" t="s">
        <v>39</v>
      </c>
      <c r="D471" t="s">
        <v>46</v>
      </c>
      <c r="E471" s="27">
        <v>790</v>
      </c>
      <c r="F471" s="27">
        <v>120</v>
      </c>
      <c r="G471" s="27">
        <v>15</v>
      </c>
      <c r="H471" s="27">
        <v>11850</v>
      </c>
      <c r="I471" s="5">
        <v>1185</v>
      </c>
      <c r="J471" s="27">
        <v>10665</v>
      </c>
      <c r="K471" s="27">
        <v>7900</v>
      </c>
      <c r="L471" s="5">
        <v>2765</v>
      </c>
      <c r="M471" s="28">
        <v>41760</v>
      </c>
      <c r="N471" s="3">
        <v>5</v>
      </c>
      <c r="O471" s="29" t="s">
        <v>44</v>
      </c>
      <c r="P471" s="3">
        <v>2014</v>
      </c>
      <c r="Q471" s="6">
        <f>New_Finance_Data[[#This Row],[ Profit ]]/New_Finance_Data[[#This Row],[  Sales ]]</f>
        <v>0.25925925925925924</v>
      </c>
      <c r="R471" t="str">
        <f>IF(New_Finance_Data[[#This Row],[  Sales ]]&gt;=100000,"High",IF(New_Finance_Data[[#This Row],[  Sales ]]&gt;=50000,"Medium","Low"))</f>
        <v>Low</v>
      </c>
      <c r="S471" t="str">
        <f>IF(OR(ISBLANK(New_Finance_Data[[#This Row],[  Sales ]]),ISBLANK(New_Finance_Data[[#This Row],[ Profit ]])),"Missing","OK")</f>
        <v>OK</v>
      </c>
      <c r="T471" t="str">
        <f>TEXT(New_Finance_Data[[#This Row],[Date]],"MMM-YYYY")</f>
        <v>May-2014</v>
      </c>
      <c r="U471" t="str">
        <f>IF(New_Finance_Data[[#This Row],[ Profit ]]&gt;0,"Profit","Loss")</f>
        <v>Profit</v>
      </c>
      <c r="V471" t="str">
        <f>IF(New_Finance_Data[[#This Row],[  Sales ]]&gt;=50000,"High Sales","Low Sales")</f>
        <v>Low Sales</v>
      </c>
      <c r="W471" t="b">
        <f>ISNUMBER(New_Finance_Data[[#This Row],[Date]])</f>
        <v>1</v>
      </c>
    </row>
    <row r="472" spans="1:23" x14ac:dyDescent="0.2">
      <c r="A472" t="s">
        <v>15</v>
      </c>
      <c r="B472" t="s">
        <v>22</v>
      </c>
      <c r="C472" t="s">
        <v>39</v>
      </c>
      <c r="D472" t="s">
        <v>46</v>
      </c>
      <c r="E472" s="27">
        <v>639</v>
      </c>
      <c r="F472" s="27">
        <v>120</v>
      </c>
      <c r="G472" s="27">
        <v>350</v>
      </c>
      <c r="H472" s="27">
        <v>223650</v>
      </c>
      <c r="I472" s="5">
        <v>22365</v>
      </c>
      <c r="J472" s="27">
        <v>201285</v>
      </c>
      <c r="K472" s="27">
        <v>166140</v>
      </c>
      <c r="L472" s="5">
        <v>35145</v>
      </c>
      <c r="M472" s="28">
        <v>41821</v>
      </c>
      <c r="N472" s="3">
        <v>7</v>
      </c>
      <c r="O472" s="29" t="s">
        <v>30</v>
      </c>
      <c r="P472" s="3">
        <v>2014</v>
      </c>
      <c r="Q472" s="6">
        <f>New_Finance_Data[[#This Row],[ Profit ]]/New_Finance_Data[[#This Row],[  Sales ]]</f>
        <v>0.17460317460317459</v>
      </c>
      <c r="R472" t="str">
        <f>IF(New_Finance_Data[[#This Row],[  Sales ]]&gt;=100000,"High",IF(New_Finance_Data[[#This Row],[  Sales ]]&gt;=50000,"Medium","Low"))</f>
        <v>High</v>
      </c>
      <c r="S472" t="str">
        <f>IF(OR(ISBLANK(New_Finance_Data[[#This Row],[  Sales ]]),ISBLANK(New_Finance_Data[[#This Row],[ Profit ]])),"Missing","OK")</f>
        <v>OK</v>
      </c>
      <c r="T472" t="str">
        <f>TEXT(New_Finance_Data[[#This Row],[Date]],"MMM-YYYY")</f>
        <v>Jul-2014</v>
      </c>
      <c r="U472" t="str">
        <f>IF(New_Finance_Data[[#This Row],[ Profit ]]&gt;0,"Profit","Loss")</f>
        <v>Profit</v>
      </c>
      <c r="V472" t="str">
        <f>IF(New_Finance_Data[[#This Row],[  Sales ]]&gt;=50000,"High Sales","Low Sales")</f>
        <v>High Sales</v>
      </c>
      <c r="W472" t="b">
        <f>ISNUMBER(New_Finance_Data[[#This Row],[Date]])</f>
        <v>1</v>
      </c>
    </row>
    <row r="473" spans="1:23" x14ac:dyDescent="0.2">
      <c r="A473" t="s">
        <v>29</v>
      </c>
      <c r="B473" t="s">
        <v>35</v>
      </c>
      <c r="C473" t="s">
        <v>39</v>
      </c>
      <c r="D473" t="s">
        <v>46</v>
      </c>
      <c r="E473" s="27">
        <v>1596</v>
      </c>
      <c r="F473" s="27">
        <v>120</v>
      </c>
      <c r="G473" s="27">
        <v>125</v>
      </c>
      <c r="H473" s="27">
        <v>199500</v>
      </c>
      <c r="I473" s="5">
        <v>19950</v>
      </c>
      <c r="J473" s="27">
        <v>179550</v>
      </c>
      <c r="K473" s="27">
        <v>191520</v>
      </c>
      <c r="L473" s="5">
        <v>-11970</v>
      </c>
      <c r="M473" s="28">
        <v>41883</v>
      </c>
      <c r="N473" s="3">
        <v>9</v>
      </c>
      <c r="O473" s="29" t="s">
        <v>33</v>
      </c>
      <c r="P473" s="3">
        <v>2014</v>
      </c>
      <c r="Q473" s="6">
        <f>New_Finance_Data[[#This Row],[ Profit ]]/New_Finance_Data[[#This Row],[  Sales ]]</f>
        <v>-6.6666666666666666E-2</v>
      </c>
      <c r="R473" t="str">
        <f>IF(New_Finance_Data[[#This Row],[  Sales ]]&gt;=100000,"High",IF(New_Finance_Data[[#This Row],[  Sales ]]&gt;=50000,"Medium","Low"))</f>
        <v>High</v>
      </c>
      <c r="S473" t="str">
        <f>IF(OR(ISBLANK(New_Finance_Data[[#This Row],[  Sales ]]),ISBLANK(New_Finance_Data[[#This Row],[ Profit ]])),"Missing","OK")</f>
        <v>OK</v>
      </c>
      <c r="T473" t="str">
        <f>TEXT(New_Finance_Data[[#This Row],[Date]],"MMM-YYYY")</f>
        <v>Sep-2014</v>
      </c>
      <c r="U473" t="str">
        <f>IF(New_Finance_Data[[#This Row],[ Profit ]]&gt;0,"Profit","Loss")</f>
        <v>Loss</v>
      </c>
      <c r="V473" t="str">
        <f>IF(New_Finance_Data[[#This Row],[  Sales ]]&gt;=50000,"High Sales","Low Sales")</f>
        <v>High Sales</v>
      </c>
      <c r="W473" t="b">
        <f>ISNUMBER(New_Finance_Data[[#This Row],[Date]])</f>
        <v>1</v>
      </c>
    </row>
    <row r="474" spans="1:23" x14ac:dyDescent="0.2">
      <c r="A474" t="s">
        <v>31</v>
      </c>
      <c r="B474" t="s">
        <v>35</v>
      </c>
      <c r="C474" t="s">
        <v>39</v>
      </c>
      <c r="D474" t="s">
        <v>46</v>
      </c>
      <c r="E474" s="27">
        <v>2294</v>
      </c>
      <c r="F474" s="27">
        <v>120</v>
      </c>
      <c r="G474" s="27">
        <v>300</v>
      </c>
      <c r="H474" s="27">
        <v>688200</v>
      </c>
      <c r="I474" s="5">
        <v>68820</v>
      </c>
      <c r="J474" s="27">
        <v>619380</v>
      </c>
      <c r="K474" s="27">
        <v>573500</v>
      </c>
      <c r="L474" s="5">
        <v>45880</v>
      </c>
      <c r="M474" s="28">
        <v>41548</v>
      </c>
      <c r="N474" s="3">
        <v>10</v>
      </c>
      <c r="O474" s="29" t="s">
        <v>34</v>
      </c>
      <c r="P474" s="3">
        <v>2013</v>
      </c>
      <c r="Q474" s="6">
        <f>New_Finance_Data[[#This Row],[ Profit ]]/New_Finance_Data[[#This Row],[  Sales ]]</f>
        <v>7.407407407407407E-2</v>
      </c>
      <c r="R474" t="str">
        <f>IF(New_Finance_Data[[#This Row],[  Sales ]]&gt;=100000,"High",IF(New_Finance_Data[[#This Row],[  Sales ]]&gt;=50000,"Medium","Low"))</f>
        <v>High</v>
      </c>
      <c r="S474" t="str">
        <f>IF(OR(ISBLANK(New_Finance_Data[[#This Row],[  Sales ]]),ISBLANK(New_Finance_Data[[#This Row],[ Profit ]])),"Missing","OK")</f>
        <v>OK</v>
      </c>
      <c r="T474" t="str">
        <f>TEXT(New_Finance_Data[[#This Row],[Date]],"MMM-YYYY")</f>
        <v>Oct-2013</v>
      </c>
      <c r="U474" t="str">
        <f>IF(New_Finance_Data[[#This Row],[ Profit ]]&gt;0,"Profit","Loss")</f>
        <v>Profit</v>
      </c>
      <c r="V474" t="str">
        <f>IF(New_Finance_Data[[#This Row],[  Sales ]]&gt;=50000,"High Sales","Low Sales")</f>
        <v>High Sales</v>
      </c>
      <c r="W474" t="b">
        <f>ISNUMBER(New_Finance_Data[[#This Row],[Date]])</f>
        <v>1</v>
      </c>
    </row>
    <row r="475" spans="1:23" x14ac:dyDescent="0.2">
      <c r="A475" t="s">
        <v>15</v>
      </c>
      <c r="B475" t="s">
        <v>20</v>
      </c>
      <c r="C475" t="s">
        <v>39</v>
      </c>
      <c r="D475" t="s">
        <v>46</v>
      </c>
      <c r="E475" s="27">
        <v>241</v>
      </c>
      <c r="F475" s="27">
        <v>120</v>
      </c>
      <c r="G475" s="27">
        <v>20</v>
      </c>
      <c r="H475" s="27">
        <v>4820</v>
      </c>
      <c r="I475" s="5">
        <v>482</v>
      </c>
      <c r="J475" s="27">
        <v>4338</v>
      </c>
      <c r="K475" s="27">
        <v>2410</v>
      </c>
      <c r="L475" s="5">
        <v>1928</v>
      </c>
      <c r="M475" s="28">
        <v>41913</v>
      </c>
      <c r="N475" s="3">
        <v>10</v>
      </c>
      <c r="O475" s="29" t="s">
        <v>34</v>
      </c>
      <c r="P475" s="3">
        <v>2014</v>
      </c>
      <c r="Q475" s="6">
        <f>New_Finance_Data[[#This Row],[ Profit ]]/New_Finance_Data[[#This Row],[  Sales ]]</f>
        <v>0.44444444444444442</v>
      </c>
      <c r="R475" t="str">
        <f>IF(New_Finance_Data[[#This Row],[  Sales ]]&gt;=100000,"High",IF(New_Finance_Data[[#This Row],[  Sales ]]&gt;=50000,"Medium","Low"))</f>
        <v>Low</v>
      </c>
      <c r="S475" t="str">
        <f>IF(OR(ISBLANK(New_Finance_Data[[#This Row],[  Sales ]]),ISBLANK(New_Finance_Data[[#This Row],[ Profit ]])),"Missing","OK")</f>
        <v>OK</v>
      </c>
      <c r="T475" t="str">
        <f>TEXT(New_Finance_Data[[#This Row],[Date]],"MMM-YYYY")</f>
        <v>Oct-2014</v>
      </c>
      <c r="U475" t="str">
        <f>IF(New_Finance_Data[[#This Row],[ Profit ]]&gt;0,"Profit","Loss")</f>
        <v>Profit</v>
      </c>
      <c r="V475" t="str">
        <f>IF(New_Finance_Data[[#This Row],[  Sales ]]&gt;=50000,"High Sales","Low Sales")</f>
        <v>Low Sales</v>
      </c>
      <c r="W475" t="b">
        <f>ISNUMBER(New_Finance_Data[[#This Row],[Date]])</f>
        <v>1</v>
      </c>
    </row>
    <row r="476" spans="1:23" x14ac:dyDescent="0.2">
      <c r="A476" t="s">
        <v>15</v>
      </c>
      <c r="B476" t="s">
        <v>20</v>
      </c>
      <c r="C476" t="s">
        <v>39</v>
      </c>
      <c r="D476" t="s">
        <v>46</v>
      </c>
      <c r="E476" s="27">
        <v>2665</v>
      </c>
      <c r="F476" s="27">
        <v>120</v>
      </c>
      <c r="G476" s="27">
        <v>7</v>
      </c>
      <c r="H476" s="27">
        <v>18655</v>
      </c>
      <c r="I476" s="5">
        <v>1865.5</v>
      </c>
      <c r="J476" s="27">
        <v>16789.5</v>
      </c>
      <c r="K476" s="27">
        <v>13325</v>
      </c>
      <c r="L476" s="5">
        <v>3464.5</v>
      </c>
      <c r="M476" s="28">
        <v>41944</v>
      </c>
      <c r="N476" s="3">
        <v>11</v>
      </c>
      <c r="O476" s="29" t="s">
        <v>38</v>
      </c>
      <c r="P476" s="3">
        <v>2014</v>
      </c>
      <c r="Q476" s="6">
        <f>New_Finance_Data[[#This Row],[ Profit ]]/New_Finance_Data[[#This Row],[  Sales ]]</f>
        <v>0.20634920634920634</v>
      </c>
      <c r="R476" t="str">
        <f>IF(New_Finance_Data[[#This Row],[  Sales ]]&gt;=100000,"High",IF(New_Finance_Data[[#This Row],[  Sales ]]&gt;=50000,"Medium","Low"))</f>
        <v>Low</v>
      </c>
      <c r="S476" t="str">
        <f>IF(OR(ISBLANK(New_Finance_Data[[#This Row],[  Sales ]]),ISBLANK(New_Finance_Data[[#This Row],[ Profit ]])),"Missing","OK")</f>
        <v>OK</v>
      </c>
      <c r="T476" t="str">
        <f>TEXT(New_Finance_Data[[#This Row],[Date]],"MMM-YYYY")</f>
        <v>Nov-2014</v>
      </c>
      <c r="U476" t="str">
        <f>IF(New_Finance_Data[[#This Row],[ Profit ]]&gt;0,"Profit","Loss")</f>
        <v>Profit</v>
      </c>
      <c r="V476" t="str">
        <f>IF(New_Finance_Data[[#This Row],[  Sales ]]&gt;=50000,"High Sales","Low Sales")</f>
        <v>Low Sales</v>
      </c>
      <c r="W476" t="b">
        <f>ISNUMBER(New_Finance_Data[[#This Row],[Date]])</f>
        <v>1</v>
      </c>
    </row>
    <row r="477" spans="1:23" x14ac:dyDescent="0.2">
      <c r="A477" t="s">
        <v>29</v>
      </c>
      <c r="B477" t="s">
        <v>16</v>
      </c>
      <c r="C477" t="s">
        <v>39</v>
      </c>
      <c r="D477" t="s">
        <v>46</v>
      </c>
      <c r="E477" s="27">
        <v>1916</v>
      </c>
      <c r="F477" s="27">
        <v>120</v>
      </c>
      <c r="G477" s="27">
        <v>125</v>
      </c>
      <c r="H477" s="27">
        <v>239500</v>
      </c>
      <c r="I477" s="5">
        <v>23950</v>
      </c>
      <c r="J477" s="27">
        <v>215550</v>
      </c>
      <c r="K477" s="27">
        <v>229920</v>
      </c>
      <c r="L477" s="5">
        <v>-14370</v>
      </c>
      <c r="M477" s="28">
        <v>41609</v>
      </c>
      <c r="N477" s="3">
        <v>12</v>
      </c>
      <c r="O477" s="29" t="s">
        <v>25</v>
      </c>
      <c r="P477" s="3">
        <v>2013</v>
      </c>
      <c r="Q477" s="6">
        <f>New_Finance_Data[[#This Row],[ Profit ]]/New_Finance_Data[[#This Row],[  Sales ]]</f>
        <v>-6.6666666666666666E-2</v>
      </c>
      <c r="R477" t="str">
        <f>IF(New_Finance_Data[[#This Row],[  Sales ]]&gt;=100000,"High",IF(New_Finance_Data[[#This Row],[  Sales ]]&gt;=50000,"Medium","Low"))</f>
        <v>High</v>
      </c>
      <c r="S477" t="str">
        <f>IF(OR(ISBLANK(New_Finance_Data[[#This Row],[  Sales ]]),ISBLANK(New_Finance_Data[[#This Row],[ Profit ]])),"Missing","OK")</f>
        <v>OK</v>
      </c>
      <c r="T477" t="str">
        <f>TEXT(New_Finance_Data[[#This Row],[Date]],"MMM-YYYY")</f>
        <v>Dec-2013</v>
      </c>
      <c r="U477" t="str">
        <f>IF(New_Finance_Data[[#This Row],[ Profit ]]&gt;0,"Profit","Loss")</f>
        <v>Loss</v>
      </c>
      <c r="V477" t="str">
        <f>IF(New_Finance_Data[[#This Row],[  Sales ]]&gt;=50000,"High Sales","Low Sales")</f>
        <v>High Sales</v>
      </c>
      <c r="W477" t="b">
        <f>ISNUMBER(New_Finance_Data[[#This Row],[Date]])</f>
        <v>1</v>
      </c>
    </row>
    <row r="478" spans="1:23" x14ac:dyDescent="0.2">
      <c r="A478" t="s">
        <v>31</v>
      </c>
      <c r="B478" t="s">
        <v>22</v>
      </c>
      <c r="C478" t="s">
        <v>39</v>
      </c>
      <c r="D478" t="s">
        <v>46</v>
      </c>
      <c r="E478" s="27">
        <v>853</v>
      </c>
      <c r="F478" s="27">
        <v>120</v>
      </c>
      <c r="G478" s="27">
        <v>300</v>
      </c>
      <c r="H478" s="27">
        <v>255900</v>
      </c>
      <c r="I478" s="5">
        <v>25590</v>
      </c>
      <c r="J478" s="27">
        <v>230310</v>
      </c>
      <c r="K478" s="27">
        <v>213250</v>
      </c>
      <c r="L478" s="5">
        <v>17060</v>
      </c>
      <c r="M478" s="28">
        <v>41974</v>
      </c>
      <c r="N478" s="3">
        <v>12</v>
      </c>
      <c r="O478" s="29" t="s">
        <v>25</v>
      </c>
      <c r="P478" s="3">
        <v>2014</v>
      </c>
      <c r="Q478" s="6">
        <f>New_Finance_Data[[#This Row],[ Profit ]]/New_Finance_Data[[#This Row],[  Sales ]]</f>
        <v>7.407407407407407E-2</v>
      </c>
      <c r="R478" t="str">
        <f>IF(New_Finance_Data[[#This Row],[  Sales ]]&gt;=100000,"High",IF(New_Finance_Data[[#This Row],[  Sales ]]&gt;=50000,"Medium","Low"))</f>
        <v>High</v>
      </c>
      <c r="S478" t="str">
        <f>IF(OR(ISBLANK(New_Finance_Data[[#This Row],[  Sales ]]),ISBLANK(New_Finance_Data[[#This Row],[ Profit ]])),"Missing","OK")</f>
        <v>OK</v>
      </c>
      <c r="T478" t="str">
        <f>TEXT(New_Finance_Data[[#This Row],[Date]],"MMM-YYYY")</f>
        <v>Dec-2014</v>
      </c>
      <c r="U478" t="str">
        <f>IF(New_Finance_Data[[#This Row],[ Profit ]]&gt;0,"Profit","Loss")</f>
        <v>Profit</v>
      </c>
      <c r="V478" t="str">
        <f>IF(New_Finance_Data[[#This Row],[  Sales ]]&gt;=50000,"High Sales","Low Sales")</f>
        <v>High Sales</v>
      </c>
      <c r="W478" t="b">
        <f>ISNUMBER(New_Finance_Data[[#This Row],[Date]])</f>
        <v>1</v>
      </c>
    </row>
    <row r="479" spans="1:23" x14ac:dyDescent="0.2">
      <c r="A479" t="s">
        <v>29</v>
      </c>
      <c r="B479" t="s">
        <v>24</v>
      </c>
      <c r="C479" t="s">
        <v>40</v>
      </c>
      <c r="D479" t="s">
        <v>46</v>
      </c>
      <c r="E479" s="27">
        <v>341</v>
      </c>
      <c r="F479" s="27">
        <v>250</v>
      </c>
      <c r="G479" s="27">
        <v>125</v>
      </c>
      <c r="H479" s="27">
        <v>42625</v>
      </c>
      <c r="I479" s="5">
        <v>4262.5</v>
      </c>
      <c r="J479" s="27">
        <v>38362.5</v>
      </c>
      <c r="K479" s="27">
        <v>40920</v>
      </c>
      <c r="L479" s="5">
        <v>-2557.5</v>
      </c>
      <c r="M479" s="28">
        <v>41760</v>
      </c>
      <c r="N479" s="3">
        <v>5</v>
      </c>
      <c r="O479" s="29" t="s">
        <v>44</v>
      </c>
      <c r="P479" s="3">
        <v>2014</v>
      </c>
      <c r="Q479" s="6">
        <f>New_Finance_Data[[#This Row],[ Profit ]]/New_Finance_Data[[#This Row],[  Sales ]]</f>
        <v>-6.6666666666666666E-2</v>
      </c>
      <c r="R479" t="str">
        <f>IF(New_Finance_Data[[#This Row],[  Sales ]]&gt;=100000,"High",IF(New_Finance_Data[[#This Row],[  Sales ]]&gt;=50000,"Medium","Low"))</f>
        <v>Low</v>
      </c>
      <c r="S479" t="str">
        <f>IF(OR(ISBLANK(New_Finance_Data[[#This Row],[  Sales ]]),ISBLANK(New_Finance_Data[[#This Row],[ Profit ]])),"Missing","OK")</f>
        <v>OK</v>
      </c>
      <c r="T479" t="str">
        <f>TEXT(New_Finance_Data[[#This Row],[Date]],"MMM-YYYY")</f>
        <v>May-2014</v>
      </c>
      <c r="U479" t="str">
        <f>IF(New_Finance_Data[[#This Row],[ Profit ]]&gt;0,"Profit","Loss")</f>
        <v>Loss</v>
      </c>
      <c r="V479" t="str">
        <f>IF(New_Finance_Data[[#This Row],[  Sales ]]&gt;=50000,"High Sales","Low Sales")</f>
        <v>Low Sales</v>
      </c>
      <c r="W479" t="b">
        <f>ISNUMBER(New_Finance_Data[[#This Row],[Date]])</f>
        <v>1</v>
      </c>
    </row>
    <row r="480" spans="1:23" x14ac:dyDescent="0.2">
      <c r="A480" t="s">
        <v>21</v>
      </c>
      <c r="B480" t="s">
        <v>24</v>
      </c>
      <c r="C480" t="s">
        <v>40</v>
      </c>
      <c r="D480" t="s">
        <v>46</v>
      </c>
      <c r="E480" s="27">
        <v>641</v>
      </c>
      <c r="F480" s="27">
        <v>250</v>
      </c>
      <c r="G480" s="27">
        <v>15</v>
      </c>
      <c r="H480" s="27">
        <v>9615</v>
      </c>
      <c r="I480" s="5">
        <v>961.5</v>
      </c>
      <c r="J480" s="27">
        <v>8653.5</v>
      </c>
      <c r="K480" s="27">
        <v>6410</v>
      </c>
      <c r="L480" s="5">
        <v>2243.5</v>
      </c>
      <c r="M480" s="28">
        <v>41821</v>
      </c>
      <c r="N480" s="3">
        <v>7</v>
      </c>
      <c r="O480" s="29" t="s">
        <v>30</v>
      </c>
      <c r="P480" s="3">
        <v>2014</v>
      </c>
      <c r="Q480" s="6">
        <f>New_Finance_Data[[#This Row],[ Profit ]]/New_Finance_Data[[#This Row],[  Sales ]]</f>
        <v>0.25925925925925924</v>
      </c>
      <c r="R480" t="str">
        <f>IF(New_Finance_Data[[#This Row],[  Sales ]]&gt;=100000,"High",IF(New_Finance_Data[[#This Row],[  Sales ]]&gt;=50000,"Medium","Low"))</f>
        <v>Low</v>
      </c>
      <c r="S480" t="str">
        <f>IF(OR(ISBLANK(New_Finance_Data[[#This Row],[  Sales ]]),ISBLANK(New_Finance_Data[[#This Row],[ Profit ]])),"Missing","OK")</f>
        <v>OK</v>
      </c>
      <c r="T480" t="str">
        <f>TEXT(New_Finance_Data[[#This Row],[Date]],"MMM-YYYY")</f>
        <v>Jul-2014</v>
      </c>
      <c r="U480" t="str">
        <f>IF(New_Finance_Data[[#This Row],[ Profit ]]&gt;0,"Profit","Loss")</f>
        <v>Profit</v>
      </c>
      <c r="V480" t="str">
        <f>IF(New_Finance_Data[[#This Row],[  Sales ]]&gt;=50000,"High Sales","Low Sales")</f>
        <v>Low Sales</v>
      </c>
      <c r="W480" t="b">
        <f>ISNUMBER(New_Finance_Data[[#This Row],[Date]])</f>
        <v>1</v>
      </c>
    </row>
    <row r="481" spans="1:23" x14ac:dyDescent="0.2">
      <c r="A481" t="s">
        <v>15</v>
      </c>
      <c r="B481" t="s">
        <v>35</v>
      </c>
      <c r="C481" t="s">
        <v>40</v>
      </c>
      <c r="D481" t="s">
        <v>46</v>
      </c>
      <c r="E481" s="27">
        <v>2807</v>
      </c>
      <c r="F481" s="27">
        <v>250</v>
      </c>
      <c r="G481" s="27">
        <v>350</v>
      </c>
      <c r="H481" s="27">
        <v>982450</v>
      </c>
      <c r="I481" s="5">
        <v>98245</v>
      </c>
      <c r="J481" s="27">
        <v>884205</v>
      </c>
      <c r="K481" s="27">
        <v>729820</v>
      </c>
      <c r="L481" s="5">
        <v>154385</v>
      </c>
      <c r="M481" s="28">
        <v>41852</v>
      </c>
      <c r="N481" s="3">
        <v>8</v>
      </c>
      <c r="O481" s="29" t="s">
        <v>32</v>
      </c>
      <c r="P481" s="3">
        <v>2014</v>
      </c>
      <c r="Q481" s="6">
        <f>New_Finance_Data[[#This Row],[ Profit ]]/New_Finance_Data[[#This Row],[  Sales ]]</f>
        <v>0.17460317460317459</v>
      </c>
      <c r="R481" t="str">
        <f>IF(New_Finance_Data[[#This Row],[  Sales ]]&gt;=100000,"High",IF(New_Finance_Data[[#This Row],[  Sales ]]&gt;=50000,"Medium","Low"))</f>
        <v>High</v>
      </c>
      <c r="S481" t="str">
        <f>IF(OR(ISBLANK(New_Finance_Data[[#This Row],[  Sales ]]),ISBLANK(New_Finance_Data[[#This Row],[ Profit ]])),"Missing","OK")</f>
        <v>OK</v>
      </c>
      <c r="T481" t="str">
        <f>TEXT(New_Finance_Data[[#This Row],[Date]],"MMM-YYYY")</f>
        <v>Aug-2014</v>
      </c>
      <c r="U481" t="str">
        <f>IF(New_Finance_Data[[#This Row],[ Profit ]]&gt;0,"Profit","Loss")</f>
        <v>Profit</v>
      </c>
      <c r="V481" t="str">
        <f>IF(New_Finance_Data[[#This Row],[  Sales ]]&gt;=50000,"High Sales","Low Sales")</f>
        <v>High Sales</v>
      </c>
      <c r="W481" t="b">
        <f>ISNUMBER(New_Finance_Data[[#This Row],[Date]])</f>
        <v>1</v>
      </c>
    </row>
    <row r="482" spans="1:23" x14ac:dyDescent="0.2">
      <c r="A482" t="s">
        <v>31</v>
      </c>
      <c r="B482" t="s">
        <v>24</v>
      </c>
      <c r="C482" t="s">
        <v>40</v>
      </c>
      <c r="D482" t="s">
        <v>46</v>
      </c>
      <c r="E482" s="27">
        <v>432</v>
      </c>
      <c r="F482" s="27">
        <v>250</v>
      </c>
      <c r="G482" s="27">
        <v>300</v>
      </c>
      <c r="H482" s="27">
        <v>129600</v>
      </c>
      <c r="I482" s="5">
        <v>12960</v>
      </c>
      <c r="J482" s="27">
        <v>116640</v>
      </c>
      <c r="K482" s="27">
        <v>108000</v>
      </c>
      <c r="L482" s="5">
        <v>8640</v>
      </c>
      <c r="M482" s="28">
        <v>41883</v>
      </c>
      <c r="N482" s="3">
        <v>9</v>
      </c>
      <c r="O482" s="29" t="s">
        <v>33</v>
      </c>
      <c r="P482" s="3">
        <v>2014</v>
      </c>
      <c r="Q482" s="6">
        <f>New_Finance_Data[[#This Row],[ Profit ]]/New_Finance_Data[[#This Row],[  Sales ]]</f>
        <v>7.407407407407407E-2</v>
      </c>
      <c r="R482" t="str">
        <f>IF(New_Finance_Data[[#This Row],[  Sales ]]&gt;=100000,"High",IF(New_Finance_Data[[#This Row],[  Sales ]]&gt;=50000,"Medium","Low"))</f>
        <v>High</v>
      </c>
      <c r="S482" t="str">
        <f>IF(OR(ISBLANK(New_Finance_Data[[#This Row],[  Sales ]]),ISBLANK(New_Finance_Data[[#This Row],[ Profit ]])),"Missing","OK")</f>
        <v>OK</v>
      </c>
      <c r="T482" t="str">
        <f>TEXT(New_Finance_Data[[#This Row],[Date]],"MMM-YYYY")</f>
        <v>Sep-2014</v>
      </c>
      <c r="U482" t="str">
        <f>IF(New_Finance_Data[[#This Row],[ Profit ]]&gt;0,"Profit","Loss")</f>
        <v>Profit</v>
      </c>
      <c r="V482" t="str">
        <f>IF(New_Finance_Data[[#This Row],[  Sales ]]&gt;=50000,"High Sales","Low Sales")</f>
        <v>High Sales</v>
      </c>
      <c r="W482" t="b">
        <f>ISNUMBER(New_Finance_Data[[#This Row],[Date]])</f>
        <v>1</v>
      </c>
    </row>
    <row r="483" spans="1:23" x14ac:dyDescent="0.2">
      <c r="A483" t="s">
        <v>31</v>
      </c>
      <c r="B483" t="s">
        <v>35</v>
      </c>
      <c r="C483" t="s">
        <v>40</v>
      </c>
      <c r="D483" t="s">
        <v>46</v>
      </c>
      <c r="E483" s="27">
        <v>2294</v>
      </c>
      <c r="F483" s="27">
        <v>250</v>
      </c>
      <c r="G483" s="27">
        <v>300</v>
      </c>
      <c r="H483" s="27">
        <v>688200</v>
      </c>
      <c r="I483" s="5">
        <v>68820</v>
      </c>
      <c r="J483" s="27">
        <v>619380</v>
      </c>
      <c r="K483" s="27">
        <v>573500</v>
      </c>
      <c r="L483" s="5">
        <v>45880</v>
      </c>
      <c r="M483" s="28">
        <v>41548</v>
      </c>
      <c r="N483" s="3">
        <v>10</v>
      </c>
      <c r="O483" s="29" t="s">
        <v>34</v>
      </c>
      <c r="P483" s="3">
        <v>2013</v>
      </c>
      <c r="Q483" s="6">
        <f>New_Finance_Data[[#This Row],[ Profit ]]/New_Finance_Data[[#This Row],[  Sales ]]</f>
        <v>7.407407407407407E-2</v>
      </c>
      <c r="R483" t="str">
        <f>IF(New_Finance_Data[[#This Row],[  Sales ]]&gt;=100000,"High",IF(New_Finance_Data[[#This Row],[  Sales ]]&gt;=50000,"Medium","Low"))</f>
        <v>High</v>
      </c>
      <c r="S483" t="str">
        <f>IF(OR(ISBLANK(New_Finance_Data[[#This Row],[  Sales ]]),ISBLANK(New_Finance_Data[[#This Row],[ Profit ]])),"Missing","OK")</f>
        <v>OK</v>
      </c>
      <c r="T483" t="str">
        <f>TEXT(New_Finance_Data[[#This Row],[Date]],"MMM-YYYY")</f>
        <v>Oct-2013</v>
      </c>
      <c r="U483" t="str">
        <f>IF(New_Finance_Data[[#This Row],[ Profit ]]&gt;0,"Profit","Loss")</f>
        <v>Profit</v>
      </c>
      <c r="V483" t="str">
        <f>IF(New_Finance_Data[[#This Row],[  Sales ]]&gt;=50000,"High Sales","Low Sales")</f>
        <v>High Sales</v>
      </c>
      <c r="W483" t="b">
        <f>ISNUMBER(New_Finance_Data[[#This Row],[Date]])</f>
        <v>1</v>
      </c>
    </row>
    <row r="484" spans="1:23" x14ac:dyDescent="0.2">
      <c r="A484" t="s">
        <v>21</v>
      </c>
      <c r="B484" t="s">
        <v>22</v>
      </c>
      <c r="C484" t="s">
        <v>40</v>
      </c>
      <c r="D484" t="s">
        <v>46</v>
      </c>
      <c r="E484" s="27">
        <v>2167</v>
      </c>
      <c r="F484" s="27">
        <v>250</v>
      </c>
      <c r="G484" s="27">
        <v>15</v>
      </c>
      <c r="H484" s="27">
        <v>32505</v>
      </c>
      <c r="I484" s="5">
        <v>3250.5</v>
      </c>
      <c r="J484" s="27">
        <v>29254.5</v>
      </c>
      <c r="K484" s="27">
        <v>21670</v>
      </c>
      <c r="L484" s="5">
        <v>7584.5</v>
      </c>
      <c r="M484" s="28">
        <v>41548</v>
      </c>
      <c r="N484" s="3">
        <v>10</v>
      </c>
      <c r="O484" s="29" t="s">
        <v>34</v>
      </c>
      <c r="P484" s="3">
        <v>2013</v>
      </c>
      <c r="Q484" s="6">
        <f>New_Finance_Data[[#This Row],[ Profit ]]/New_Finance_Data[[#This Row],[  Sales ]]</f>
        <v>0.25925925925925924</v>
      </c>
      <c r="R484" t="str">
        <f>IF(New_Finance_Data[[#This Row],[  Sales ]]&gt;=100000,"High",IF(New_Finance_Data[[#This Row],[  Sales ]]&gt;=50000,"Medium","Low"))</f>
        <v>Low</v>
      </c>
      <c r="S484" t="str">
        <f>IF(OR(ISBLANK(New_Finance_Data[[#This Row],[  Sales ]]),ISBLANK(New_Finance_Data[[#This Row],[ Profit ]])),"Missing","OK")</f>
        <v>OK</v>
      </c>
      <c r="T484" t="str">
        <f>TEXT(New_Finance_Data[[#This Row],[Date]],"MMM-YYYY")</f>
        <v>Oct-2013</v>
      </c>
      <c r="U484" t="str">
        <f>IF(New_Finance_Data[[#This Row],[ Profit ]]&gt;0,"Profit","Loss")</f>
        <v>Profit</v>
      </c>
      <c r="V484" t="str">
        <f>IF(New_Finance_Data[[#This Row],[  Sales ]]&gt;=50000,"High Sales","Low Sales")</f>
        <v>Low Sales</v>
      </c>
      <c r="W484" t="b">
        <f>ISNUMBER(New_Finance_Data[[#This Row],[Date]])</f>
        <v>1</v>
      </c>
    </row>
    <row r="485" spans="1:23" x14ac:dyDescent="0.2">
      <c r="A485" t="s">
        <v>29</v>
      </c>
      <c r="B485" t="s">
        <v>16</v>
      </c>
      <c r="C485" t="s">
        <v>40</v>
      </c>
      <c r="D485" t="s">
        <v>46</v>
      </c>
      <c r="E485" s="27">
        <v>2529</v>
      </c>
      <c r="F485" s="27">
        <v>250</v>
      </c>
      <c r="G485" s="27">
        <v>125</v>
      </c>
      <c r="H485" s="27">
        <v>316125</v>
      </c>
      <c r="I485" s="5">
        <v>31612.5</v>
      </c>
      <c r="J485" s="27">
        <v>284512.5</v>
      </c>
      <c r="K485" s="27">
        <v>303480</v>
      </c>
      <c r="L485" s="5">
        <v>-18967.5</v>
      </c>
      <c r="M485" s="28">
        <v>41944</v>
      </c>
      <c r="N485" s="3">
        <v>11</v>
      </c>
      <c r="O485" s="29" t="s">
        <v>38</v>
      </c>
      <c r="P485" s="3">
        <v>2014</v>
      </c>
      <c r="Q485" s="6">
        <f>New_Finance_Data[[#This Row],[ Profit ]]/New_Finance_Data[[#This Row],[  Sales ]]</f>
        <v>-6.6666666666666666E-2</v>
      </c>
      <c r="R485" t="str">
        <f>IF(New_Finance_Data[[#This Row],[  Sales ]]&gt;=100000,"High",IF(New_Finance_Data[[#This Row],[  Sales ]]&gt;=50000,"Medium","Low"))</f>
        <v>High</v>
      </c>
      <c r="S485" t="str">
        <f>IF(OR(ISBLANK(New_Finance_Data[[#This Row],[  Sales ]]),ISBLANK(New_Finance_Data[[#This Row],[ Profit ]])),"Missing","OK")</f>
        <v>OK</v>
      </c>
      <c r="T485" t="str">
        <f>TEXT(New_Finance_Data[[#This Row],[Date]],"MMM-YYYY")</f>
        <v>Nov-2014</v>
      </c>
      <c r="U485" t="str">
        <f>IF(New_Finance_Data[[#This Row],[ Profit ]]&gt;0,"Profit","Loss")</f>
        <v>Loss</v>
      </c>
      <c r="V485" t="str">
        <f>IF(New_Finance_Data[[#This Row],[  Sales ]]&gt;=50000,"High Sales","Low Sales")</f>
        <v>High Sales</v>
      </c>
      <c r="W485" t="b">
        <f>ISNUMBER(New_Finance_Data[[#This Row],[Date]])</f>
        <v>1</v>
      </c>
    </row>
    <row r="486" spans="1:23" x14ac:dyDescent="0.2">
      <c r="A486" t="s">
        <v>15</v>
      </c>
      <c r="B486" t="s">
        <v>20</v>
      </c>
      <c r="C486" t="s">
        <v>40</v>
      </c>
      <c r="D486" t="s">
        <v>46</v>
      </c>
      <c r="E486" s="27">
        <v>1870</v>
      </c>
      <c r="F486" s="27">
        <v>250</v>
      </c>
      <c r="G486" s="27">
        <v>350</v>
      </c>
      <c r="H486" s="27">
        <v>654500</v>
      </c>
      <c r="I486" s="5">
        <v>65450</v>
      </c>
      <c r="J486" s="27">
        <v>589050</v>
      </c>
      <c r="K486" s="27">
        <v>486200</v>
      </c>
      <c r="L486" s="5">
        <v>102850</v>
      </c>
      <c r="M486" s="28">
        <v>41609</v>
      </c>
      <c r="N486" s="3">
        <v>12</v>
      </c>
      <c r="O486" s="29" t="s">
        <v>25</v>
      </c>
      <c r="P486" s="3">
        <v>2013</v>
      </c>
      <c r="Q486" s="6">
        <f>New_Finance_Data[[#This Row],[ Profit ]]/New_Finance_Data[[#This Row],[  Sales ]]</f>
        <v>0.17460317460317459</v>
      </c>
      <c r="R486" t="str">
        <f>IF(New_Finance_Data[[#This Row],[  Sales ]]&gt;=100000,"High",IF(New_Finance_Data[[#This Row],[  Sales ]]&gt;=50000,"Medium","Low"))</f>
        <v>High</v>
      </c>
      <c r="S486" t="str">
        <f>IF(OR(ISBLANK(New_Finance_Data[[#This Row],[  Sales ]]),ISBLANK(New_Finance_Data[[#This Row],[ Profit ]])),"Missing","OK")</f>
        <v>OK</v>
      </c>
      <c r="T486" t="str">
        <f>TEXT(New_Finance_Data[[#This Row],[Date]],"MMM-YYYY")</f>
        <v>Dec-2013</v>
      </c>
      <c r="U486" t="str">
        <f>IF(New_Finance_Data[[#This Row],[ Profit ]]&gt;0,"Profit","Loss")</f>
        <v>Profit</v>
      </c>
      <c r="V486" t="str">
        <f>IF(New_Finance_Data[[#This Row],[  Sales ]]&gt;=50000,"High Sales","Low Sales")</f>
        <v>High Sales</v>
      </c>
      <c r="W486" t="b">
        <f>ISNUMBER(New_Finance_Data[[#This Row],[Date]])</f>
        <v>1</v>
      </c>
    </row>
    <row r="487" spans="1:23" x14ac:dyDescent="0.2">
      <c r="A487" t="s">
        <v>29</v>
      </c>
      <c r="B487" t="s">
        <v>35</v>
      </c>
      <c r="C487" t="s">
        <v>42</v>
      </c>
      <c r="D487" t="s">
        <v>46</v>
      </c>
      <c r="E487" s="27">
        <v>579</v>
      </c>
      <c r="F487" s="27">
        <v>260</v>
      </c>
      <c r="G487" s="27">
        <v>125</v>
      </c>
      <c r="H487" s="27">
        <v>72375</v>
      </c>
      <c r="I487" s="5">
        <v>7237.5</v>
      </c>
      <c r="J487" s="27">
        <v>65137.5</v>
      </c>
      <c r="K487" s="27">
        <v>69480</v>
      </c>
      <c r="L487" s="5">
        <v>-4342.5</v>
      </c>
      <c r="M487" s="28">
        <v>41640</v>
      </c>
      <c r="N487" s="3">
        <v>1</v>
      </c>
      <c r="O487" s="29" t="s">
        <v>19</v>
      </c>
      <c r="P487" s="3">
        <v>2014</v>
      </c>
      <c r="Q487" s="6">
        <f>New_Finance_Data[[#This Row],[ Profit ]]/New_Finance_Data[[#This Row],[  Sales ]]</f>
        <v>-6.6666666666666666E-2</v>
      </c>
      <c r="R487" t="str">
        <f>IF(New_Finance_Data[[#This Row],[  Sales ]]&gt;=100000,"High",IF(New_Finance_Data[[#This Row],[  Sales ]]&gt;=50000,"Medium","Low"))</f>
        <v>Medium</v>
      </c>
      <c r="S487" t="str">
        <f>IF(OR(ISBLANK(New_Finance_Data[[#This Row],[  Sales ]]),ISBLANK(New_Finance_Data[[#This Row],[ Profit ]])),"Missing","OK")</f>
        <v>OK</v>
      </c>
      <c r="T487" t="str">
        <f>TEXT(New_Finance_Data[[#This Row],[Date]],"MMM-YYYY")</f>
        <v>Jan-2014</v>
      </c>
      <c r="U487" t="str">
        <f>IF(New_Finance_Data[[#This Row],[ Profit ]]&gt;0,"Profit","Loss")</f>
        <v>Loss</v>
      </c>
      <c r="V487" t="str">
        <f>IF(New_Finance_Data[[#This Row],[  Sales ]]&gt;=50000,"High Sales","Low Sales")</f>
        <v>High Sales</v>
      </c>
      <c r="W487" t="b">
        <f>ISNUMBER(New_Finance_Data[[#This Row],[Date]])</f>
        <v>1</v>
      </c>
    </row>
    <row r="488" spans="1:23" x14ac:dyDescent="0.2">
      <c r="A488" t="s">
        <v>15</v>
      </c>
      <c r="B488" t="s">
        <v>16</v>
      </c>
      <c r="C488" t="s">
        <v>42</v>
      </c>
      <c r="D488" t="s">
        <v>46</v>
      </c>
      <c r="E488" s="27">
        <v>2240</v>
      </c>
      <c r="F488" s="27">
        <v>260</v>
      </c>
      <c r="G488" s="27">
        <v>350</v>
      </c>
      <c r="H488" s="27">
        <v>784000</v>
      </c>
      <c r="I488" s="5">
        <v>78400</v>
      </c>
      <c r="J488" s="27">
        <v>705600</v>
      </c>
      <c r="K488" s="27">
        <v>582400</v>
      </c>
      <c r="L488" s="5">
        <v>123200</v>
      </c>
      <c r="M488" s="28">
        <v>41671</v>
      </c>
      <c r="N488" s="3">
        <v>2</v>
      </c>
      <c r="O488" s="29" t="s">
        <v>37</v>
      </c>
      <c r="P488" s="3">
        <v>2014</v>
      </c>
      <c r="Q488" s="6">
        <f>New_Finance_Data[[#This Row],[ Profit ]]/New_Finance_Data[[#This Row],[  Sales ]]</f>
        <v>0.17460317460317459</v>
      </c>
      <c r="R488" t="str">
        <f>IF(New_Finance_Data[[#This Row],[  Sales ]]&gt;=100000,"High",IF(New_Finance_Data[[#This Row],[  Sales ]]&gt;=50000,"Medium","Low"))</f>
        <v>High</v>
      </c>
      <c r="S488" t="str">
        <f>IF(OR(ISBLANK(New_Finance_Data[[#This Row],[  Sales ]]),ISBLANK(New_Finance_Data[[#This Row],[ Profit ]])),"Missing","OK")</f>
        <v>OK</v>
      </c>
      <c r="T488" t="str">
        <f>TEXT(New_Finance_Data[[#This Row],[Date]],"MMM-YYYY")</f>
        <v>Feb-2014</v>
      </c>
      <c r="U488" t="str">
        <f>IF(New_Finance_Data[[#This Row],[ Profit ]]&gt;0,"Profit","Loss")</f>
        <v>Profit</v>
      </c>
      <c r="V488" t="str">
        <f>IF(New_Finance_Data[[#This Row],[  Sales ]]&gt;=50000,"High Sales","Low Sales")</f>
        <v>High Sales</v>
      </c>
      <c r="W488" t="b">
        <f>ISNUMBER(New_Finance_Data[[#This Row],[Date]])</f>
        <v>1</v>
      </c>
    </row>
    <row r="489" spans="1:23" x14ac:dyDescent="0.2">
      <c r="A489" t="s">
        <v>31</v>
      </c>
      <c r="B489" t="s">
        <v>35</v>
      </c>
      <c r="C489" t="s">
        <v>42</v>
      </c>
      <c r="D489" t="s">
        <v>46</v>
      </c>
      <c r="E489" s="27">
        <v>2993</v>
      </c>
      <c r="F489" s="27">
        <v>260</v>
      </c>
      <c r="G489" s="27">
        <v>300</v>
      </c>
      <c r="H489" s="27">
        <v>897900</v>
      </c>
      <c r="I489" s="5">
        <v>89790</v>
      </c>
      <c r="J489" s="27">
        <v>808110</v>
      </c>
      <c r="K489" s="27">
        <v>748250</v>
      </c>
      <c r="L489" s="5">
        <v>59860</v>
      </c>
      <c r="M489" s="28">
        <v>41699</v>
      </c>
      <c r="N489" s="3">
        <v>3</v>
      </c>
      <c r="O489" s="29" t="s">
        <v>27</v>
      </c>
      <c r="P489" s="3">
        <v>2014</v>
      </c>
      <c r="Q489" s="6">
        <f>New_Finance_Data[[#This Row],[ Profit ]]/New_Finance_Data[[#This Row],[  Sales ]]</f>
        <v>7.407407407407407E-2</v>
      </c>
      <c r="R489" t="str">
        <f>IF(New_Finance_Data[[#This Row],[  Sales ]]&gt;=100000,"High",IF(New_Finance_Data[[#This Row],[  Sales ]]&gt;=50000,"Medium","Low"))</f>
        <v>High</v>
      </c>
      <c r="S489" t="str">
        <f>IF(OR(ISBLANK(New_Finance_Data[[#This Row],[  Sales ]]),ISBLANK(New_Finance_Data[[#This Row],[ Profit ]])),"Missing","OK")</f>
        <v>OK</v>
      </c>
      <c r="T489" t="str">
        <f>TEXT(New_Finance_Data[[#This Row],[Date]],"MMM-YYYY")</f>
        <v>Mar-2014</v>
      </c>
      <c r="U489" t="str">
        <f>IF(New_Finance_Data[[#This Row],[ Profit ]]&gt;0,"Profit","Loss")</f>
        <v>Profit</v>
      </c>
      <c r="V489" t="str">
        <f>IF(New_Finance_Data[[#This Row],[  Sales ]]&gt;=50000,"High Sales","Low Sales")</f>
        <v>High Sales</v>
      </c>
      <c r="W489" t="b">
        <f>ISNUMBER(New_Finance_Data[[#This Row],[Date]])</f>
        <v>1</v>
      </c>
    </row>
    <row r="490" spans="1:23" x14ac:dyDescent="0.2">
      <c r="A490" t="s">
        <v>28</v>
      </c>
      <c r="B490" t="s">
        <v>16</v>
      </c>
      <c r="C490" t="s">
        <v>42</v>
      </c>
      <c r="D490" t="s">
        <v>46</v>
      </c>
      <c r="E490" s="27">
        <v>3520.5</v>
      </c>
      <c r="F490" s="27">
        <v>260</v>
      </c>
      <c r="G490" s="27">
        <v>12</v>
      </c>
      <c r="H490" s="27">
        <v>42246</v>
      </c>
      <c r="I490" s="5">
        <v>4224.6000000000004</v>
      </c>
      <c r="J490" s="27">
        <v>38021.4</v>
      </c>
      <c r="K490" s="27">
        <v>10561.5</v>
      </c>
      <c r="L490" s="5">
        <v>27459.9</v>
      </c>
      <c r="M490" s="28">
        <v>41730</v>
      </c>
      <c r="N490" s="3">
        <v>4</v>
      </c>
      <c r="O490" s="29" t="s">
        <v>41</v>
      </c>
      <c r="P490" s="3">
        <v>2014</v>
      </c>
      <c r="Q490" s="6">
        <f>New_Finance_Data[[#This Row],[ Profit ]]/New_Finance_Data[[#This Row],[  Sales ]]</f>
        <v>0.72222222222222221</v>
      </c>
      <c r="R490" t="str">
        <f>IF(New_Finance_Data[[#This Row],[  Sales ]]&gt;=100000,"High",IF(New_Finance_Data[[#This Row],[  Sales ]]&gt;=50000,"Medium","Low"))</f>
        <v>Low</v>
      </c>
      <c r="S490" t="str">
        <f>IF(OR(ISBLANK(New_Finance_Data[[#This Row],[  Sales ]]),ISBLANK(New_Finance_Data[[#This Row],[ Profit ]])),"Missing","OK")</f>
        <v>OK</v>
      </c>
      <c r="T490" t="str">
        <f>TEXT(New_Finance_Data[[#This Row],[Date]],"MMM-YYYY")</f>
        <v>Apr-2014</v>
      </c>
      <c r="U490" t="str">
        <f>IF(New_Finance_Data[[#This Row],[ Profit ]]&gt;0,"Profit","Loss")</f>
        <v>Profit</v>
      </c>
      <c r="V490" t="str">
        <f>IF(New_Finance_Data[[#This Row],[  Sales ]]&gt;=50000,"High Sales","Low Sales")</f>
        <v>Low Sales</v>
      </c>
      <c r="W490" t="b">
        <f>ISNUMBER(New_Finance_Data[[#This Row],[Date]])</f>
        <v>1</v>
      </c>
    </row>
    <row r="491" spans="1:23" x14ac:dyDescent="0.2">
      <c r="A491" t="s">
        <v>15</v>
      </c>
      <c r="B491" t="s">
        <v>24</v>
      </c>
      <c r="C491" t="s">
        <v>42</v>
      </c>
      <c r="D491" t="s">
        <v>46</v>
      </c>
      <c r="E491" s="27">
        <v>2039</v>
      </c>
      <c r="F491" s="27">
        <v>260</v>
      </c>
      <c r="G491" s="27">
        <v>20</v>
      </c>
      <c r="H491" s="27">
        <v>40780</v>
      </c>
      <c r="I491" s="5">
        <v>4078</v>
      </c>
      <c r="J491" s="27">
        <v>36702</v>
      </c>
      <c r="K491" s="27">
        <v>20390</v>
      </c>
      <c r="L491" s="5">
        <v>16312</v>
      </c>
      <c r="M491" s="28">
        <v>41760</v>
      </c>
      <c r="N491" s="3">
        <v>5</v>
      </c>
      <c r="O491" s="29" t="s">
        <v>44</v>
      </c>
      <c r="P491" s="3">
        <v>2014</v>
      </c>
      <c r="Q491" s="6">
        <f>New_Finance_Data[[#This Row],[ Profit ]]/New_Finance_Data[[#This Row],[  Sales ]]</f>
        <v>0.44444444444444442</v>
      </c>
      <c r="R491" t="str">
        <f>IF(New_Finance_Data[[#This Row],[  Sales ]]&gt;=100000,"High",IF(New_Finance_Data[[#This Row],[  Sales ]]&gt;=50000,"Medium","Low"))</f>
        <v>Low</v>
      </c>
      <c r="S491" t="str">
        <f>IF(OR(ISBLANK(New_Finance_Data[[#This Row],[  Sales ]]),ISBLANK(New_Finance_Data[[#This Row],[ Profit ]])),"Missing","OK")</f>
        <v>OK</v>
      </c>
      <c r="T491" t="str">
        <f>TEXT(New_Finance_Data[[#This Row],[Date]],"MMM-YYYY")</f>
        <v>May-2014</v>
      </c>
      <c r="U491" t="str">
        <f>IF(New_Finance_Data[[#This Row],[ Profit ]]&gt;0,"Profit","Loss")</f>
        <v>Profit</v>
      </c>
      <c r="V491" t="str">
        <f>IF(New_Finance_Data[[#This Row],[  Sales ]]&gt;=50000,"High Sales","Low Sales")</f>
        <v>Low Sales</v>
      </c>
      <c r="W491" t="b">
        <f>ISNUMBER(New_Finance_Data[[#This Row],[Date]])</f>
        <v>1</v>
      </c>
    </row>
    <row r="492" spans="1:23" x14ac:dyDescent="0.2">
      <c r="A492" t="s">
        <v>28</v>
      </c>
      <c r="B492" t="s">
        <v>20</v>
      </c>
      <c r="C492" t="s">
        <v>42</v>
      </c>
      <c r="D492" t="s">
        <v>46</v>
      </c>
      <c r="E492" s="27">
        <v>2574</v>
      </c>
      <c r="F492" s="27">
        <v>260</v>
      </c>
      <c r="G492" s="27">
        <v>12</v>
      </c>
      <c r="H492" s="27">
        <v>30888</v>
      </c>
      <c r="I492" s="5">
        <v>3088.8</v>
      </c>
      <c r="J492" s="27">
        <v>27799.200000000001</v>
      </c>
      <c r="K492" s="27">
        <v>7722</v>
      </c>
      <c r="L492" s="5">
        <v>20077.2</v>
      </c>
      <c r="M492" s="28">
        <v>41852</v>
      </c>
      <c r="N492" s="3">
        <v>8</v>
      </c>
      <c r="O492" s="29" t="s">
        <v>32</v>
      </c>
      <c r="P492" s="3">
        <v>2014</v>
      </c>
      <c r="Q492" s="6">
        <f>New_Finance_Data[[#This Row],[ Profit ]]/New_Finance_Data[[#This Row],[  Sales ]]</f>
        <v>0.72222222222222221</v>
      </c>
      <c r="R492" t="str">
        <f>IF(New_Finance_Data[[#This Row],[  Sales ]]&gt;=100000,"High",IF(New_Finance_Data[[#This Row],[  Sales ]]&gt;=50000,"Medium","Low"))</f>
        <v>Low</v>
      </c>
      <c r="S492" t="str">
        <f>IF(OR(ISBLANK(New_Finance_Data[[#This Row],[  Sales ]]),ISBLANK(New_Finance_Data[[#This Row],[ Profit ]])),"Missing","OK")</f>
        <v>OK</v>
      </c>
      <c r="T492" t="str">
        <f>TEXT(New_Finance_Data[[#This Row],[Date]],"MMM-YYYY")</f>
        <v>Aug-2014</v>
      </c>
      <c r="U492" t="str">
        <f>IF(New_Finance_Data[[#This Row],[ Profit ]]&gt;0,"Profit","Loss")</f>
        <v>Profit</v>
      </c>
      <c r="V492" t="str">
        <f>IF(New_Finance_Data[[#This Row],[  Sales ]]&gt;=50000,"High Sales","Low Sales")</f>
        <v>Low Sales</v>
      </c>
      <c r="W492" t="b">
        <f>ISNUMBER(New_Finance_Data[[#This Row],[Date]])</f>
        <v>1</v>
      </c>
    </row>
    <row r="493" spans="1:23" x14ac:dyDescent="0.2">
      <c r="A493" t="s">
        <v>15</v>
      </c>
      <c r="B493" t="s">
        <v>16</v>
      </c>
      <c r="C493" t="s">
        <v>42</v>
      </c>
      <c r="D493" t="s">
        <v>46</v>
      </c>
      <c r="E493" s="27">
        <v>707</v>
      </c>
      <c r="F493" s="27">
        <v>260</v>
      </c>
      <c r="G493" s="27">
        <v>350</v>
      </c>
      <c r="H493" s="27">
        <v>247450</v>
      </c>
      <c r="I493" s="5">
        <v>24745</v>
      </c>
      <c r="J493" s="27">
        <v>222705</v>
      </c>
      <c r="K493" s="27">
        <v>183820</v>
      </c>
      <c r="L493" s="5">
        <v>38885</v>
      </c>
      <c r="M493" s="28">
        <v>41883</v>
      </c>
      <c r="N493" s="3">
        <v>9</v>
      </c>
      <c r="O493" s="29" t="s">
        <v>33</v>
      </c>
      <c r="P493" s="3">
        <v>2014</v>
      </c>
      <c r="Q493" s="6">
        <f>New_Finance_Data[[#This Row],[ Profit ]]/New_Finance_Data[[#This Row],[  Sales ]]</f>
        <v>0.17460317460317459</v>
      </c>
      <c r="R493" t="str">
        <f>IF(New_Finance_Data[[#This Row],[  Sales ]]&gt;=100000,"High",IF(New_Finance_Data[[#This Row],[  Sales ]]&gt;=50000,"Medium","Low"))</f>
        <v>High</v>
      </c>
      <c r="S493" t="str">
        <f>IF(OR(ISBLANK(New_Finance_Data[[#This Row],[  Sales ]]),ISBLANK(New_Finance_Data[[#This Row],[ Profit ]])),"Missing","OK")</f>
        <v>OK</v>
      </c>
      <c r="T493" t="str">
        <f>TEXT(New_Finance_Data[[#This Row],[Date]],"MMM-YYYY")</f>
        <v>Sep-2014</v>
      </c>
      <c r="U493" t="str">
        <f>IF(New_Finance_Data[[#This Row],[ Profit ]]&gt;0,"Profit","Loss")</f>
        <v>Profit</v>
      </c>
      <c r="V493" t="str">
        <f>IF(New_Finance_Data[[#This Row],[  Sales ]]&gt;=50000,"High Sales","Low Sales")</f>
        <v>High Sales</v>
      </c>
      <c r="W493" t="b">
        <f>ISNUMBER(New_Finance_Data[[#This Row],[Date]])</f>
        <v>1</v>
      </c>
    </row>
    <row r="494" spans="1:23" x14ac:dyDescent="0.2">
      <c r="A494" t="s">
        <v>21</v>
      </c>
      <c r="B494" t="s">
        <v>22</v>
      </c>
      <c r="C494" t="s">
        <v>42</v>
      </c>
      <c r="D494" t="s">
        <v>46</v>
      </c>
      <c r="E494" s="27">
        <v>2072</v>
      </c>
      <c r="F494" s="27">
        <v>260</v>
      </c>
      <c r="G494" s="27">
        <v>15</v>
      </c>
      <c r="H494" s="27">
        <v>31080</v>
      </c>
      <c r="I494" s="5">
        <v>3108</v>
      </c>
      <c r="J494" s="27">
        <v>27972</v>
      </c>
      <c r="K494" s="27">
        <v>20720</v>
      </c>
      <c r="L494" s="5">
        <v>7252</v>
      </c>
      <c r="M494" s="28">
        <v>41974</v>
      </c>
      <c r="N494" s="3">
        <v>12</v>
      </c>
      <c r="O494" s="29" t="s">
        <v>25</v>
      </c>
      <c r="P494" s="3">
        <v>2014</v>
      </c>
      <c r="Q494" s="6">
        <f>New_Finance_Data[[#This Row],[ Profit ]]/New_Finance_Data[[#This Row],[  Sales ]]</f>
        <v>0.25925925925925924</v>
      </c>
      <c r="R494" t="str">
        <f>IF(New_Finance_Data[[#This Row],[  Sales ]]&gt;=100000,"High",IF(New_Finance_Data[[#This Row],[  Sales ]]&gt;=50000,"Medium","Low"))</f>
        <v>Low</v>
      </c>
      <c r="S494" t="str">
        <f>IF(OR(ISBLANK(New_Finance_Data[[#This Row],[  Sales ]]),ISBLANK(New_Finance_Data[[#This Row],[ Profit ]])),"Missing","OK")</f>
        <v>OK</v>
      </c>
      <c r="T494" t="str">
        <f>TEXT(New_Finance_Data[[#This Row],[Date]],"MMM-YYYY")</f>
        <v>Dec-2014</v>
      </c>
      <c r="U494" t="str">
        <f>IF(New_Finance_Data[[#This Row],[ Profit ]]&gt;0,"Profit","Loss")</f>
        <v>Profit</v>
      </c>
      <c r="V494" t="str">
        <f>IF(New_Finance_Data[[#This Row],[  Sales ]]&gt;=50000,"High Sales","Low Sales")</f>
        <v>Low Sales</v>
      </c>
      <c r="W494" t="b">
        <f>ISNUMBER(New_Finance_Data[[#This Row],[Date]])</f>
        <v>1</v>
      </c>
    </row>
    <row r="495" spans="1:23" x14ac:dyDescent="0.2">
      <c r="A495" t="s">
        <v>31</v>
      </c>
      <c r="B495" t="s">
        <v>22</v>
      </c>
      <c r="C495" t="s">
        <v>42</v>
      </c>
      <c r="D495" t="s">
        <v>46</v>
      </c>
      <c r="E495" s="27">
        <v>853</v>
      </c>
      <c r="F495" s="27">
        <v>260</v>
      </c>
      <c r="G495" s="27">
        <v>300</v>
      </c>
      <c r="H495" s="27">
        <v>255900</v>
      </c>
      <c r="I495" s="5">
        <v>25590</v>
      </c>
      <c r="J495" s="27">
        <v>230310</v>
      </c>
      <c r="K495" s="27">
        <v>213250</v>
      </c>
      <c r="L495" s="5">
        <v>17060</v>
      </c>
      <c r="M495" s="28">
        <v>41974</v>
      </c>
      <c r="N495" s="3">
        <v>12</v>
      </c>
      <c r="O495" s="29" t="s">
        <v>25</v>
      </c>
      <c r="P495" s="3">
        <v>2014</v>
      </c>
      <c r="Q495" s="6">
        <f>New_Finance_Data[[#This Row],[ Profit ]]/New_Finance_Data[[#This Row],[  Sales ]]</f>
        <v>7.407407407407407E-2</v>
      </c>
      <c r="R495" t="str">
        <f>IF(New_Finance_Data[[#This Row],[  Sales ]]&gt;=100000,"High",IF(New_Finance_Data[[#This Row],[  Sales ]]&gt;=50000,"Medium","Low"))</f>
        <v>High</v>
      </c>
      <c r="S495" t="str">
        <f>IF(OR(ISBLANK(New_Finance_Data[[#This Row],[  Sales ]]),ISBLANK(New_Finance_Data[[#This Row],[ Profit ]])),"Missing","OK")</f>
        <v>OK</v>
      </c>
      <c r="T495" t="str">
        <f>TEXT(New_Finance_Data[[#This Row],[Date]],"MMM-YYYY")</f>
        <v>Dec-2014</v>
      </c>
      <c r="U495" t="str">
        <f>IF(New_Finance_Data[[#This Row],[ Profit ]]&gt;0,"Profit","Loss")</f>
        <v>Profit</v>
      </c>
      <c r="V495" t="str">
        <f>IF(New_Finance_Data[[#This Row],[  Sales ]]&gt;=50000,"High Sales","Low Sales")</f>
        <v>High Sales</v>
      </c>
      <c r="W495" t="b">
        <f>ISNUMBER(New_Finance_Data[[#This Row],[Date]])</f>
        <v>1</v>
      </c>
    </row>
    <row r="496" spans="1:23" x14ac:dyDescent="0.2">
      <c r="A496" t="s">
        <v>28</v>
      </c>
      <c r="B496" t="s">
        <v>22</v>
      </c>
      <c r="C496" t="s">
        <v>17</v>
      </c>
      <c r="D496" t="s">
        <v>46</v>
      </c>
      <c r="E496" s="27">
        <v>1198</v>
      </c>
      <c r="F496" s="27">
        <v>3</v>
      </c>
      <c r="G496" s="27">
        <v>12</v>
      </c>
      <c r="H496" s="27">
        <v>14376</v>
      </c>
      <c r="I496" s="5">
        <v>1581.36</v>
      </c>
      <c r="J496" s="27">
        <v>12794.64</v>
      </c>
      <c r="K496" s="27">
        <v>3594</v>
      </c>
      <c r="L496" s="5">
        <v>9200.64</v>
      </c>
      <c r="M496" s="28">
        <v>41548</v>
      </c>
      <c r="N496" s="3">
        <v>10</v>
      </c>
      <c r="O496" s="29" t="s">
        <v>34</v>
      </c>
      <c r="P496" s="3">
        <v>2013</v>
      </c>
      <c r="Q496" s="6">
        <f>New_Finance_Data[[#This Row],[ Profit ]]/New_Finance_Data[[#This Row],[  Sales ]]</f>
        <v>0.7191011235955056</v>
      </c>
      <c r="R496" t="str">
        <f>IF(New_Finance_Data[[#This Row],[  Sales ]]&gt;=100000,"High",IF(New_Finance_Data[[#This Row],[  Sales ]]&gt;=50000,"Medium","Low"))</f>
        <v>Low</v>
      </c>
      <c r="S496" t="str">
        <f>IF(OR(ISBLANK(New_Finance_Data[[#This Row],[  Sales ]]),ISBLANK(New_Finance_Data[[#This Row],[ Profit ]])),"Missing","OK")</f>
        <v>OK</v>
      </c>
      <c r="T496" t="str">
        <f>TEXT(New_Finance_Data[[#This Row],[Date]],"MMM-YYYY")</f>
        <v>Oct-2013</v>
      </c>
      <c r="U496" t="str">
        <f>IF(New_Finance_Data[[#This Row],[ Profit ]]&gt;0,"Profit","Loss")</f>
        <v>Profit</v>
      </c>
      <c r="V496" t="str">
        <f>IF(New_Finance_Data[[#This Row],[  Sales ]]&gt;=50000,"High Sales","Low Sales")</f>
        <v>Low Sales</v>
      </c>
      <c r="W496" t="b">
        <f>ISNUMBER(New_Finance_Data[[#This Row],[Date]])</f>
        <v>1</v>
      </c>
    </row>
    <row r="497" spans="1:23" x14ac:dyDescent="0.2">
      <c r="A497" t="s">
        <v>15</v>
      </c>
      <c r="B497" t="s">
        <v>22</v>
      </c>
      <c r="C497" t="s">
        <v>36</v>
      </c>
      <c r="D497" t="s">
        <v>46</v>
      </c>
      <c r="E497" s="27">
        <v>2532</v>
      </c>
      <c r="F497" s="27">
        <v>10</v>
      </c>
      <c r="G497" s="27">
        <v>7</v>
      </c>
      <c r="H497" s="27">
        <v>17724</v>
      </c>
      <c r="I497" s="5">
        <v>1949.64</v>
      </c>
      <c r="J497" s="27">
        <v>15774.36</v>
      </c>
      <c r="K497" s="27">
        <v>12660</v>
      </c>
      <c r="L497" s="5">
        <v>3114.36</v>
      </c>
      <c r="M497" s="28">
        <v>41730</v>
      </c>
      <c r="N497" s="3">
        <v>4</v>
      </c>
      <c r="O497" s="29" t="s">
        <v>41</v>
      </c>
      <c r="P497" s="3">
        <v>2014</v>
      </c>
      <c r="Q497" s="6">
        <f>New_Finance_Data[[#This Row],[ Profit ]]/New_Finance_Data[[#This Row],[  Sales ]]</f>
        <v>0.19743178170144463</v>
      </c>
      <c r="R497" t="str">
        <f>IF(New_Finance_Data[[#This Row],[  Sales ]]&gt;=100000,"High",IF(New_Finance_Data[[#This Row],[  Sales ]]&gt;=50000,"Medium","Low"))</f>
        <v>Low</v>
      </c>
      <c r="S497" t="str">
        <f>IF(OR(ISBLANK(New_Finance_Data[[#This Row],[  Sales ]]),ISBLANK(New_Finance_Data[[#This Row],[ Profit ]])),"Missing","OK")</f>
        <v>OK</v>
      </c>
      <c r="T497" t="str">
        <f>TEXT(New_Finance_Data[[#This Row],[Date]],"MMM-YYYY")</f>
        <v>Apr-2014</v>
      </c>
      <c r="U497" t="str">
        <f>IF(New_Finance_Data[[#This Row],[ Profit ]]&gt;0,"Profit","Loss")</f>
        <v>Profit</v>
      </c>
      <c r="V497" t="str">
        <f>IF(New_Finance_Data[[#This Row],[  Sales ]]&gt;=50000,"High Sales","Low Sales")</f>
        <v>Low Sales</v>
      </c>
      <c r="W497" t="b">
        <f>ISNUMBER(New_Finance_Data[[#This Row],[Date]])</f>
        <v>1</v>
      </c>
    </row>
    <row r="498" spans="1:23" x14ac:dyDescent="0.2">
      <c r="A498" t="s">
        <v>28</v>
      </c>
      <c r="B498" t="s">
        <v>22</v>
      </c>
      <c r="C498" t="s">
        <v>36</v>
      </c>
      <c r="D498" t="s">
        <v>46</v>
      </c>
      <c r="E498" s="27">
        <v>1198</v>
      </c>
      <c r="F498" s="27">
        <v>10</v>
      </c>
      <c r="G498" s="27">
        <v>12</v>
      </c>
      <c r="H498" s="27">
        <v>14376</v>
      </c>
      <c r="I498" s="5">
        <v>1581.36</v>
      </c>
      <c r="J498" s="27">
        <v>12794.64</v>
      </c>
      <c r="K498" s="27">
        <v>3594</v>
      </c>
      <c r="L498" s="5">
        <v>9200.64</v>
      </c>
      <c r="M498" s="28">
        <v>41548</v>
      </c>
      <c r="N498" s="3">
        <v>10</v>
      </c>
      <c r="O498" s="29" t="s">
        <v>34</v>
      </c>
      <c r="P498" s="3">
        <v>2013</v>
      </c>
      <c r="Q498" s="6">
        <f>New_Finance_Data[[#This Row],[ Profit ]]/New_Finance_Data[[#This Row],[  Sales ]]</f>
        <v>0.7191011235955056</v>
      </c>
      <c r="R498" t="str">
        <f>IF(New_Finance_Data[[#This Row],[  Sales ]]&gt;=100000,"High",IF(New_Finance_Data[[#This Row],[  Sales ]]&gt;=50000,"Medium","Low"))</f>
        <v>Low</v>
      </c>
      <c r="S498" t="str">
        <f>IF(OR(ISBLANK(New_Finance_Data[[#This Row],[  Sales ]]),ISBLANK(New_Finance_Data[[#This Row],[ Profit ]])),"Missing","OK")</f>
        <v>OK</v>
      </c>
      <c r="T498" t="str">
        <f>TEXT(New_Finance_Data[[#This Row],[Date]],"MMM-YYYY")</f>
        <v>Oct-2013</v>
      </c>
      <c r="U498" t="str">
        <f>IF(New_Finance_Data[[#This Row],[ Profit ]]&gt;0,"Profit","Loss")</f>
        <v>Profit</v>
      </c>
      <c r="V498" t="str">
        <f>IF(New_Finance_Data[[#This Row],[  Sales ]]&gt;=50000,"High Sales","Low Sales")</f>
        <v>Low Sales</v>
      </c>
      <c r="W498" t="b">
        <f>ISNUMBER(New_Finance_Data[[#This Row],[Date]])</f>
        <v>1</v>
      </c>
    </row>
    <row r="499" spans="1:23" x14ac:dyDescent="0.2">
      <c r="A499" t="s">
        <v>21</v>
      </c>
      <c r="B499" t="s">
        <v>16</v>
      </c>
      <c r="C499" t="s">
        <v>39</v>
      </c>
      <c r="D499" t="s">
        <v>46</v>
      </c>
      <c r="E499" s="27">
        <v>384</v>
      </c>
      <c r="F499" s="27">
        <v>120</v>
      </c>
      <c r="G499" s="27">
        <v>15</v>
      </c>
      <c r="H499" s="27">
        <v>5760</v>
      </c>
      <c r="I499" s="5">
        <v>633.6</v>
      </c>
      <c r="J499" s="27">
        <v>5126.3999999999996</v>
      </c>
      <c r="K499" s="27">
        <v>3840</v>
      </c>
      <c r="L499" s="5">
        <v>1286.4000000000001</v>
      </c>
      <c r="M499" s="28">
        <v>41640</v>
      </c>
      <c r="N499" s="3">
        <v>1</v>
      </c>
      <c r="O499" s="29" t="s">
        <v>19</v>
      </c>
      <c r="P499" s="3">
        <v>2014</v>
      </c>
      <c r="Q499" s="6">
        <f>New_Finance_Data[[#This Row],[ Profit ]]/New_Finance_Data[[#This Row],[  Sales ]]</f>
        <v>0.25093632958801504</v>
      </c>
      <c r="R499" t="str">
        <f>IF(New_Finance_Data[[#This Row],[  Sales ]]&gt;=100000,"High",IF(New_Finance_Data[[#This Row],[  Sales ]]&gt;=50000,"Medium","Low"))</f>
        <v>Low</v>
      </c>
      <c r="S499" t="str">
        <f>IF(OR(ISBLANK(New_Finance_Data[[#This Row],[  Sales ]]),ISBLANK(New_Finance_Data[[#This Row],[ Profit ]])),"Missing","OK")</f>
        <v>OK</v>
      </c>
      <c r="T499" t="str">
        <f>TEXT(New_Finance_Data[[#This Row],[Date]],"MMM-YYYY")</f>
        <v>Jan-2014</v>
      </c>
      <c r="U499" t="str">
        <f>IF(New_Finance_Data[[#This Row],[ Profit ]]&gt;0,"Profit","Loss")</f>
        <v>Profit</v>
      </c>
      <c r="V499" t="str">
        <f>IF(New_Finance_Data[[#This Row],[  Sales ]]&gt;=50000,"High Sales","Low Sales")</f>
        <v>Low Sales</v>
      </c>
      <c r="W499" t="b">
        <f>ISNUMBER(New_Finance_Data[[#This Row],[Date]])</f>
        <v>1</v>
      </c>
    </row>
    <row r="500" spans="1:23" x14ac:dyDescent="0.2">
      <c r="A500" t="s">
        <v>28</v>
      </c>
      <c r="B500" t="s">
        <v>20</v>
      </c>
      <c r="C500" t="s">
        <v>39</v>
      </c>
      <c r="D500" t="s">
        <v>46</v>
      </c>
      <c r="E500" s="27">
        <v>472</v>
      </c>
      <c r="F500" s="27">
        <v>120</v>
      </c>
      <c r="G500" s="27">
        <v>12</v>
      </c>
      <c r="H500" s="27">
        <v>5664</v>
      </c>
      <c r="I500" s="5">
        <v>623.04</v>
      </c>
      <c r="J500" s="27">
        <v>5040.96</v>
      </c>
      <c r="K500" s="27">
        <v>1416</v>
      </c>
      <c r="L500" s="5">
        <v>3624.96</v>
      </c>
      <c r="M500" s="28">
        <v>41913</v>
      </c>
      <c r="N500" s="3">
        <v>10</v>
      </c>
      <c r="O500" s="29" t="s">
        <v>34</v>
      </c>
      <c r="P500" s="3">
        <v>2014</v>
      </c>
      <c r="Q500" s="6">
        <f>New_Finance_Data[[#This Row],[ Profit ]]/New_Finance_Data[[#This Row],[  Sales ]]</f>
        <v>0.7191011235955056</v>
      </c>
      <c r="R500" t="str">
        <f>IF(New_Finance_Data[[#This Row],[  Sales ]]&gt;=100000,"High",IF(New_Finance_Data[[#This Row],[  Sales ]]&gt;=50000,"Medium","Low"))</f>
        <v>Low</v>
      </c>
      <c r="S500" t="str">
        <f>IF(OR(ISBLANK(New_Finance_Data[[#This Row],[  Sales ]]),ISBLANK(New_Finance_Data[[#This Row],[ Profit ]])),"Missing","OK")</f>
        <v>OK</v>
      </c>
      <c r="T500" t="str">
        <f>TEXT(New_Finance_Data[[#This Row],[Date]],"MMM-YYYY")</f>
        <v>Oct-2014</v>
      </c>
      <c r="U500" t="str">
        <f>IF(New_Finance_Data[[#This Row],[ Profit ]]&gt;0,"Profit","Loss")</f>
        <v>Profit</v>
      </c>
      <c r="V500" t="str">
        <f>IF(New_Finance_Data[[#This Row],[  Sales ]]&gt;=50000,"High Sales","Low Sales")</f>
        <v>Low Sales</v>
      </c>
      <c r="W500" t="b">
        <f>ISNUMBER(New_Finance_Data[[#This Row],[Date]])</f>
        <v>1</v>
      </c>
    </row>
    <row r="501" spans="1:23" x14ac:dyDescent="0.2">
      <c r="A501" t="s">
        <v>15</v>
      </c>
      <c r="B501" t="s">
        <v>35</v>
      </c>
      <c r="C501" t="s">
        <v>40</v>
      </c>
      <c r="D501" t="s">
        <v>46</v>
      </c>
      <c r="E501" s="27">
        <v>1579</v>
      </c>
      <c r="F501" s="27">
        <v>250</v>
      </c>
      <c r="G501" s="27">
        <v>7</v>
      </c>
      <c r="H501" s="27">
        <v>11053</v>
      </c>
      <c r="I501" s="5">
        <v>1215.83</v>
      </c>
      <c r="J501" s="27">
        <v>9837.17</v>
      </c>
      <c r="K501" s="27">
        <v>7895</v>
      </c>
      <c r="L501" s="5">
        <v>1942.17</v>
      </c>
      <c r="M501" s="28">
        <v>41699</v>
      </c>
      <c r="N501" s="3">
        <v>3</v>
      </c>
      <c r="O501" s="29" t="s">
        <v>27</v>
      </c>
      <c r="P501" s="3">
        <v>2014</v>
      </c>
      <c r="Q501" s="6">
        <f>New_Finance_Data[[#This Row],[ Profit ]]/New_Finance_Data[[#This Row],[  Sales ]]</f>
        <v>0.19743178170144463</v>
      </c>
      <c r="R501" t="str">
        <f>IF(New_Finance_Data[[#This Row],[  Sales ]]&gt;=100000,"High",IF(New_Finance_Data[[#This Row],[  Sales ]]&gt;=50000,"Medium","Low"))</f>
        <v>Low</v>
      </c>
      <c r="S501" t="str">
        <f>IF(OR(ISBLANK(New_Finance_Data[[#This Row],[  Sales ]]),ISBLANK(New_Finance_Data[[#This Row],[ Profit ]])),"Missing","OK")</f>
        <v>OK</v>
      </c>
      <c r="T501" t="str">
        <f>TEXT(New_Finance_Data[[#This Row],[Date]],"MMM-YYYY")</f>
        <v>Mar-2014</v>
      </c>
      <c r="U501" t="str">
        <f>IF(New_Finance_Data[[#This Row],[ Profit ]]&gt;0,"Profit","Loss")</f>
        <v>Profit</v>
      </c>
      <c r="V501" t="str">
        <f>IF(New_Finance_Data[[#This Row],[  Sales ]]&gt;=50000,"High Sales","Low Sales")</f>
        <v>Low Sales</v>
      </c>
      <c r="W501" t="b">
        <f>ISNUMBER(New_Finance_Data[[#This Row],[Date]])</f>
        <v>1</v>
      </c>
    </row>
    <row r="502" spans="1:23" x14ac:dyDescent="0.2">
      <c r="A502" t="s">
        <v>28</v>
      </c>
      <c r="B502" t="s">
        <v>24</v>
      </c>
      <c r="C502" t="s">
        <v>40</v>
      </c>
      <c r="D502" t="s">
        <v>46</v>
      </c>
      <c r="E502" s="27">
        <v>1005</v>
      </c>
      <c r="F502" s="27">
        <v>250</v>
      </c>
      <c r="G502" s="27">
        <v>12</v>
      </c>
      <c r="H502" s="27">
        <v>12060</v>
      </c>
      <c r="I502" s="5">
        <v>1326.6</v>
      </c>
      <c r="J502" s="27">
        <v>10733.4</v>
      </c>
      <c r="K502" s="27">
        <v>3015</v>
      </c>
      <c r="L502" s="5">
        <v>7718.4</v>
      </c>
      <c r="M502" s="28">
        <v>41518</v>
      </c>
      <c r="N502" s="3">
        <v>9</v>
      </c>
      <c r="O502" s="29" t="s">
        <v>33</v>
      </c>
      <c r="P502" s="3">
        <v>2013</v>
      </c>
      <c r="Q502" s="6">
        <f>New_Finance_Data[[#This Row],[ Profit ]]/New_Finance_Data[[#This Row],[  Sales ]]</f>
        <v>0.7191011235955056</v>
      </c>
      <c r="R502" t="str">
        <f>IF(New_Finance_Data[[#This Row],[  Sales ]]&gt;=100000,"High",IF(New_Finance_Data[[#This Row],[  Sales ]]&gt;=50000,"Medium","Low"))</f>
        <v>Low</v>
      </c>
      <c r="S502" t="str">
        <f>IF(OR(ISBLANK(New_Finance_Data[[#This Row],[  Sales ]]),ISBLANK(New_Finance_Data[[#This Row],[ Profit ]])),"Missing","OK")</f>
        <v>OK</v>
      </c>
      <c r="T502" t="str">
        <f>TEXT(New_Finance_Data[[#This Row],[Date]],"MMM-YYYY")</f>
        <v>Sep-2013</v>
      </c>
      <c r="U502" t="str">
        <f>IF(New_Finance_Data[[#This Row],[ Profit ]]&gt;0,"Profit","Loss")</f>
        <v>Profit</v>
      </c>
      <c r="V502" t="str">
        <f>IF(New_Finance_Data[[#This Row],[  Sales ]]&gt;=50000,"High Sales","Low Sales")</f>
        <v>Low Sales</v>
      </c>
      <c r="W502" t="b">
        <f>ISNUMBER(New_Finance_Data[[#This Row],[Date]])</f>
        <v>1</v>
      </c>
    </row>
    <row r="503" spans="1:23" x14ac:dyDescent="0.2">
      <c r="A503" t="s">
        <v>21</v>
      </c>
      <c r="B503" t="s">
        <v>35</v>
      </c>
      <c r="C503" t="s">
        <v>42</v>
      </c>
      <c r="D503" t="s">
        <v>46</v>
      </c>
      <c r="E503" s="27">
        <v>3199.5</v>
      </c>
      <c r="F503" s="27">
        <v>260</v>
      </c>
      <c r="G503" s="27">
        <v>15</v>
      </c>
      <c r="H503" s="27">
        <v>47992.5</v>
      </c>
      <c r="I503" s="5">
        <v>5279.17</v>
      </c>
      <c r="J503" s="27">
        <v>42713.33</v>
      </c>
      <c r="K503" s="27">
        <v>31995</v>
      </c>
      <c r="L503" s="5">
        <v>10718.32</v>
      </c>
      <c r="M503" s="28">
        <v>41821</v>
      </c>
      <c r="N503" s="3">
        <v>7</v>
      </c>
      <c r="O503" s="29" t="s">
        <v>30</v>
      </c>
      <c r="P503" s="3">
        <v>2014</v>
      </c>
      <c r="Q503" s="6">
        <f>New_Finance_Data[[#This Row],[ Profit ]]/New_Finance_Data[[#This Row],[  Sales ]]</f>
        <v>0.25093618315406452</v>
      </c>
      <c r="R503" t="str">
        <f>IF(New_Finance_Data[[#This Row],[  Sales ]]&gt;=100000,"High",IF(New_Finance_Data[[#This Row],[  Sales ]]&gt;=50000,"Medium","Low"))</f>
        <v>Low</v>
      </c>
      <c r="S503" t="str">
        <f>IF(OR(ISBLANK(New_Finance_Data[[#This Row],[  Sales ]]),ISBLANK(New_Finance_Data[[#This Row],[ Profit ]])),"Missing","OK")</f>
        <v>OK</v>
      </c>
      <c r="T503" t="str">
        <f>TEXT(New_Finance_Data[[#This Row],[Date]],"MMM-YYYY")</f>
        <v>Jul-2014</v>
      </c>
      <c r="U503" t="str">
        <f>IF(New_Finance_Data[[#This Row],[ Profit ]]&gt;0,"Profit","Loss")</f>
        <v>Profit</v>
      </c>
      <c r="V503" t="str">
        <f>IF(New_Finance_Data[[#This Row],[  Sales ]]&gt;=50000,"High Sales","Low Sales")</f>
        <v>Low Sales</v>
      </c>
      <c r="W503" t="b">
        <f>ISNUMBER(New_Finance_Data[[#This Row],[Date]])</f>
        <v>1</v>
      </c>
    </row>
    <row r="504" spans="1:23" x14ac:dyDescent="0.2">
      <c r="A504" t="s">
        <v>28</v>
      </c>
      <c r="B504" t="s">
        <v>20</v>
      </c>
      <c r="C504" t="s">
        <v>42</v>
      </c>
      <c r="D504" t="s">
        <v>46</v>
      </c>
      <c r="E504" s="27">
        <v>472</v>
      </c>
      <c r="F504" s="27">
        <v>260</v>
      </c>
      <c r="G504" s="27">
        <v>12</v>
      </c>
      <c r="H504" s="27">
        <v>5664</v>
      </c>
      <c r="I504" s="5">
        <v>623.04</v>
      </c>
      <c r="J504" s="27">
        <v>5040.96</v>
      </c>
      <c r="K504" s="27">
        <v>1416</v>
      </c>
      <c r="L504" s="5">
        <v>3624.96</v>
      </c>
      <c r="M504" s="28">
        <v>41913</v>
      </c>
      <c r="N504" s="3">
        <v>10</v>
      </c>
      <c r="O504" s="29" t="s">
        <v>34</v>
      </c>
      <c r="P504" s="3">
        <v>2014</v>
      </c>
      <c r="Q504" s="6">
        <f>New_Finance_Data[[#This Row],[ Profit ]]/New_Finance_Data[[#This Row],[  Sales ]]</f>
        <v>0.7191011235955056</v>
      </c>
      <c r="R504" t="str">
        <f>IF(New_Finance_Data[[#This Row],[  Sales ]]&gt;=100000,"High",IF(New_Finance_Data[[#This Row],[  Sales ]]&gt;=50000,"Medium","Low"))</f>
        <v>Low</v>
      </c>
      <c r="S504" t="str">
        <f>IF(OR(ISBLANK(New_Finance_Data[[#This Row],[  Sales ]]),ISBLANK(New_Finance_Data[[#This Row],[ Profit ]])),"Missing","OK")</f>
        <v>OK</v>
      </c>
      <c r="T504" t="str">
        <f>TEXT(New_Finance_Data[[#This Row],[Date]],"MMM-YYYY")</f>
        <v>Oct-2014</v>
      </c>
      <c r="U504" t="str">
        <f>IF(New_Finance_Data[[#This Row],[ Profit ]]&gt;0,"Profit","Loss")</f>
        <v>Profit</v>
      </c>
      <c r="V504" t="str">
        <f>IF(New_Finance_Data[[#This Row],[  Sales ]]&gt;=50000,"High Sales","Low Sales")</f>
        <v>Low Sales</v>
      </c>
      <c r="W504" t="b">
        <f>ISNUMBER(New_Finance_Data[[#This Row],[Date]])</f>
        <v>1</v>
      </c>
    </row>
    <row r="505" spans="1:23" x14ac:dyDescent="0.2">
      <c r="A505" t="s">
        <v>28</v>
      </c>
      <c r="B505" t="s">
        <v>16</v>
      </c>
      <c r="C505" t="s">
        <v>17</v>
      </c>
      <c r="D505" t="s">
        <v>46</v>
      </c>
      <c r="E505" s="27">
        <v>1937</v>
      </c>
      <c r="F505" s="27">
        <v>3</v>
      </c>
      <c r="G505" s="27">
        <v>12</v>
      </c>
      <c r="H505" s="27">
        <v>23244</v>
      </c>
      <c r="I505" s="5">
        <v>2556.84</v>
      </c>
      <c r="J505" s="27">
        <v>20687.16</v>
      </c>
      <c r="K505" s="27">
        <v>5811</v>
      </c>
      <c r="L505" s="5">
        <v>14876.16</v>
      </c>
      <c r="M505" s="28">
        <v>41671</v>
      </c>
      <c r="N505" s="3">
        <v>2</v>
      </c>
      <c r="O505" s="29" t="s">
        <v>37</v>
      </c>
      <c r="P505" s="3">
        <v>2014</v>
      </c>
      <c r="Q505" s="6">
        <f>New_Finance_Data[[#This Row],[ Profit ]]/New_Finance_Data[[#This Row],[  Sales ]]</f>
        <v>0.7191011235955056</v>
      </c>
      <c r="R505" t="str">
        <f>IF(New_Finance_Data[[#This Row],[  Sales ]]&gt;=100000,"High",IF(New_Finance_Data[[#This Row],[  Sales ]]&gt;=50000,"Medium","Low"))</f>
        <v>Low</v>
      </c>
      <c r="S505" t="str">
        <f>IF(OR(ISBLANK(New_Finance_Data[[#This Row],[  Sales ]]),ISBLANK(New_Finance_Data[[#This Row],[ Profit ]])),"Missing","OK")</f>
        <v>OK</v>
      </c>
      <c r="T505" t="str">
        <f>TEXT(New_Finance_Data[[#This Row],[Date]],"MMM-YYYY")</f>
        <v>Feb-2014</v>
      </c>
      <c r="U505" t="str">
        <f>IF(New_Finance_Data[[#This Row],[ Profit ]]&gt;0,"Profit","Loss")</f>
        <v>Profit</v>
      </c>
      <c r="V505" t="str">
        <f>IF(New_Finance_Data[[#This Row],[  Sales ]]&gt;=50000,"High Sales","Low Sales")</f>
        <v>Low Sales</v>
      </c>
      <c r="W505" t="b">
        <f>ISNUMBER(New_Finance_Data[[#This Row],[Date]])</f>
        <v>1</v>
      </c>
    </row>
    <row r="506" spans="1:23" x14ac:dyDescent="0.2">
      <c r="A506" t="s">
        <v>15</v>
      </c>
      <c r="B506" t="s">
        <v>20</v>
      </c>
      <c r="C506" t="s">
        <v>17</v>
      </c>
      <c r="D506" t="s">
        <v>46</v>
      </c>
      <c r="E506" s="27">
        <v>792</v>
      </c>
      <c r="F506" s="27">
        <v>3</v>
      </c>
      <c r="G506" s="27">
        <v>350</v>
      </c>
      <c r="H506" s="27">
        <v>277200</v>
      </c>
      <c r="I506" s="5">
        <v>30492</v>
      </c>
      <c r="J506" s="27">
        <v>246708</v>
      </c>
      <c r="K506" s="27">
        <v>205920</v>
      </c>
      <c r="L506" s="5">
        <v>40788</v>
      </c>
      <c r="M506" s="28">
        <v>41699</v>
      </c>
      <c r="N506" s="3">
        <v>3</v>
      </c>
      <c r="O506" s="29" t="s">
        <v>27</v>
      </c>
      <c r="P506" s="3">
        <v>2014</v>
      </c>
      <c r="Q506" s="6">
        <f>New_Finance_Data[[#This Row],[ Profit ]]/New_Finance_Data[[#This Row],[  Sales ]]</f>
        <v>0.1653290529695024</v>
      </c>
      <c r="R506" t="str">
        <f>IF(New_Finance_Data[[#This Row],[  Sales ]]&gt;=100000,"High",IF(New_Finance_Data[[#This Row],[  Sales ]]&gt;=50000,"Medium","Low"))</f>
        <v>High</v>
      </c>
      <c r="S506" t="str">
        <f>IF(OR(ISBLANK(New_Finance_Data[[#This Row],[  Sales ]]),ISBLANK(New_Finance_Data[[#This Row],[ Profit ]])),"Missing","OK")</f>
        <v>OK</v>
      </c>
      <c r="T506" t="str">
        <f>TEXT(New_Finance_Data[[#This Row],[Date]],"MMM-YYYY")</f>
        <v>Mar-2014</v>
      </c>
      <c r="U506" t="str">
        <f>IF(New_Finance_Data[[#This Row],[ Profit ]]&gt;0,"Profit","Loss")</f>
        <v>Profit</v>
      </c>
      <c r="V506" t="str">
        <f>IF(New_Finance_Data[[#This Row],[  Sales ]]&gt;=50000,"High Sales","Low Sales")</f>
        <v>High Sales</v>
      </c>
      <c r="W506" t="b">
        <f>ISNUMBER(New_Finance_Data[[#This Row],[Date]])</f>
        <v>1</v>
      </c>
    </row>
    <row r="507" spans="1:23" x14ac:dyDescent="0.2">
      <c r="A507" t="s">
        <v>31</v>
      </c>
      <c r="B507" t="s">
        <v>20</v>
      </c>
      <c r="C507" t="s">
        <v>17</v>
      </c>
      <c r="D507" t="s">
        <v>46</v>
      </c>
      <c r="E507" s="27">
        <v>2811</v>
      </c>
      <c r="F507" s="27">
        <v>3</v>
      </c>
      <c r="G507" s="27">
        <v>300</v>
      </c>
      <c r="H507" s="27">
        <v>843300</v>
      </c>
      <c r="I507" s="5">
        <v>92763</v>
      </c>
      <c r="J507" s="27">
        <v>750537</v>
      </c>
      <c r="K507" s="27">
        <v>702750</v>
      </c>
      <c r="L507" s="5">
        <v>47787</v>
      </c>
      <c r="M507" s="28">
        <v>41821</v>
      </c>
      <c r="N507" s="3">
        <v>7</v>
      </c>
      <c r="O507" s="29" t="s">
        <v>30</v>
      </c>
      <c r="P507" s="3">
        <v>2014</v>
      </c>
      <c r="Q507" s="6">
        <f>New_Finance_Data[[#This Row],[ Profit ]]/New_Finance_Data[[#This Row],[  Sales ]]</f>
        <v>6.3670411985018729E-2</v>
      </c>
      <c r="R507" t="str">
        <f>IF(New_Finance_Data[[#This Row],[  Sales ]]&gt;=100000,"High",IF(New_Finance_Data[[#This Row],[  Sales ]]&gt;=50000,"Medium","Low"))</f>
        <v>High</v>
      </c>
      <c r="S507" t="str">
        <f>IF(OR(ISBLANK(New_Finance_Data[[#This Row],[  Sales ]]),ISBLANK(New_Finance_Data[[#This Row],[ Profit ]])),"Missing","OK")</f>
        <v>OK</v>
      </c>
      <c r="T507" t="str">
        <f>TEXT(New_Finance_Data[[#This Row],[Date]],"MMM-YYYY")</f>
        <v>Jul-2014</v>
      </c>
      <c r="U507" t="str">
        <f>IF(New_Finance_Data[[#This Row],[ Profit ]]&gt;0,"Profit","Loss")</f>
        <v>Profit</v>
      </c>
      <c r="V507" t="str">
        <f>IF(New_Finance_Data[[#This Row],[  Sales ]]&gt;=50000,"High Sales","Low Sales")</f>
        <v>High Sales</v>
      </c>
      <c r="W507" t="b">
        <f>ISNUMBER(New_Finance_Data[[#This Row],[Date]])</f>
        <v>1</v>
      </c>
    </row>
    <row r="508" spans="1:23" x14ac:dyDescent="0.2">
      <c r="A508" t="s">
        <v>29</v>
      </c>
      <c r="B508" t="s">
        <v>22</v>
      </c>
      <c r="C508" t="s">
        <v>17</v>
      </c>
      <c r="D508" t="s">
        <v>46</v>
      </c>
      <c r="E508" s="27">
        <v>2441</v>
      </c>
      <c r="F508" s="27">
        <v>3</v>
      </c>
      <c r="G508" s="27">
        <v>125</v>
      </c>
      <c r="H508" s="27">
        <v>305125</v>
      </c>
      <c r="I508" s="5">
        <v>33563.75</v>
      </c>
      <c r="J508" s="27">
        <v>271561.25</v>
      </c>
      <c r="K508" s="27">
        <v>292920</v>
      </c>
      <c r="L508" s="5">
        <v>-21358.75</v>
      </c>
      <c r="M508" s="28">
        <v>41913</v>
      </c>
      <c r="N508" s="3">
        <v>10</v>
      </c>
      <c r="O508" s="29" t="s">
        <v>34</v>
      </c>
      <c r="P508" s="3">
        <v>2014</v>
      </c>
      <c r="Q508" s="6">
        <f>New_Finance_Data[[#This Row],[ Profit ]]/New_Finance_Data[[#This Row],[  Sales ]]</f>
        <v>-7.8651685393258425E-2</v>
      </c>
      <c r="R508" t="str">
        <f>IF(New_Finance_Data[[#This Row],[  Sales ]]&gt;=100000,"High",IF(New_Finance_Data[[#This Row],[  Sales ]]&gt;=50000,"Medium","Low"))</f>
        <v>High</v>
      </c>
      <c r="S508" t="str">
        <f>IF(OR(ISBLANK(New_Finance_Data[[#This Row],[  Sales ]]),ISBLANK(New_Finance_Data[[#This Row],[ Profit ]])),"Missing","OK")</f>
        <v>OK</v>
      </c>
      <c r="T508" t="str">
        <f>TEXT(New_Finance_Data[[#This Row],[Date]],"MMM-YYYY")</f>
        <v>Oct-2014</v>
      </c>
      <c r="U508" t="str">
        <f>IF(New_Finance_Data[[#This Row],[ Profit ]]&gt;0,"Profit","Loss")</f>
        <v>Loss</v>
      </c>
      <c r="V508" t="str">
        <f>IF(New_Finance_Data[[#This Row],[  Sales ]]&gt;=50000,"High Sales","Low Sales")</f>
        <v>High Sales</v>
      </c>
      <c r="W508" t="b">
        <f>ISNUMBER(New_Finance_Data[[#This Row],[Date]])</f>
        <v>1</v>
      </c>
    </row>
    <row r="509" spans="1:23" x14ac:dyDescent="0.2">
      <c r="A509" t="s">
        <v>21</v>
      </c>
      <c r="B509" t="s">
        <v>16</v>
      </c>
      <c r="C509" t="s">
        <v>17</v>
      </c>
      <c r="D509" t="s">
        <v>46</v>
      </c>
      <c r="E509" s="27">
        <v>1560</v>
      </c>
      <c r="F509" s="27">
        <v>3</v>
      </c>
      <c r="G509" s="27">
        <v>15</v>
      </c>
      <c r="H509" s="27">
        <v>23400</v>
      </c>
      <c r="I509" s="5">
        <v>2574</v>
      </c>
      <c r="J509" s="27">
        <v>20826</v>
      </c>
      <c r="K509" s="27">
        <v>15600</v>
      </c>
      <c r="L509" s="5">
        <v>5226</v>
      </c>
      <c r="M509" s="28">
        <v>41579</v>
      </c>
      <c r="N509" s="3">
        <v>11</v>
      </c>
      <c r="O509" s="29" t="s">
        <v>38</v>
      </c>
      <c r="P509" s="3">
        <v>2013</v>
      </c>
      <c r="Q509" s="6">
        <f>New_Finance_Data[[#This Row],[ Profit ]]/New_Finance_Data[[#This Row],[  Sales ]]</f>
        <v>0.25093632958801498</v>
      </c>
      <c r="R509" t="str">
        <f>IF(New_Finance_Data[[#This Row],[  Sales ]]&gt;=100000,"High",IF(New_Finance_Data[[#This Row],[  Sales ]]&gt;=50000,"Medium","Low"))</f>
        <v>Low</v>
      </c>
      <c r="S509" t="str">
        <f>IF(OR(ISBLANK(New_Finance_Data[[#This Row],[  Sales ]]),ISBLANK(New_Finance_Data[[#This Row],[ Profit ]])),"Missing","OK")</f>
        <v>OK</v>
      </c>
      <c r="T509" t="str">
        <f>TEXT(New_Finance_Data[[#This Row],[Date]],"MMM-YYYY")</f>
        <v>Nov-2013</v>
      </c>
      <c r="U509" t="str">
        <f>IF(New_Finance_Data[[#This Row],[ Profit ]]&gt;0,"Profit","Loss")</f>
        <v>Profit</v>
      </c>
      <c r="V509" t="str">
        <f>IF(New_Finance_Data[[#This Row],[  Sales ]]&gt;=50000,"High Sales","Low Sales")</f>
        <v>Low Sales</v>
      </c>
      <c r="W509" t="b">
        <f>ISNUMBER(New_Finance_Data[[#This Row],[Date]])</f>
        <v>1</v>
      </c>
    </row>
    <row r="510" spans="1:23" x14ac:dyDescent="0.2">
      <c r="A510" t="s">
        <v>15</v>
      </c>
      <c r="B510" t="s">
        <v>24</v>
      </c>
      <c r="C510" t="s">
        <v>17</v>
      </c>
      <c r="D510" t="s">
        <v>46</v>
      </c>
      <c r="E510" s="27">
        <v>2706</v>
      </c>
      <c r="F510" s="27">
        <v>3</v>
      </c>
      <c r="G510" s="27">
        <v>7</v>
      </c>
      <c r="H510" s="27">
        <v>18942</v>
      </c>
      <c r="I510" s="5">
        <v>2083.62</v>
      </c>
      <c r="J510" s="27">
        <v>16858.38</v>
      </c>
      <c r="K510" s="27">
        <v>13530</v>
      </c>
      <c r="L510" s="5">
        <v>3328.38</v>
      </c>
      <c r="M510" s="28">
        <v>41579</v>
      </c>
      <c r="N510" s="3">
        <v>11</v>
      </c>
      <c r="O510" s="29" t="s">
        <v>38</v>
      </c>
      <c r="P510" s="3">
        <v>2013</v>
      </c>
      <c r="Q510" s="6">
        <f>New_Finance_Data[[#This Row],[ Profit ]]/New_Finance_Data[[#This Row],[  Sales ]]</f>
        <v>0.19743178170144463</v>
      </c>
      <c r="R510" t="str">
        <f>IF(New_Finance_Data[[#This Row],[  Sales ]]&gt;=100000,"High",IF(New_Finance_Data[[#This Row],[  Sales ]]&gt;=50000,"Medium","Low"))</f>
        <v>Low</v>
      </c>
      <c r="S510" t="str">
        <f>IF(OR(ISBLANK(New_Finance_Data[[#This Row],[  Sales ]]),ISBLANK(New_Finance_Data[[#This Row],[ Profit ]])),"Missing","OK")</f>
        <v>OK</v>
      </c>
      <c r="T510" t="str">
        <f>TEXT(New_Finance_Data[[#This Row],[Date]],"MMM-YYYY")</f>
        <v>Nov-2013</v>
      </c>
      <c r="U510" t="str">
        <f>IF(New_Finance_Data[[#This Row],[ Profit ]]&gt;0,"Profit","Loss")</f>
        <v>Profit</v>
      </c>
      <c r="V510" t="str">
        <f>IF(New_Finance_Data[[#This Row],[  Sales ]]&gt;=50000,"High Sales","Low Sales")</f>
        <v>Low Sales</v>
      </c>
      <c r="W510" t="b">
        <f>ISNUMBER(New_Finance_Data[[#This Row],[Date]])</f>
        <v>1</v>
      </c>
    </row>
    <row r="511" spans="1:23" x14ac:dyDescent="0.2">
      <c r="A511" t="s">
        <v>15</v>
      </c>
      <c r="B511" t="s">
        <v>20</v>
      </c>
      <c r="C511" t="s">
        <v>26</v>
      </c>
      <c r="D511" t="s">
        <v>46</v>
      </c>
      <c r="E511" s="27">
        <v>766</v>
      </c>
      <c r="F511" s="27">
        <v>5</v>
      </c>
      <c r="G511" s="27">
        <v>350</v>
      </c>
      <c r="H511" s="27">
        <v>268100</v>
      </c>
      <c r="I511" s="5">
        <v>29491</v>
      </c>
      <c r="J511" s="27">
        <v>238609</v>
      </c>
      <c r="K511" s="27">
        <v>199160</v>
      </c>
      <c r="L511" s="5">
        <v>39449</v>
      </c>
      <c r="M511" s="28">
        <v>41640</v>
      </c>
      <c r="N511" s="3">
        <v>1</v>
      </c>
      <c r="O511" s="29" t="s">
        <v>19</v>
      </c>
      <c r="P511" s="3">
        <v>2014</v>
      </c>
      <c r="Q511" s="6">
        <f>New_Finance_Data[[#This Row],[ Profit ]]/New_Finance_Data[[#This Row],[  Sales ]]</f>
        <v>0.1653290529695024</v>
      </c>
      <c r="R511" t="str">
        <f>IF(New_Finance_Data[[#This Row],[  Sales ]]&gt;=100000,"High",IF(New_Finance_Data[[#This Row],[  Sales ]]&gt;=50000,"Medium","Low"))</f>
        <v>High</v>
      </c>
      <c r="S511" t="str">
        <f>IF(OR(ISBLANK(New_Finance_Data[[#This Row],[  Sales ]]),ISBLANK(New_Finance_Data[[#This Row],[ Profit ]])),"Missing","OK")</f>
        <v>OK</v>
      </c>
      <c r="T511" t="str">
        <f>TEXT(New_Finance_Data[[#This Row],[Date]],"MMM-YYYY")</f>
        <v>Jan-2014</v>
      </c>
      <c r="U511" t="str">
        <f>IF(New_Finance_Data[[#This Row],[ Profit ]]&gt;0,"Profit","Loss")</f>
        <v>Profit</v>
      </c>
      <c r="V511" t="str">
        <f>IF(New_Finance_Data[[#This Row],[  Sales ]]&gt;=50000,"High Sales","Low Sales")</f>
        <v>High Sales</v>
      </c>
      <c r="W511" t="b">
        <f>ISNUMBER(New_Finance_Data[[#This Row],[Date]])</f>
        <v>1</v>
      </c>
    </row>
    <row r="512" spans="1:23" x14ac:dyDescent="0.2">
      <c r="A512" t="s">
        <v>15</v>
      </c>
      <c r="B512" t="s">
        <v>20</v>
      </c>
      <c r="C512" t="s">
        <v>26</v>
      </c>
      <c r="D512" t="s">
        <v>46</v>
      </c>
      <c r="E512" s="27">
        <v>2992</v>
      </c>
      <c r="F512" s="27">
        <v>5</v>
      </c>
      <c r="G512" s="27">
        <v>20</v>
      </c>
      <c r="H512" s="27">
        <v>59840</v>
      </c>
      <c r="I512" s="5">
        <v>6582.4</v>
      </c>
      <c r="J512" s="27">
        <v>53257.599999999999</v>
      </c>
      <c r="K512" s="27">
        <v>29920</v>
      </c>
      <c r="L512" s="5">
        <v>23337.599999999999</v>
      </c>
      <c r="M512" s="28">
        <v>41548</v>
      </c>
      <c r="N512" s="3">
        <v>10</v>
      </c>
      <c r="O512" s="29" t="s">
        <v>34</v>
      </c>
      <c r="P512" s="3">
        <v>2013</v>
      </c>
      <c r="Q512" s="6">
        <f>New_Finance_Data[[#This Row],[ Profit ]]/New_Finance_Data[[#This Row],[  Sales ]]</f>
        <v>0.4382022471910112</v>
      </c>
      <c r="R512" t="str">
        <f>IF(New_Finance_Data[[#This Row],[  Sales ]]&gt;=100000,"High",IF(New_Finance_Data[[#This Row],[  Sales ]]&gt;=50000,"Medium","Low"))</f>
        <v>Medium</v>
      </c>
      <c r="S512" t="str">
        <f>IF(OR(ISBLANK(New_Finance_Data[[#This Row],[  Sales ]]),ISBLANK(New_Finance_Data[[#This Row],[ Profit ]])),"Missing","OK")</f>
        <v>OK</v>
      </c>
      <c r="T512" t="str">
        <f>TEXT(New_Finance_Data[[#This Row],[Date]],"MMM-YYYY")</f>
        <v>Oct-2013</v>
      </c>
      <c r="U512" t="str">
        <f>IF(New_Finance_Data[[#This Row],[ Profit ]]&gt;0,"Profit","Loss")</f>
        <v>Profit</v>
      </c>
      <c r="V512" t="str">
        <f>IF(New_Finance_Data[[#This Row],[  Sales ]]&gt;=50000,"High Sales","Low Sales")</f>
        <v>High Sales</v>
      </c>
      <c r="W512" t="b">
        <f>ISNUMBER(New_Finance_Data[[#This Row],[Date]])</f>
        <v>1</v>
      </c>
    </row>
    <row r="513" spans="1:23" x14ac:dyDescent="0.2">
      <c r="A513" t="s">
        <v>21</v>
      </c>
      <c r="B513" t="s">
        <v>24</v>
      </c>
      <c r="C513" t="s">
        <v>26</v>
      </c>
      <c r="D513" t="s">
        <v>46</v>
      </c>
      <c r="E513" s="27">
        <v>2157</v>
      </c>
      <c r="F513" s="27">
        <v>5</v>
      </c>
      <c r="G513" s="27">
        <v>15</v>
      </c>
      <c r="H513" s="27">
        <v>32355</v>
      </c>
      <c r="I513" s="5">
        <v>3559.05</v>
      </c>
      <c r="J513" s="27">
        <v>28795.95</v>
      </c>
      <c r="K513" s="27">
        <v>21570</v>
      </c>
      <c r="L513" s="5">
        <v>7225.95</v>
      </c>
      <c r="M513" s="28">
        <v>41974</v>
      </c>
      <c r="N513" s="3">
        <v>12</v>
      </c>
      <c r="O513" s="29" t="s">
        <v>25</v>
      </c>
      <c r="P513" s="3">
        <v>2014</v>
      </c>
      <c r="Q513" s="6">
        <f>New_Finance_Data[[#This Row],[ Profit ]]/New_Finance_Data[[#This Row],[  Sales ]]</f>
        <v>0.25093632958801498</v>
      </c>
      <c r="R513" t="str">
        <f>IF(New_Finance_Data[[#This Row],[  Sales ]]&gt;=100000,"High",IF(New_Finance_Data[[#This Row],[  Sales ]]&gt;=50000,"Medium","Low"))</f>
        <v>Low</v>
      </c>
      <c r="S513" t="str">
        <f>IF(OR(ISBLANK(New_Finance_Data[[#This Row],[  Sales ]]),ISBLANK(New_Finance_Data[[#This Row],[ Profit ]])),"Missing","OK")</f>
        <v>OK</v>
      </c>
      <c r="T513" t="str">
        <f>TEXT(New_Finance_Data[[#This Row],[Date]],"MMM-YYYY")</f>
        <v>Dec-2014</v>
      </c>
      <c r="U513" t="str">
        <f>IF(New_Finance_Data[[#This Row],[ Profit ]]&gt;0,"Profit","Loss")</f>
        <v>Profit</v>
      </c>
      <c r="V513" t="str">
        <f>IF(New_Finance_Data[[#This Row],[  Sales ]]&gt;=50000,"High Sales","Low Sales")</f>
        <v>Low Sales</v>
      </c>
      <c r="W513" t="b">
        <f>ISNUMBER(New_Finance_Data[[#This Row],[Date]])</f>
        <v>1</v>
      </c>
    </row>
    <row r="514" spans="1:23" x14ac:dyDescent="0.2">
      <c r="A514" t="s">
        <v>31</v>
      </c>
      <c r="B514" t="s">
        <v>16</v>
      </c>
      <c r="C514" t="s">
        <v>36</v>
      </c>
      <c r="D514" t="s">
        <v>46</v>
      </c>
      <c r="E514" s="27">
        <v>873</v>
      </c>
      <c r="F514" s="27">
        <v>10</v>
      </c>
      <c r="G514" s="27">
        <v>300</v>
      </c>
      <c r="H514" s="27">
        <v>261900</v>
      </c>
      <c r="I514" s="5">
        <v>28809</v>
      </c>
      <c r="J514" s="27">
        <v>233091</v>
      </c>
      <c r="K514" s="27">
        <v>218250</v>
      </c>
      <c r="L514" s="5">
        <v>14841</v>
      </c>
      <c r="M514" s="28">
        <v>41640</v>
      </c>
      <c r="N514" s="3">
        <v>1</v>
      </c>
      <c r="O514" s="29" t="s">
        <v>19</v>
      </c>
      <c r="P514" s="3">
        <v>2014</v>
      </c>
      <c r="Q514" s="6">
        <f>New_Finance_Data[[#This Row],[ Profit ]]/New_Finance_Data[[#This Row],[  Sales ]]</f>
        <v>6.3670411985018729E-2</v>
      </c>
      <c r="R514" t="str">
        <f>IF(New_Finance_Data[[#This Row],[  Sales ]]&gt;=100000,"High",IF(New_Finance_Data[[#This Row],[  Sales ]]&gt;=50000,"Medium","Low"))</f>
        <v>High</v>
      </c>
      <c r="S514" t="str">
        <f>IF(OR(ISBLANK(New_Finance_Data[[#This Row],[  Sales ]]),ISBLANK(New_Finance_Data[[#This Row],[ Profit ]])),"Missing","OK")</f>
        <v>OK</v>
      </c>
      <c r="T514" t="str">
        <f>TEXT(New_Finance_Data[[#This Row],[Date]],"MMM-YYYY")</f>
        <v>Jan-2014</v>
      </c>
      <c r="U514" t="str">
        <f>IF(New_Finance_Data[[#This Row],[ Profit ]]&gt;0,"Profit","Loss")</f>
        <v>Profit</v>
      </c>
      <c r="V514" t="str">
        <f>IF(New_Finance_Data[[#This Row],[  Sales ]]&gt;=50000,"High Sales","Low Sales")</f>
        <v>High Sales</v>
      </c>
      <c r="W514" t="b">
        <f>ISNUMBER(New_Finance_Data[[#This Row],[Date]])</f>
        <v>1</v>
      </c>
    </row>
    <row r="515" spans="1:23" x14ac:dyDescent="0.2">
      <c r="A515" t="s">
        <v>15</v>
      </c>
      <c r="B515" t="s">
        <v>24</v>
      </c>
      <c r="C515" t="s">
        <v>36</v>
      </c>
      <c r="D515" t="s">
        <v>46</v>
      </c>
      <c r="E515" s="27">
        <v>1122</v>
      </c>
      <c r="F515" s="27">
        <v>10</v>
      </c>
      <c r="G515" s="27">
        <v>20</v>
      </c>
      <c r="H515" s="27">
        <v>22440</v>
      </c>
      <c r="I515" s="5">
        <v>2468.4</v>
      </c>
      <c r="J515" s="27">
        <v>19971.599999999999</v>
      </c>
      <c r="K515" s="27">
        <v>11220</v>
      </c>
      <c r="L515" s="5">
        <v>8751.6</v>
      </c>
      <c r="M515" s="28">
        <v>41699</v>
      </c>
      <c r="N515" s="3">
        <v>3</v>
      </c>
      <c r="O515" s="29" t="s">
        <v>27</v>
      </c>
      <c r="P515" s="3">
        <v>2014</v>
      </c>
      <c r="Q515" s="6">
        <f>New_Finance_Data[[#This Row],[ Profit ]]/New_Finance_Data[[#This Row],[  Sales ]]</f>
        <v>0.43820224719101131</v>
      </c>
      <c r="R515" t="str">
        <f>IF(New_Finance_Data[[#This Row],[  Sales ]]&gt;=100000,"High",IF(New_Finance_Data[[#This Row],[  Sales ]]&gt;=50000,"Medium","Low"))</f>
        <v>Low</v>
      </c>
      <c r="S515" t="str">
        <f>IF(OR(ISBLANK(New_Finance_Data[[#This Row],[  Sales ]]),ISBLANK(New_Finance_Data[[#This Row],[ Profit ]])),"Missing","OK")</f>
        <v>OK</v>
      </c>
      <c r="T515" t="str">
        <f>TEXT(New_Finance_Data[[#This Row],[Date]],"MMM-YYYY")</f>
        <v>Mar-2014</v>
      </c>
      <c r="U515" t="str">
        <f>IF(New_Finance_Data[[#This Row],[ Profit ]]&gt;0,"Profit","Loss")</f>
        <v>Profit</v>
      </c>
      <c r="V515" t="str">
        <f>IF(New_Finance_Data[[#This Row],[  Sales ]]&gt;=50000,"High Sales","Low Sales")</f>
        <v>Low Sales</v>
      </c>
      <c r="W515" t="b">
        <f>ISNUMBER(New_Finance_Data[[#This Row],[Date]])</f>
        <v>1</v>
      </c>
    </row>
    <row r="516" spans="1:23" x14ac:dyDescent="0.2">
      <c r="A516" t="s">
        <v>15</v>
      </c>
      <c r="B516" t="s">
        <v>16</v>
      </c>
      <c r="C516" t="s">
        <v>36</v>
      </c>
      <c r="D516" t="s">
        <v>46</v>
      </c>
      <c r="E516" s="27">
        <v>2104.5</v>
      </c>
      <c r="F516" s="27">
        <v>10</v>
      </c>
      <c r="G516" s="27">
        <v>350</v>
      </c>
      <c r="H516" s="27">
        <v>736575</v>
      </c>
      <c r="I516" s="5">
        <v>81023.25</v>
      </c>
      <c r="J516" s="27">
        <v>655551.75</v>
      </c>
      <c r="K516" s="27">
        <v>547170</v>
      </c>
      <c r="L516" s="5">
        <v>108381.75</v>
      </c>
      <c r="M516" s="28">
        <v>41821</v>
      </c>
      <c r="N516" s="3">
        <v>7</v>
      </c>
      <c r="O516" s="29" t="s">
        <v>30</v>
      </c>
      <c r="P516" s="3">
        <v>2014</v>
      </c>
      <c r="Q516" s="6">
        <f>New_Finance_Data[[#This Row],[ Profit ]]/New_Finance_Data[[#This Row],[  Sales ]]</f>
        <v>0.1653290529695024</v>
      </c>
      <c r="R516" t="str">
        <f>IF(New_Finance_Data[[#This Row],[  Sales ]]&gt;=100000,"High",IF(New_Finance_Data[[#This Row],[  Sales ]]&gt;=50000,"Medium","Low"))</f>
        <v>High</v>
      </c>
      <c r="S516" t="str">
        <f>IF(OR(ISBLANK(New_Finance_Data[[#This Row],[  Sales ]]),ISBLANK(New_Finance_Data[[#This Row],[ Profit ]])),"Missing","OK")</f>
        <v>OK</v>
      </c>
      <c r="T516" t="str">
        <f>TEXT(New_Finance_Data[[#This Row],[Date]],"MMM-YYYY")</f>
        <v>Jul-2014</v>
      </c>
      <c r="U516" t="str">
        <f>IF(New_Finance_Data[[#This Row],[ Profit ]]&gt;0,"Profit","Loss")</f>
        <v>Profit</v>
      </c>
      <c r="V516" t="str">
        <f>IF(New_Finance_Data[[#This Row],[  Sales ]]&gt;=50000,"High Sales","Low Sales")</f>
        <v>High Sales</v>
      </c>
      <c r="W516" t="b">
        <f>ISNUMBER(New_Finance_Data[[#This Row],[Date]])</f>
        <v>1</v>
      </c>
    </row>
    <row r="517" spans="1:23" x14ac:dyDescent="0.2">
      <c r="A517" t="s">
        <v>28</v>
      </c>
      <c r="B517" t="s">
        <v>16</v>
      </c>
      <c r="C517" t="s">
        <v>36</v>
      </c>
      <c r="D517" t="s">
        <v>46</v>
      </c>
      <c r="E517" s="27">
        <v>4026</v>
      </c>
      <c r="F517" s="27">
        <v>10</v>
      </c>
      <c r="G517" s="27">
        <v>12</v>
      </c>
      <c r="H517" s="27">
        <v>48312</v>
      </c>
      <c r="I517" s="5">
        <v>5314.32</v>
      </c>
      <c r="J517" s="27">
        <v>42997.68</v>
      </c>
      <c r="K517" s="27">
        <v>12078</v>
      </c>
      <c r="L517" s="5">
        <v>30919.68</v>
      </c>
      <c r="M517" s="28">
        <v>41821</v>
      </c>
      <c r="N517" s="3">
        <v>7</v>
      </c>
      <c r="O517" s="29" t="s">
        <v>30</v>
      </c>
      <c r="P517" s="3">
        <v>2014</v>
      </c>
      <c r="Q517" s="6">
        <f>New_Finance_Data[[#This Row],[ Profit ]]/New_Finance_Data[[#This Row],[  Sales ]]</f>
        <v>0.7191011235955056</v>
      </c>
      <c r="R517" t="str">
        <f>IF(New_Finance_Data[[#This Row],[  Sales ]]&gt;=100000,"High",IF(New_Finance_Data[[#This Row],[  Sales ]]&gt;=50000,"Medium","Low"))</f>
        <v>Low</v>
      </c>
      <c r="S517" t="str">
        <f>IF(OR(ISBLANK(New_Finance_Data[[#This Row],[  Sales ]]),ISBLANK(New_Finance_Data[[#This Row],[ Profit ]])),"Missing","OK")</f>
        <v>OK</v>
      </c>
      <c r="T517" t="str">
        <f>TEXT(New_Finance_Data[[#This Row],[Date]],"MMM-YYYY")</f>
        <v>Jul-2014</v>
      </c>
      <c r="U517" t="str">
        <f>IF(New_Finance_Data[[#This Row],[ Profit ]]&gt;0,"Profit","Loss")</f>
        <v>Profit</v>
      </c>
      <c r="V517" t="str">
        <f>IF(New_Finance_Data[[#This Row],[  Sales ]]&gt;=50000,"High Sales","Low Sales")</f>
        <v>Low Sales</v>
      </c>
      <c r="W517" t="b">
        <f>ISNUMBER(New_Finance_Data[[#This Row],[Date]])</f>
        <v>1</v>
      </c>
    </row>
    <row r="518" spans="1:23" x14ac:dyDescent="0.2">
      <c r="A518" t="s">
        <v>28</v>
      </c>
      <c r="B518" t="s">
        <v>22</v>
      </c>
      <c r="C518" t="s">
        <v>36</v>
      </c>
      <c r="D518" t="s">
        <v>46</v>
      </c>
      <c r="E518" s="27">
        <v>2425.5</v>
      </c>
      <c r="F518" s="27">
        <v>10</v>
      </c>
      <c r="G518" s="27">
        <v>12</v>
      </c>
      <c r="H518" s="27">
        <v>29106</v>
      </c>
      <c r="I518" s="5">
        <v>3201.66</v>
      </c>
      <c r="J518" s="27">
        <v>25904.34</v>
      </c>
      <c r="K518" s="27">
        <v>7276.5</v>
      </c>
      <c r="L518" s="5">
        <v>18627.84</v>
      </c>
      <c r="M518" s="28">
        <v>41821</v>
      </c>
      <c r="N518" s="3">
        <v>7</v>
      </c>
      <c r="O518" s="29" t="s">
        <v>30</v>
      </c>
      <c r="P518" s="3">
        <v>2014</v>
      </c>
      <c r="Q518" s="6">
        <f>New_Finance_Data[[#This Row],[ Profit ]]/New_Finance_Data[[#This Row],[  Sales ]]</f>
        <v>0.7191011235955056</v>
      </c>
      <c r="R518" t="str">
        <f>IF(New_Finance_Data[[#This Row],[  Sales ]]&gt;=100000,"High",IF(New_Finance_Data[[#This Row],[  Sales ]]&gt;=50000,"Medium","Low"))</f>
        <v>Low</v>
      </c>
      <c r="S518" t="str">
        <f>IF(OR(ISBLANK(New_Finance_Data[[#This Row],[  Sales ]]),ISBLANK(New_Finance_Data[[#This Row],[ Profit ]])),"Missing","OK")</f>
        <v>OK</v>
      </c>
      <c r="T518" t="str">
        <f>TEXT(New_Finance_Data[[#This Row],[Date]],"MMM-YYYY")</f>
        <v>Jul-2014</v>
      </c>
      <c r="U518" t="str">
        <f>IF(New_Finance_Data[[#This Row],[ Profit ]]&gt;0,"Profit","Loss")</f>
        <v>Profit</v>
      </c>
      <c r="V518" t="str">
        <f>IF(New_Finance_Data[[#This Row],[  Sales ]]&gt;=50000,"High Sales","Low Sales")</f>
        <v>Low Sales</v>
      </c>
      <c r="W518" t="b">
        <f>ISNUMBER(New_Finance_Data[[#This Row],[Date]])</f>
        <v>1</v>
      </c>
    </row>
    <row r="519" spans="1:23" x14ac:dyDescent="0.2">
      <c r="A519" t="s">
        <v>15</v>
      </c>
      <c r="B519" t="s">
        <v>16</v>
      </c>
      <c r="C519" t="s">
        <v>36</v>
      </c>
      <c r="D519" t="s">
        <v>46</v>
      </c>
      <c r="E519" s="27">
        <v>2394</v>
      </c>
      <c r="F519" s="27">
        <v>10</v>
      </c>
      <c r="G519" s="27">
        <v>20</v>
      </c>
      <c r="H519" s="27">
        <v>47880</v>
      </c>
      <c r="I519" s="5">
        <v>5266.8</v>
      </c>
      <c r="J519" s="27">
        <v>42613.2</v>
      </c>
      <c r="K519" s="27">
        <v>23940</v>
      </c>
      <c r="L519" s="5">
        <v>18673.2</v>
      </c>
      <c r="M519" s="28">
        <v>41852</v>
      </c>
      <c r="N519" s="3">
        <v>8</v>
      </c>
      <c r="O519" s="29" t="s">
        <v>32</v>
      </c>
      <c r="P519" s="3">
        <v>2014</v>
      </c>
      <c r="Q519" s="6">
        <f>New_Finance_Data[[#This Row],[ Profit ]]/New_Finance_Data[[#This Row],[  Sales ]]</f>
        <v>0.43820224719101131</v>
      </c>
      <c r="R519" t="str">
        <f>IF(New_Finance_Data[[#This Row],[  Sales ]]&gt;=100000,"High",IF(New_Finance_Data[[#This Row],[  Sales ]]&gt;=50000,"Medium","Low"))</f>
        <v>Low</v>
      </c>
      <c r="S519" t="str">
        <f>IF(OR(ISBLANK(New_Finance_Data[[#This Row],[  Sales ]]),ISBLANK(New_Finance_Data[[#This Row],[ Profit ]])),"Missing","OK")</f>
        <v>OK</v>
      </c>
      <c r="T519" t="str">
        <f>TEXT(New_Finance_Data[[#This Row],[Date]],"MMM-YYYY")</f>
        <v>Aug-2014</v>
      </c>
      <c r="U519" t="str">
        <f>IF(New_Finance_Data[[#This Row],[ Profit ]]&gt;0,"Profit","Loss")</f>
        <v>Profit</v>
      </c>
      <c r="V519" t="str">
        <f>IF(New_Finance_Data[[#This Row],[  Sales ]]&gt;=50000,"High Sales","Low Sales")</f>
        <v>Low Sales</v>
      </c>
      <c r="W519" t="b">
        <f>ISNUMBER(New_Finance_Data[[#This Row],[Date]])</f>
        <v>1</v>
      </c>
    </row>
    <row r="520" spans="1:23" x14ac:dyDescent="0.2">
      <c r="A520" t="s">
        <v>21</v>
      </c>
      <c r="B520" t="s">
        <v>24</v>
      </c>
      <c r="C520" t="s">
        <v>36</v>
      </c>
      <c r="D520" t="s">
        <v>46</v>
      </c>
      <c r="E520" s="27">
        <v>1984</v>
      </c>
      <c r="F520" s="27">
        <v>10</v>
      </c>
      <c r="G520" s="27">
        <v>15</v>
      </c>
      <c r="H520" s="27">
        <v>29760</v>
      </c>
      <c r="I520" s="5">
        <v>3273.6</v>
      </c>
      <c r="J520" s="27">
        <v>26486.400000000001</v>
      </c>
      <c r="K520" s="27">
        <v>19840</v>
      </c>
      <c r="L520" s="5">
        <v>6646.4</v>
      </c>
      <c r="M520" s="28">
        <v>41852</v>
      </c>
      <c r="N520" s="3">
        <v>8</v>
      </c>
      <c r="O520" s="29" t="s">
        <v>32</v>
      </c>
      <c r="P520" s="3">
        <v>2014</v>
      </c>
      <c r="Q520" s="6">
        <f>New_Finance_Data[[#This Row],[ Profit ]]/New_Finance_Data[[#This Row],[  Sales ]]</f>
        <v>0.25093632958801493</v>
      </c>
      <c r="R520" t="str">
        <f>IF(New_Finance_Data[[#This Row],[  Sales ]]&gt;=100000,"High",IF(New_Finance_Data[[#This Row],[  Sales ]]&gt;=50000,"Medium","Low"))</f>
        <v>Low</v>
      </c>
      <c r="S520" t="str">
        <f>IF(OR(ISBLANK(New_Finance_Data[[#This Row],[  Sales ]]),ISBLANK(New_Finance_Data[[#This Row],[ Profit ]])),"Missing","OK")</f>
        <v>OK</v>
      </c>
      <c r="T520" t="str">
        <f>TEXT(New_Finance_Data[[#This Row],[Date]],"MMM-YYYY")</f>
        <v>Aug-2014</v>
      </c>
      <c r="U520" t="str">
        <f>IF(New_Finance_Data[[#This Row],[ Profit ]]&gt;0,"Profit","Loss")</f>
        <v>Profit</v>
      </c>
      <c r="V520" t="str">
        <f>IF(New_Finance_Data[[#This Row],[  Sales ]]&gt;=50000,"High Sales","Low Sales")</f>
        <v>Low Sales</v>
      </c>
      <c r="W520" t="b">
        <f>ISNUMBER(New_Finance_Data[[#This Row],[Date]])</f>
        <v>1</v>
      </c>
    </row>
    <row r="521" spans="1:23" x14ac:dyDescent="0.2">
      <c r="A521" t="s">
        <v>29</v>
      </c>
      <c r="B521" t="s">
        <v>22</v>
      </c>
      <c r="C521" t="s">
        <v>36</v>
      </c>
      <c r="D521" t="s">
        <v>46</v>
      </c>
      <c r="E521" s="27">
        <v>2441</v>
      </c>
      <c r="F521" s="27">
        <v>10</v>
      </c>
      <c r="G521" s="27">
        <v>125</v>
      </c>
      <c r="H521" s="27">
        <v>305125</v>
      </c>
      <c r="I521" s="5">
        <v>33563.75</v>
      </c>
      <c r="J521" s="27">
        <v>271561.25</v>
      </c>
      <c r="K521" s="27">
        <v>292920</v>
      </c>
      <c r="L521" s="5">
        <v>-21358.75</v>
      </c>
      <c r="M521" s="28">
        <v>41913</v>
      </c>
      <c r="N521" s="3">
        <v>10</v>
      </c>
      <c r="O521" s="29" t="s">
        <v>34</v>
      </c>
      <c r="P521" s="3">
        <v>2014</v>
      </c>
      <c r="Q521" s="6">
        <f>New_Finance_Data[[#This Row],[ Profit ]]/New_Finance_Data[[#This Row],[  Sales ]]</f>
        <v>-7.8651685393258425E-2</v>
      </c>
      <c r="R521" t="str">
        <f>IF(New_Finance_Data[[#This Row],[  Sales ]]&gt;=100000,"High",IF(New_Finance_Data[[#This Row],[  Sales ]]&gt;=50000,"Medium","Low"))</f>
        <v>High</v>
      </c>
      <c r="S521" t="str">
        <f>IF(OR(ISBLANK(New_Finance_Data[[#This Row],[  Sales ]]),ISBLANK(New_Finance_Data[[#This Row],[ Profit ]])),"Missing","OK")</f>
        <v>OK</v>
      </c>
      <c r="T521" t="str">
        <f>TEXT(New_Finance_Data[[#This Row],[Date]],"MMM-YYYY")</f>
        <v>Oct-2014</v>
      </c>
      <c r="U521" t="str">
        <f>IF(New_Finance_Data[[#This Row],[ Profit ]]&gt;0,"Profit","Loss")</f>
        <v>Loss</v>
      </c>
      <c r="V521" t="str">
        <f>IF(New_Finance_Data[[#This Row],[  Sales ]]&gt;=50000,"High Sales","Low Sales")</f>
        <v>High Sales</v>
      </c>
      <c r="W521" t="b">
        <f>ISNUMBER(New_Finance_Data[[#This Row],[Date]])</f>
        <v>1</v>
      </c>
    </row>
    <row r="522" spans="1:23" x14ac:dyDescent="0.2">
      <c r="A522" t="s">
        <v>15</v>
      </c>
      <c r="B522" t="s">
        <v>20</v>
      </c>
      <c r="C522" t="s">
        <v>36</v>
      </c>
      <c r="D522" t="s">
        <v>46</v>
      </c>
      <c r="E522" s="27">
        <v>2992</v>
      </c>
      <c r="F522" s="27">
        <v>10</v>
      </c>
      <c r="G522" s="27">
        <v>20</v>
      </c>
      <c r="H522" s="27">
        <v>59840</v>
      </c>
      <c r="I522" s="5">
        <v>6582.4</v>
      </c>
      <c r="J522" s="27">
        <v>53257.599999999999</v>
      </c>
      <c r="K522" s="27">
        <v>29920</v>
      </c>
      <c r="L522" s="5">
        <v>23337.599999999999</v>
      </c>
      <c r="M522" s="28">
        <v>41548</v>
      </c>
      <c r="N522" s="3">
        <v>10</v>
      </c>
      <c r="O522" s="29" t="s">
        <v>34</v>
      </c>
      <c r="P522" s="3">
        <v>2013</v>
      </c>
      <c r="Q522" s="6">
        <f>New_Finance_Data[[#This Row],[ Profit ]]/New_Finance_Data[[#This Row],[  Sales ]]</f>
        <v>0.4382022471910112</v>
      </c>
      <c r="R522" t="str">
        <f>IF(New_Finance_Data[[#This Row],[  Sales ]]&gt;=100000,"High",IF(New_Finance_Data[[#This Row],[  Sales ]]&gt;=50000,"Medium","Low"))</f>
        <v>Medium</v>
      </c>
      <c r="S522" t="str">
        <f>IF(OR(ISBLANK(New_Finance_Data[[#This Row],[  Sales ]]),ISBLANK(New_Finance_Data[[#This Row],[ Profit ]])),"Missing","OK")</f>
        <v>OK</v>
      </c>
      <c r="T522" t="str">
        <f>TEXT(New_Finance_Data[[#This Row],[Date]],"MMM-YYYY")</f>
        <v>Oct-2013</v>
      </c>
      <c r="U522" t="str">
        <f>IF(New_Finance_Data[[#This Row],[ Profit ]]&gt;0,"Profit","Loss")</f>
        <v>Profit</v>
      </c>
      <c r="V522" t="str">
        <f>IF(New_Finance_Data[[#This Row],[  Sales ]]&gt;=50000,"High Sales","Low Sales")</f>
        <v>High Sales</v>
      </c>
      <c r="W522" t="b">
        <f>ISNUMBER(New_Finance_Data[[#This Row],[Date]])</f>
        <v>1</v>
      </c>
    </row>
    <row r="523" spans="1:23" x14ac:dyDescent="0.2">
      <c r="A523" t="s">
        <v>31</v>
      </c>
      <c r="B523" t="s">
        <v>16</v>
      </c>
      <c r="C523" t="s">
        <v>36</v>
      </c>
      <c r="D523" t="s">
        <v>46</v>
      </c>
      <c r="E523" s="27">
        <v>1366</v>
      </c>
      <c r="F523" s="27">
        <v>10</v>
      </c>
      <c r="G523" s="27">
        <v>300</v>
      </c>
      <c r="H523" s="27">
        <v>409800</v>
      </c>
      <c r="I523" s="5">
        <v>45078</v>
      </c>
      <c r="J523" s="27">
        <v>364722</v>
      </c>
      <c r="K523" s="27">
        <v>341500</v>
      </c>
      <c r="L523" s="5">
        <v>23222</v>
      </c>
      <c r="M523" s="28">
        <v>41944</v>
      </c>
      <c r="N523" s="3">
        <v>11</v>
      </c>
      <c r="O523" s="29" t="s">
        <v>38</v>
      </c>
      <c r="P523" s="3">
        <v>2014</v>
      </c>
      <c r="Q523" s="6">
        <f>New_Finance_Data[[#This Row],[ Profit ]]/New_Finance_Data[[#This Row],[  Sales ]]</f>
        <v>6.3670411985018729E-2</v>
      </c>
      <c r="R523" t="str">
        <f>IF(New_Finance_Data[[#This Row],[  Sales ]]&gt;=100000,"High",IF(New_Finance_Data[[#This Row],[  Sales ]]&gt;=50000,"Medium","Low"))</f>
        <v>High</v>
      </c>
      <c r="S523" t="str">
        <f>IF(OR(ISBLANK(New_Finance_Data[[#This Row],[  Sales ]]),ISBLANK(New_Finance_Data[[#This Row],[ Profit ]])),"Missing","OK")</f>
        <v>OK</v>
      </c>
      <c r="T523" t="str">
        <f>TEXT(New_Finance_Data[[#This Row],[Date]],"MMM-YYYY")</f>
        <v>Nov-2014</v>
      </c>
      <c r="U523" t="str">
        <f>IF(New_Finance_Data[[#This Row],[ Profit ]]&gt;0,"Profit","Loss")</f>
        <v>Profit</v>
      </c>
      <c r="V523" t="str">
        <f>IF(New_Finance_Data[[#This Row],[  Sales ]]&gt;=50000,"High Sales","Low Sales")</f>
        <v>High Sales</v>
      </c>
      <c r="W523" t="b">
        <f>ISNUMBER(New_Finance_Data[[#This Row],[Date]])</f>
        <v>1</v>
      </c>
    </row>
    <row r="524" spans="1:23" x14ac:dyDescent="0.2">
      <c r="A524" t="s">
        <v>15</v>
      </c>
      <c r="B524" t="s">
        <v>22</v>
      </c>
      <c r="C524" t="s">
        <v>39</v>
      </c>
      <c r="D524" t="s">
        <v>46</v>
      </c>
      <c r="E524" s="27">
        <v>2805</v>
      </c>
      <c r="F524" s="27">
        <v>120</v>
      </c>
      <c r="G524" s="27">
        <v>20</v>
      </c>
      <c r="H524" s="27">
        <v>56100</v>
      </c>
      <c r="I524" s="5">
        <v>6171</v>
      </c>
      <c r="J524" s="27">
        <v>49929</v>
      </c>
      <c r="K524" s="27">
        <v>28050</v>
      </c>
      <c r="L524" s="5">
        <v>21879</v>
      </c>
      <c r="M524" s="28">
        <v>41518</v>
      </c>
      <c r="N524" s="3">
        <v>9</v>
      </c>
      <c r="O524" s="29" t="s">
        <v>33</v>
      </c>
      <c r="P524" s="3">
        <v>2013</v>
      </c>
      <c r="Q524" s="6">
        <f>New_Finance_Data[[#This Row],[ Profit ]]/New_Finance_Data[[#This Row],[  Sales ]]</f>
        <v>0.43820224719101125</v>
      </c>
      <c r="R524" t="str">
        <f>IF(New_Finance_Data[[#This Row],[  Sales ]]&gt;=100000,"High",IF(New_Finance_Data[[#This Row],[  Sales ]]&gt;=50000,"Medium","Low"))</f>
        <v>Low</v>
      </c>
      <c r="S524" t="str">
        <f>IF(OR(ISBLANK(New_Finance_Data[[#This Row],[  Sales ]]),ISBLANK(New_Finance_Data[[#This Row],[ Profit ]])),"Missing","OK")</f>
        <v>OK</v>
      </c>
      <c r="T524" t="str">
        <f>TEXT(New_Finance_Data[[#This Row],[Date]],"MMM-YYYY")</f>
        <v>Sep-2013</v>
      </c>
      <c r="U524" t="str">
        <f>IF(New_Finance_Data[[#This Row],[ Profit ]]&gt;0,"Profit","Loss")</f>
        <v>Profit</v>
      </c>
      <c r="V524" t="str">
        <f>IF(New_Finance_Data[[#This Row],[  Sales ]]&gt;=50000,"High Sales","Low Sales")</f>
        <v>Low Sales</v>
      </c>
      <c r="W524" t="b">
        <f>ISNUMBER(New_Finance_Data[[#This Row],[Date]])</f>
        <v>1</v>
      </c>
    </row>
    <row r="525" spans="1:23" x14ac:dyDescent="0.2">
      <c r="A525" t="s">
        <v>21</v>
      </c>
      <c r="B525" t="s">
        <v>24</v>
      </c>
      <c r="C525" t="s">
        <v>39</v>
      </c>
      <c r="D525" t="s">
        <v>46</v>
      </c>
      <c r="E525" s="27">
        <v>655</v>
      </c>
      <c r="F525" s="27">
        <v>120</v>
      </c>
      <c r="G525" s="27">
        <v>15</v>
      </c>
      <c r="H525" s="27">
        <v>9825</v>
      </c>
      <c r="I525" s="5">
        <v>1080.75</v>
      </c>
      <c r="J525" s="27">
        <v>8744.25</v>
      </c>
      <c r="K525" s="27">
        <v>6550</v>
      </c>
      <c r="L525" s="5">
        <v>2194.25</v>
      </c>
      <c r="M525" s="28">
        <v>41518</v>
      </c>
      <c r="N525" s="3">
        <v>9</v>
      </c>
      <c r="O525" s="29" t="s">
        <v>33</v>
      </c>
      <c r="P525" s="3">
        <v>2013</v>
      </c>
      <c r="Q525" s="6">
        <f>New_Finance_Data[[#This Row],[ Profit ]]/New_Finance_Data[[#This Row],[  Sales ]]</f>
        <v>0.25093632958801498</v>
      </c>
      <c r="R525" t="str">
        <f>IF(New_Finance_Data[[#This Row],[  Sales ]]&gt;=100000,"High",IF(New_Finance_Data[[#This Row],[  Sales ]]&gt;=50000,"Medium","Low"))</f>
        <v>Low</v>
      </c>
      <c r="S525" t="str">
        <f>IF(OR(ISBLANK(New_Finance_Data[[#This Row],[  Sales ]]),ISBLANK(New_Finance_Data[[#This Row],[ Profit ]])),"Missing","OK")</f>
        <v>OK</v>
      </c>
      <c r="T525" t="str">
        <f>TEXT(New_Finance_Data[[#This Row],[Date]],"MMM-YYYY")</f>
        <v>Sep-2013</v>
      </c>
      <c r="U525" t="str">
        <f>IF(New_Finance_Data[[#This Row],[ Profit ]]&gt;0,"Profit","Loss")</f>
        <v>Profit</v>
      </c>
      <c r="V525" t="str">
        <f>IF(New_Finance_Data[[#This Row],[  Sales ]]&gt;=50000,"High Sales","Low Sales")</f>
        <v>Low Sales</v>
      </c>
      <c r="W525" t="b">
        <f>ISNUMBER(New_Finance_Data[[#This Row],[Date]])</f>
        <v>1</v>
      </c>
    </row>
    <row r="526" spans="1:23" x14ac:dyDescent="0.2">
      <c r="A526" t="s">
        <v>15</v>
      </c>
      <c r="B526" t="s">
        <v>24</v>
      </c>
      <c r="C526" t="s">
        <v>39</v>
      </c>
      <c r="D526" t="s">
        <v>46</v>
      </c>
      <c r="E526" s="27">
        <v>344</v>
      </c>
      <c r="F526" s="27">
        <v>120</v>
      </c>
      <c r="G526" s="27">
        <v>350</v>
      </c>
      <c r="H526" s="27">
        <v>120400</v>
      </c>
      <c r="I526" s="5">
        <v>13244</v>
      </c>
      <c r="J526" s="27">
        <v>107156</v>
      </c>
      <c r="K526" s="27">
        <v>89440</v>
      </c>
      <c r="L526" s="5">
        <v>17716</v>
      </c>
      <c r="M526" s="28">
        <v>41548</v>
      </c>
      <c r="N526" s="3">
        <v>10</v>
      </c>
      <c r="O526" s="29" t="s">
        <v>34</v>
      </c>
      <c r="P526" s="3">
        <v>2013</v>
      </c>
      <c r="Q526" s="6">
        <f>New_Finance_Data[[#This Row],[ Profit ]]/New_Finance_Data[[#This Row],[  Sales ]]</f>
        <v>0.1653290529695024</v>
      </c>
      <c r="R526" t="str">
        <f>IF(New_Finance_Data[[#This Row],[  Sales ]]&gt;=100000,"High",IF(New_Finance_Data[[#This Row],[  Sales ]]&gt;=50000,"Medium","Low"))</f>
        <v>High</v>
      </c>
      <c r="S526" t="str">
        <f>IF(OR(ISBLANK(New_Finance_Data[[#This Row],[  Sales ]]),ISBLANK(New_Finance_Data[[#This Row],[ Profit ]])),"Missing","OK")</f>
        <v>OK</v>
      </c>
      <c r="T526" t="str">
        <f>TEXT(New_Finance_Data[[#This Row],[Date]],"MMM-YYYY")</f>
        <v>Oct-2013</v>
      </c>
      <c r="U526" t="str">
        <f>IF(New_Finance_Data[[#This Row],[ Profit ]]&gt;0,"Profit","Loss")</f>
        <v>Profit</v>
      </c>
      <c r="V526" t="str">
        <f>IF(New_Finance_Data[[#This Row],[  Sales ]]&gt;=50000,"High Sales","Low Sales")</f>
        <v>High Sales</v>
      </c>
      <c r="W526" t="b">
        <f>ISNUMBER(New_Finance_Data[[#This Row],[Date]])</f>
        <v>1</v>
      </c>
    </row>
    <row r="527" spans="1:23" x14ac:dyDescent="0.2">
      <c r="A527" t="s">
        <v>15</v>
      </c>
      <c r="B527" t="s">
        <v>16</v>
      </c>
      <c r="C527" t="s">
        <v>39</v>
      </c>
      <c r="D527" t="s">
        <v>46</v>
      </c>
      <c r="E527" s="27">
        <v>1808</v>
      </c>
      <c r="F527" s="27">
        <v>120</v>
      </c>
      <c r="G527" s="27">
        <v>7</v>
      </c>
      <c r="H527" s="27">
        <v>12656</v>
      </c>
      <c r="I527" s="5">
        <v>1392.16</v>
      </c>
      <c r="J527" s="27">
        <v>11263.84</v>
      </c>
      <c r="K527" s="27">
        <v>9040</v>
      </c>
      <c r="L527" s="5">
        <v>2223.84</v>
      </c>
      <c r="M527" s="28">
        <v>41944</v>
      </c>
      <c r="N527" s="3">
        <v>11</v>
      </c>
      <c r="O527" s="29" t="s">
        <v>38</v>
      </c>
      <c r="P527" s="3">
        <v>2014</v>
      </c>
      <c r="Q527" s="6">
        <f>New_Finance_Data[[#This Row],[ Profit ]]/New_Finance_Data[[#This Row],[  Sales ]]</f>
        <v>0.19743178170144463</v>
      </c>
      <c r="R527" t="str">
        <f>IF(New_Finance_Data[[#This Row],[  Sales ]]&gt;=100000,"High",IF(New_Finance_Data[[#This Row],[  Sales ]]&gt;=50000,"Medium","Low"))</f>
        <v>Low</v>
      </c>
      <c r="S527" t="str">
        <f>IF(OR(ISBLANK(New_Finance_Data[[#This Row],[  Sales ]]),ISBLANK(New_Finance_Data[[#This Row],[ Profit ]])),"Missing","OK")</f>
        <v>OK</v>
      </c>
      <c r="T527" t="str">
        <f>TEXT(New_Finance_Data[[#This Row],[Date]],"MMM-YYYY")</f>
        <v>Nov-2014</v>
      </c>
      <c r="U527" t="str">
        <f>IF(New_Finance_Data[[#This Row],[ Profit ]]&gt;0,"Profit","Loss")</f>
        <v>Profit</v>
      </c>
      <c r="V527" t="str">
        <f>IF(New_Finance_Data[[#This Row],[  Sales ]]&gt;=50000,"High Sales","Low Sales")</f>
        <v>Low Sales</v>
      </c>
      <c r="W527" t="b">
        <f>ISNUMBER(New_Finance_Data[[#This Row],[Date]])</f>
        <v>1</v>
      </c>
    </row>
    <row r="528" spans="1:23" x14ac:dyDescent="0.2">
      <c r="A528" t="s">
        <v>28</v>
      </c>
      <c r="B528" t="s">
        <v>22</v>
      </c>
      <c r="C528" t="s">
        <v>40</v>
      </c>
      <c r="D528" t="s">
        <v>46</v>
      </c>
      <c r="E528" s="27">
        <v>1734</v>
      </c>
      <c r="F528" s="27">
        <v>250</v>
      </c>
      <c r="G528" s="27">
        <v>12</v>
      </c>
      <c r="H528" s="27">
        <v>20808</v>
      </c>
      <c r="I528" s="5">
        <v>2288.88</v>
      </c>
      <c r="J528" s="27">
        <v>18519.12</v>
      </c>
      <c r="K528" s="27">
        <v>5202</v>
      </c>
      <c r="L528" s="5">
        <v>13317.12</v>
      </c>
      <c r="M528" s="28">
        <v>41640</v>
      </c>
      <c r="N528" s="3">
        <v>1</v>
      </c>
      <c r="O528" s="29" t="s">
        <v>19</v>
      </c>
      <c r="P528" s="3">
        <v>2014</v>
      </c>
      <c r="Q528" s="6">
        <f>New_Finance_Data[[#This Row],[ Profit ]]/New_Finance_Data[[#This Row],[  Sales ]]</f>
        <v>0.71910112359550571</v>
      </c>
      <c r="R528" t="str">
        <f>IF(New_Finance_Data[[#This Row],[  Sales ]]&gt;=100000,"High",IF(New_Finance_Data[[#This Row],[  Sales ]]&gt;=50000,"Medium","Low"))</f>
        <v>Low</v>
      </c>
      <c r="S528" t="str">
        <f>IF(OR(ISBLANK(New_Finance_Data[[#This Row],[  Sales ]]),ISBLANK(New_Finance_Data[[#This Row],[ Profit ]])),"Missing","OK")</f>
        <v>OK</v>
      </c>
      <c r="T528" t="str">
        <f>TEXT(New_Finance_Data[[#This Row],[Date]],"MMM-YYYY")</f>
        <v>Jan-2014</v>
      </c>
      <c r="U528" t="str">
        <f>IF(New_Finance_Data[[#This Row],[ Profit ]]&gt;0,"Profit","Loss")</f>
        <v>Profit</v>
      </c>
      <c r="V528" t="str">
        <f>IF(New_Finance_Data[[#This Row],[  Sales ]]&gt;=50000,"High Sales","Low Sales")</f>
        <v>Low Sales</v>
      </c>
      <c r="W528" t="b">
        <f>ISNUMBER(New_Finance_Data[[#This Row],[Date]])</f>
        <v>1</v>
      </c>
    </row>
    <row r="529" spans="1:23" x14ac:dyDescent="0.2">
      <c r="A529" t="s">
        <v>29</v>
      </c>
      <c r="B529" t="s">
        <v>24</v>
      </c>
      <c r="C529" t="s">
        <v>40</v>
      </c>
      <c r="D529" t="s">
        <v>46</v>
      </c>
      <c r="E529" s="27">
        <v>554</v>
      </c>
      <c r="F529" s="27">
        <v>250</v>
      </c>
      <c r="G529" s="27">
        <v>125</v>
      </c>
      <c r="H529" s="27">
        <v>69250</v>
      </c>
      <c r="I529" s="5">
        <v>7617.5</v>
      </c>
      <c r="J529" s="27">
        <v>61632.5</v>
      </c>
      <c r="K529" s="27">
        <v>66480</v>
      </c>
      <c r="L529" s="5">
        <v>-4847.5</v>
      </c>
      <c r="M529" s="28">
        <v>41640</v>
      </c>
      <c r="N529" s="3">
        <v>1</v>
      </c>
      <c r="O529" s="29" t="s">
        <v>19</v>
      </c>
      <c r="P529" s="3">
        <v>2014</v>
      </c>
      <c r="Q529" s="6">
        <f>New_Finance_Data[[#This Row],[ Profit ]]/New_Finance_Data[[#This Row],[  Sales ]]</f>
        <v>-7.8651685393258425E-2</v>
      </c>
      <c r="R529" t="str">
        <f>IF(New_Finance_Data[[#This Row],[  Sales ]]&gt;=100000,"High",IF(New_Finance_Data[[#This Row],[  Sales ]]&gt;=50000,"Medium","Low"))</f>
        <v>Medium</v>
      </c>
      <c r="S529" t="str">
        <f>IF(OR(ISBLANK(New_Finance_Data[[#This Row],[  Sales ]]),ISBLANK(New_Finance_Data[[#This Row],[ Profit ]])),"Missing","OK")</f>
        <v>OK</v>
      </c>
      <c r="T529" t="str">
        <f>TEXT(New_Finance_Data[[#This Row],[Date]],"MMM-YYYY")</f>
        <v>Jan-2014</v>
      </c>
      <c r="U529" t="str">
        <f>IF(New_Finance_Data[[#This Row],[ Profit ]]&gt;0,"Profit","Loss")</f>
        <v>Loss</v>
      </c>
      <c r="V529" t="str">
        <f>IF(New_Finance_Data[[#This Row],[  Sales ]]&gt;=50000,"High Sales","Low Sales")</f>
        <v>High Sales</v>
      </c>
      <c r="W529" t="b">
        <f>ISNUMBER(New_Finance_Data[[#This Row],[Date]])</f>
        <v>1</v>
      </c>
    </row>
    <row r="530" spans="1:23" x14ac:dyDescent="0.2">
      <c r="A530" t="s">
        <v>15</v>
      </c>
      <c r="B530" t="s">
        <v>16</v>
      </c>
      <c r="C530" t="s">
        <v>40</v>
      </c>
      <c r="D530" t="s">
        <v>46</v>
      </c>
      <c r="E530" s="27">
        <v>2935</v>
      </c>
      <c r="F530" s="27">
        <v>250</v>
      </c>
      <c r="G530" s="27">
        <v>20</v>
      </c>
      <c r="H530" s="27">
        <v>58700</v>
      </c>
      <c r="I530" s="5">
        <v>6457</v>
      </c>
      <c r="J530" s="27">
        <v>52243</v>
      </c>
      <c r="K530" s="27">
        <v>29350</v>
      </c>
      <c r="L530" s="5">
        <v>22893</v>
      </c>
      <c r="M530" s="28">
        <v>41579</v>
      </c>
      <c r="N530" s="3">
        <v>11</v>
      </c>
      <c r="O530" s="29" t="s">
        <v>38</v>
      </c>
      <c r="P530" s="3">
        <v>2013</v>
      </c>
      <c r="Q530" s="6">
        <f>New_Finance_Data[[#This Row],[ Profit ]]/New_Finance_Data[[#This Row],[  Sales ]]</f>
        <v>0.43820224719101125</v>
      </c>
      <c r="R530" t="str">
        <f>IF(New_Finance_Data[[#This Row],[  Sales ]]&gt;=100000,"High",IF(New_Finance_Data[[#This Row],[  Sales ]]&gt;=50000,"Medium","Low"))</f>
        <v>Medium</v>
      </c>
      <c r="S530" t="str">
        <f>IF(OR(ISBLANK(New_Finance_Data[[#This Row],[  Sales ]]),ISBLANK(New_Finance_Data[[#This Row],[ Profit ]])),"Missing","OK")</f>
        <v>OK</v>
      </c>
      <c r="T530" t="str">
        <f>TEXT(New_Finance_Data[[#This Row],[Date]],"MMM-YYYY")</f>
        <v>Nov-2013</v>
      </c>
      <c r="U530" t="str">
        <f>IF(New_Finance_Data[[#This Row],[ Profit ]]&gt;0,"Profit","Loss")</f>
        <v>Profit</v>
      </c>
      <c r="V530" t="str">
        <f>IF(New_Finance_Data[[#This Row],[  Sales ]]&gt;=50000,"High Sales","Low Sales")</f>
        <v>High Sales</v>
      </c>
      <c r="W530" t="b">
        <f>ISNUMBER(New_Finance_Data[[#This Row],[Date]])</f>
        <v>1</v>
      </c>
    </row>
    <row r="531" spans="1:23" x14ac:dyDescent="0.2">
      <c r="A531" t="s">
        <v>29</v>
      </c>
      <c r="B531" t="s">
        <v>20</v>
      </c>
      <c r="C531" t="s">
        <v>42</v>
      </c>
      <c r="D531" t="s">
        <v>46</v>
      </c>
      <c r="E531" s="27">
        <v>3165</v>
      </c>
      <c r="F531" s="27">
        <v>260</v>
      </c>
      <c r="G531" s="27">
        <v>125</v>
      </c>
      <c r="H531" s="27">
        <v>395625</v>
      </c>
      <c r="I531" s="5">
        <v>43518.75</v>
      </c>
      <c r="J531" s="27">
        <v>352106.25</v>
      </c>
      <c r="K531" s="27">
        <v>379800</v>
      </c>
      <c r="L531" s="5">
        <v>-27693.75</v>
      </c>
      <c r="M531" s="28">
        <v>41640</v>
      </c>
      <c r="N531" s="3">
        <v>1</v>
      </c>
      <c r="O531" s="29" t="s">
        <v>19</v>
      </c>
      <c r="P531" s="3">
        <v>2014</v>
      </c>
      <c r="Q531" s="6">
        <f>New_Finance_Data[[#This Row],[ Profit ]]/New_Finance_Data[[#This Row],[  Sales ]]</f>
        <v>-7.8651685393258425E-2</v>
      </c>
      <c r="R531" t="str">
        <f>IF(New_Finance_Data[[#This Row],[  Sales ]]&gt;=100000,"High",IF(New_Finance_Data[[#This Row],[  Sales ]]&gt;=50000,"Medium","Low"))</f>
        <v>High</v>
      </c>
      <c r="S531" t="str">
        <f>IF(OR(ISBLANK(New_Finance_Data[[#This Row],[  Sales ]]),ISBLANK(New_Finance_Data[[#This Row],[ Profit ]])),"Missing","OK")</f>
        <v>OK</v>
      </c>
      <c r="T531" t="str">
        <f>TEXT(New_Finance_Data[[#This Row],[Date]],"MMM-YYYY")</f>
        <v>Jan-2014</v>
      </c>
      <c r="U531" t="str">
        <f>IF(New_Finance_Data[[#This Row],[ Profit ]]&gt;0,"Profit","Loss")</f>
        <v>Loss</v>
      </c>
      <c r="V531" t="str">
        <f>IF(New_Finance_Data[[#This Row],[  Sales ]]&gt;=50000,"High Sales","Low Sales")</f>
        <v>High Sales</v>
      </c>
      <c r="W531" t="b">
        <f>ISNUMBER(New_Finance_Data[[#This Row],[Date]])</f>
        <v>1</v>
      </c>
    </row>
    <row r="532" spans="1:23" x14ac:dyDescent="0.2">
      <c r="A532" t="s">
        <v>15</v>
      </c>
      <c r="B532" t="s">
        <v>24</v>
      </c>
      <c r="C532" t="s">
        <v>42</v>
      </c>
      <c r="D532" t="s">
        <v>46</v>
      </c>
      <c r="E532" s="27">
        <v>2629</v>
      </c>
      <c r="F532" s="27">
        <v>260</v>
      </c>
      <c r="G532" s="27">
        <v>20</v>
      </c>
      <c r="H532" s="27">
        <v>52580</v>
      </c>
      <c r="I532" s="5">
        <v>5783.8</v>
      </c>
      <c r="J532" s="27">
        <v>46796.2</v>
      </c>
      <c r="K532" s="27">
        <v>26290</v>
      </c>
      <c r="L532" s="5">
        <v>20506.2</v>
      </c>
      <c r="M532" s="28">
        <v>41640</v>
      </c>
      <c r="N532" s="3">
        <v>1</v>
      </c>
      <c r="O532" s="29" t="s">
        <v>19</v>
      </c>
      <c r="P532" s="3">
        <v>2014</v>
      </c>
      <c r="Q532" s="6">
        <f>New_Finance_Data[[#This Row],[ Profit ]]/New_Finance_Data[[#This Row],[  Sales ]]</f>
        <v>0.43820224719101125</v>
      </c>
      <c r="R532" t="str">
        <f>IF(New_Finance_Data[[#This Row],[  Sales ]]&gt;=100000,"High",IF(New_Finance_Data[[#This Row],[  Sales ]]&gt;=50000,"Medium","Low"))</f>
        <v>Low</v>
      </c>
      <c r="S532" t="str">
        <f>IF(OR(ISBLANK(New_Finance_Data[[#This Row],[  Sales ]]),ISBLANK(New_Finance_Data[[#This Row],[ Profit ]])),"Missing","OK")</f>
        <v>OK</v>
      </c>
      <c r="T532" t="str">
        <f>TEXT(New_Finance_Data[[#This Row],[Date]],"MMM-YYYY")</f>
        <v>Jan-2014</v>
      </c>
      <c r="U532" t="str">
        <f>IF(New_Finance_Data[[#This Row],[ Profit ]]&gt;0,"Profit","Loss")</f>
        <v>Profit</v>
      </c>
      <c r="V532" t="str">
        <f>IF(New_Finance_Data[[#This Row],[  Sales ]]&gt;=50000,"High Sales","Low Sales")</f>
        <v>Low Sales</v>
      </c>
      <c r="W532" t="b">
        <f>ISNUMBER(New_Finance_Data[[#This Row],[Date]])</f>
        <v>1</v>
      </c>
    </row>
    <row r="533" spans="1:23" x14ac:dyDescent="0.2">
      <c r="A533" t="s">
        <v>29</v>
      </c>
      <c r="B533" t="s">
        <v>22</v>
      </c>
      <c r="C533" t="s">
        <v>42</v>
      </c>
      <c r="D533" t="s">
        <v>46</v>
      </c>
      <c r="E533" s="27">
        <v>1433</v>
      </c>
      <c r="F533" s="27">
        <v>260</v>
      </c>
      <c r="G533" s="27">
        <v>125</v>
      </c>
      <c r="H533" s="27">
        <v>179125</v>
      </c>
      <c r="I533" s="5">
        <v>19703.75</v>
      </c>
      <c r="J533" s="27">
        <v>159421.25</v>
      </c>
      <c r="K533" s="27">
        <v>171960</v>
      </c>
      <c r="L533" s="5">
        <v>-12538.75</v>
      </c>
      <c r="M533" s="28">
        <v>41760</v>
      </c>
      <c r="N533" s="3">
        <v>5</v>
      </c>
      <c r="O533" s="29" t="s">
        <v>44</v>
      </c>
      <c r="P533" s="3">
        <v>2014</v>
      </c>
      <c r="Q533" s="6">
        <f>New_Finance_Data[[#This Row],[ Profit ]]/New_Finance_Data[[#This Row],[  Sales ]]</f>
        <v>-7.8651685393258425E-2</v>
      </c>
      <c r="R533" t="str">
        <f>IF(New_Finance_Data[[#This Row],[  Sales ]]&gt;=100000,"High",IF(New_Finance_Data[[#This Row],[  Sales ]]&gt;=50000,"Medium","Low"))</f>
        <v>High</v>
      </c>
      <c r="S533" t="str">
        <f>IF(OR(ISBLANK(New_Finance_Data[[#This Row],[  Sales ]]),ISBLANK(New_Finance_Data[[#This Row],[ Profit ]])),"Missing","OK")</f>
        <v>OK</v>
      </c>
      <c r="T533" t="str">
        <f>TEXT(New_Finance_Data[[#This Row],[Date]],"MMM-YYYY")</f>
        <v>May-2014</v>
      </c>
      <c r="U533" t="str">
        <f>IF(New_Finance_Data[[#This Row],[ Profit ]]&gt;0,"Profit","Loss")</f>
        <v>Loss</v>
      </c>
      <c r="V533" t="str">
        <f>IF(New_Finance_Data[[#This Row],[  Sales ]]&gt;=50000,"High Sales","Low Sales")</f>
        <v>High Sales</v>
      </c>
      <c r="W533" t="b">
        <f>ISNUMBER(New_Finance_Data[[#This Row],[Date]])</f>
        <v>1</v>
      </c>
    </row>
    <row r="534" spans="1:23" x14ac:dyDescent="0.2">
      <c r="A534" t="s">
        <v>29</v>
      </c>
      <c r="B534" t="s">
        <v>24</v>
      </c>
      <c r="C534" t="s">
        <v>42</v>
      </c>
      <c r="D534" t="s">
        <v>46</v>
      </c>
      <c r="E534" s="27">
        <v>947</v>
      </c>
      <c r="F534" s="27">
        <v>260</v>
      </c>
      <c r="G534" s="27">
        <v>125</v>
      </c>
      <c r="H534" s="27">
        <v>118375</v>
      </c>
      <c r="I534" s="5">
        <v>13021.25</v>
      </c>
      <c r="J534" s="27">
        <v>105353.75</v>
      </c>
      <c r="K534" s="27">
        <v>113640</v>
      </c>
      <c r="L534" s="5">
        <v>-8286.25</v>
      </c>
      <c r="M534" s="28">
        <v>41518</v>
      </c>
      <c r="N534" s="3">
        <v>9</v>
      </c>
      <c r="O534" s="29" t="s">
        <v>33</v>
      </c>
      <c r="P534" s="3">
        <v>2013</v>
      </c>
      <c r="Q534" s="6">
        <f>New_Finance_Data[[#This Row],[ Profit ]]/New_Finance_Data[[#This Row],[  Sales ]]</f>
        <v>-7.8651685393258425E-2</v>
      </c>
      <c r="R534" t="str">
        <f>IF(New_Finance_Data[[#This Row],[  Sales ]]&gt;=100000,"High",IF(New_Finance_Data[[#This Row],[  Sales ]]&gt;=50000,"Medium","Low"))</f>
        <v>High</v>
      </c>
      <c r="S534" t="str">
        <f>IF(OR(ISBLANK(New_Finance_Data[[#This Row],[  Sales ]]),ISBLANK(New_Finance_Data[[#This Row],[ Profit ]])),"Missing","OK")</f>
        <v>OK</v>
      </c>
      <c r="T534" t="str">
        <f>TEXT(New_Finance_Data[[#This Row],[Date]],"MMM-YYYY")</f>
        <v>Sep-2013</v>
      </c>
      <c r="U534" t="str">
        <f>IF(New_Finance_Data[[#This Row],[ Profit ]]&gt;0,"Profit","Loss")</f>
        <v>Loss</v>
      </c>
      <c r="V534" t="str">
        <f>IF(New_Finance_Data[[#This Row],[  Sales ]]&gt;=50000,"High Sales","Low Sales")</f>
        <v>High Sales</v>
      </c>
      <c r="W534" t="b">
        <f>ISNUMBER(New_Finance_Data[[#This Row],[Date]])</f>
        <v>1</v>
      </c>
    </row>
    <row r="535" spans="1:23" x14ac:dyDescent="0.2">
      <c r="A535" t="s">
        <v>15</v>
      </c>
      <c r="B535" t="s">
        <v>24</v>
      </c>
      <c r="C535" t="s">
        <v>42</v>
      </c>
      <c r="D535" t="s">
        <v>46</v>
      </c>
      <c r="E535" s="27">
        <v>344</v>
      </c>
      <c r="F535" s="27">
        <v>260</v>
      </c>
      <c r="G535" s="27">
        <v>350</v>
      </c>
      <c r="H535" s="27">
        <v>120400</v>
      </c>
      <c r="I535" s="5">
        <v>13244</v>
      </c>
      <c r="J535" s="27">
        <v>107156</v>
      </c>
      <c r="K535" s="27">
        <v>89440</v>
      </c>
      <c r="L535" s="5">
        <v>17716</v>
      </c>
      <c r="M535" s="28">
        <v>41548</v>
      </c>
      <c r="N535" s="3">
        <v>10</v>
      </c>
      <c r="O535" s="29" t="s">
        <v>34</v>
      </c>
      <c r="P535" s="3">
        <v>2013</v>
      </c>
      <c r="Q535" s="6">
        <f>New_Finance_Data[[#This Row],[ Profit ]]/New_Finance_Data[[#This Row],[  Sales ]]</f>
        <v>0.1653290529695024</v>
      </c>
      <c r="R535" t="str">
        <f>IF(New_Finance_Data[[#This Row],[  Sales ]]&gt;=100000,"High",IF(New_Finance_Data[[#This Row],[  Sales ]]&gt;=50000,"Medium","Low"))</f>
        <v>High</v>
      </c>
      <c r="S535" t="str">
        <f>IF(OR(ISBLANK(New_Finance_Data[[#This Row],[  Sales ]]),ISBLANK(New_Finance_Data[[#This Row],[ Profit ]])),"Missing","OK")</f>
        <v>OK</v>
      </c>
      <c r="T535" t="str">
        <f>TEXT(New_Finance_Data[[#This Row],[Date]],"MMM-YYYY")</f>
        <v>Oct-2013</v>
      </c>
      <c r="U535" t="str">
        <f>IF(New_Finance_Data[[#This Row],[ Profit ]]&gt;0,"Profit","Loss")</f>
        <v>Profit</v>
      </c>
      <c r="V535" t="str">
        <f>IF(New_Finance_Data[[#This Row],[  Sales ]]&gt;=50000,"High Sales","Low Sales")</f>
        <v>High Sales</v>
      </c>
      <c r="W535" t="b">
        <f>ISNUMBER(New_Finance_Data[[#This Row],[Date]])</f>
        <v>1</v>
      </c>
    </row>
    <row r="536" spans="1:23" x14ac:dyDescent="0.2">
      <c r="A536" t="s">
        <v>21</v>
      </c>
      <c r="B536" t="s">
        <v>24</v>
      </c>
      <c r="C536" t="s">
        <v>42</v>
      </c>
      <c r="D536" t="s">
        <v>46</v>
      </c>
      <c r="E536" s="27">
        <v>2157</v>
      </c>
      <c r="F536" s="27">
        <v>260</v>
      </c>
      <c r="G536" s="27">
        <v>15</v>
      </c>
      <c r="H536" s="27">
        <v>32355</v>
      </c>
      <c r="I536" s="5">
        <v>3559.05</v>
      </c>
      <c r="J536" s="27">
        <v>28795.95</v>
      </c>
      <c r="K536" s="27">
        <v>21570</v>
      </c>
      <c r="L536" s="5">
        <v>7225.95</v>
      </c>
      <c r="M536" s="28">
        <v>41974</v>
      </c>
      <c r="N536" s="3">
        <v>12</v>
      </c>
      <c r="O536" s="29" t="s">
        <v>25</v>
      </c>
      <c r="P536" s="3">
        <v>2014</v>
      </c>
      <c r="Q536" s="6">
        <f>New_Finance_Data[[#This Row],[ Profit ]]/New_Finance_Data[[#This Row],[  Sales ]]</f>
        <v>0.25093632958801498</v>
      </c>
      <c r="R536" t="str">
        <f>IF(New_Finance_Data[[#This Row],[  Sales ]]&gt;=100000,"High",IF(New_Finance_Data[[#This Row],[  Sales ]]&gt;=50000,"Medium","Low"))</f>
        <v>Low</v>
      </c>
      <c r="S536" t="str">
        <f>IF(OR(ISBLANK(New_Finance_Data[[#This Row],[  Sales ]]),ISBLANK(New_Finance_Data[[#This Row],[ Profit ]])),"Missing","OK")</f>
        <v>OK</v>
      </c>
      <c r="T536" t="str">
        <f>TEXT(New_Finance_Data[[#This Row],[Date]],"MMM-YYYY")</f>
        <v>Dec-2014</v>
      </c>
      <c r="U536" t="str">
        <f>IF(New_Finance_Data[[#This Row],[ Profit ]]&gt;0,"Profit","Loss")</f>
        <v>Profit</v>
      </c>
      <c r="V536" t="str">
        <f>IF(New_Finance_Data[[#This Row],[  Sales ]]&gt;=50000,"High Sales","Low Sales")</f>
        <v>Low Sales</v>
      </c>
      <c r="W536" t="b">
        <f>ISNUMBER(New_Finance_Data[[#This Row],[Date]])</f>
        <v>1</v>
      </c>
    </row>
    <row r="537" spans="1:23" x14ac:dyDescent="0.2">
      <c r="A537" t="s">
        <v>15</v>
      </c>
      <c r="B537" t="s">
        <v>35</v>
      </c>
      <c r="C537" t="s">
        <v>36</v>
      </c>
      <c r="D537" t="s">
        <v>46</v>
      </c>
      <c r="E537" s="27">
        <v>380</v>
      </c>
      <c r="F537" s="27">
        <v>10</v>
      </c>
      <c r="G537" s="27">
        <v>7</v>
      </c>
      <c r="H537" s="27">
        <v>2660</v>
      </c>
      <c r="I537" s="5">
        <v>292.60000000000002</v>
      </c>
      <c r="J537" s="27">
        <v>2367.4</v>
      </c>
      <c r="K537" s="27">
        <v>1900</v>
      </c>
      <c r="L537" s="5">
        <v>467.4</v>
      </c>
      <c r="M537" s="28">
        <v>41518</v>
      </c>
      <c r="N537" s="3">
        <v>9</v>
      </c>
      <c r="O537" s="29" t="s">
        <v>33</v>
      </c>
      <c r="P537" s="3">
        <v>2013</v>
      </c>
      <c r="Q537" s="6">
        <f>New_Finance_Data[[#This Row],[ Profit ]]/New_Finance_Data[[#This Row],[  Sales ]]</f>
        <v>0.1974317817014446</v>
      </c>
      <c r="R537" t="str">
        <f>IF(New_Finance_Data[[#This Row],[  Sales ]]&gt;=100000,"High",IF(New_Finance_Data[[#This Row],[  Sales ]]&gt;=50000,"Medium","Low"))</f>
        <v>Low</v>
      </c>
      <c r="S537" t="str">
        <f>IF(OR(ISBLANK(New_Finance_Data[[#This Row],[  Sales ]]),ISBLANK(New_Finance_Data[[#This Row],[ Profit ]])),"Missing","OK")</f>
        <v>OK</v>
      </c>
      <c r="T537" t="str">
        <f>TEXT(New_Finance_Data[[#This Row],[Date]],"MMM-YYYY")</f>
        <v>Sep-2013</v>
      </c>
      <c r="U537" t="str">
        <f>IF(New_Finance_Data[[#This Row],[ Profit ]]&gt;0,"Profit","Loss")</f>
        <v>Profit</v>
      </c>
      <c r="V537" t="str">
        <f>IF(New_Finance_Data[[#This Row],[  Sales ]]&gt;=50000,"High Sales","Low Sales")</f>
        <v>Low Sales</v>
      </c>
      <c r="W537" t="b">
        <f>ISNUMBER(New_Finance_Data[[#This Row],[Date]])</f>
        <v>1</v>
      </c>
    </row>
    <row r="538" spans="1:23" x14ac:dyDescent="0.2">
      <c r="A538" t="s">
        <v>15</v>
      </c>
      <c r="B538" t="s">
        <v>24</v>
      </c>
      <c r="C538" t="s">
        <v>17</v>
      </c>
      <c r="D538" t="s">
        <v>46</v>
      </c>
      <c r="E538" s="27">
        <v>886</v>
      </c>
      <c r="F538" s="27">
        <v>3</v>
      </c>
      <c r="G538" s="27">
        <v>350</v>
      </c>
      <c r="H538" s="27">
        <v>310100</v>
      </c>
      <c r="I538" s="5">
        <v>37212</v>
      </c>
      <c r="J538" s="27">
        <v>272888</v>
      </c>
      <c r="K538" s="27">
        <v>230360</v>
      </c>
      <c r="L538" s="5">
        <v>42528</v>
      </c>
      <c r="M538" s="28">
        <v>41791</v>
      </c>
      <c r="N538" s="3">
        <v>6</v>
      </c>
      <c r="O538" s="29" t="s">
        <v>23</v>
      </c>
      <c r="P538" s="3">
        <v>2014</v>
      </c>
      <c r="Q538" s="6">
        <f>New_Finance_Data[[#This Row],[ Profit ]]/New_Finance_Data[[#This Row],[  Sales ]]</f>
        <v>0.15584415584415584</v>
      </c>
      <c r="R538" t="str">
        <f>IF(New_Finance_Data[[#This Row],[  Sales ]]&gt;=100000,"High",IF(New_Finance_Data[[#This Row],[  Sales ]]&gt;=50000,"Medium","Low"))</f>
        <v>High</v>
      </c>
      <c r="S538" t="str">
        <f>IF(OR(ISBLANK(New_Finance_Data[[#This Row],[  Sales ]]),ISBLANK(New_Finance_Data[[#This Row],[ Profit ]])),"Missing","OK")</f>
        <v>OK</v>
      </c>
      <c r="T538" t="str">
        <f>TEXT(New_Finance_Data[[#This Row],[Date]],"MMM-YYYY")</f>
        <v>Jun-2014</v>
      </c>
      <c r="U538" t="str">
        <f>IF(New_Finance_Data[[#This Row],[ Profit ]]&gt;0,"Profit","Loss")</f>
        <v>Profit</v>
      </c>
      <c r="V538" t="str">
        <f>IF(New_Finance_Data[[#This Row],[  Sales ]]&gt;=50000,"High Sales","Low Sales")</f>
        <v>High Sales</v>
      </c>
      <c r="W538" t="b">
        <f>ISNUMBER(New_Finance_Data[[#This Row],[Date]])</f>
        <v>1</v>
      </c>
    </row>
    <row r="539" spans="1:23" x14ac:dyDescent="0.2">
      <c r="A539" t="s">
        <v>29</v>
      </c>
      <c r="B539" t="s">
        <v>16</v>
      </c>
      <c r="C539" t="s">
        <v>17</v>
      </c>
      <c r="D539" t="s">
        <v>46</v>
      </c>
      <c r="E539" s="27">
        <v>2416</v>
      </c>
      <c r="F539" s="27">
        <v>3</v>
      </c>
      <c r="G539" s="27">
        <v>125</v>
      </c>
      <c r="H539" s="27">
        <v>302000</v>
      </c>
      <c r="I539" s="5">
        <v>36240</v>
      </c>
      <c r="J539" s="27">
        <v>265760</v>
      </c>
      <c r="K539" s="27">
        <v>289920</v>
      </c>
      <c r="L539" s="5">
        <v>-24160</v>
      </c>
      <c r="M539" s="28">
        <v>41518</v>
      </c>
      <c r="N539" s="3">
        <v>9</v>
      </c>
      <c r="O539" s="29" t="s">
        <v>33</v>
      </c>
      <c r="P539" s="3">
        <v>2013</v>
      </c>
      <c r="Q539" s="6">
        <f>New_Finance_Data[[#This Row],[ Profit ]]/New_Finance_Data[[#This Row],[  Sales ]]</f>
        <v>-9.0909090909090912E-2</v>
      </c>
      <c r="R539" t="str">
        <f>IF(New_Finance_Data[[#This Row],[  Sales ]]&gt;=100000,"High",IF(New_Finance_Data[[#This Row],[  Sales ]]&gt;=50000,"Medium","Low"))</f>
        <v>High</v>
      </c>
      <c r="S539" t="str">
        <f>IF(OR(ISBLANK(New_Finance_Data[[#This Row],[  Sales ]]),ISBLANK(New_Finance_Data[[#This Row],[ Profit ]])),"Missing","OK")</f>
        <v>OK</v>
      </c>
      <c r="T539" t="str">
        <f>TEXT(New_Finance_Data[[#This Row],[Date]],"MMM-YYYY")</f>
        <v>Sep-2013</v>
      </c>
      <c r="U539" t="str">
        <f>IF(New_Finance_Data[[#This Row],[ Profit ]]&gt;0,"Profit","Loss")</f>
        <v>Loss</v>
      </c>
      <c r="V539" t="str">
        <f>IF(New_Finance_Data[[#This Row],[  Sales ]]&gt;=50000,"High Sales","Low Sales")</f>
        <v>High Sales</v>
      </c>
      <c r="W539" t="b">
        <f>ISNUMBER(New_Finance_Data[[#This Row],[Date]])</f>
        <v>1</v>
      </c>
    </row>
    <row r="540" spans="1:23" x14ac:dyDescent="0.2">
      <c r="A540" t="s">
        <v>29</v>
      </c>
      <c r="B540" t="s">
        <v>24</v>
      </c>
      <c r="C540" t="s">
        <v>17</v>
      </c>
      <c r="D540" t="s">
        <v>46</v>
      </c>
      <c r="E540" s="27">
        <v>2156</v>
      </c>
      <c r="F540" s="27">
        <v>3</v>
      </c>
      <c r="G540" s="27">
        <v>125</v>
      </c>
      <c r="H540" s="27">
        <v>269500</v>
      </c>
      <c r="I540" s="5">
        <v>32340</v>
      </c>
      <c r="J540" s="27">
        <v>237160</v>
      </c>
      <c r="K540" s="27">
        <v>258720</v>
      </c>
      <c r="L540" s="5">
        <v>-21560</v>
      </c>
      <c r="M540" s="28">
        <v>41913</v>
      </c>
      <c r="N540" s="3">
        <v>10</v>
      </c>
      <c r="O540" s="29" t="s">
        <v>34</v>
      </c>
      <c r="P540" s="3">
        <v>2014</v>
      </c>
      <c r="Q540" s="6">
        <f>New_Finance_Data[[#This Row],[ Profit ]]/New_Finance_Data[[#This Row],[  Sales ]]</f>
        <v>-9.0909090909090912E-2</v>
      </c>
      <c r="R540" t="str">
        <f>IF(New_Finance_Data[[#This Row],[  Sales ]]&gt;=100000,"High",IF(New_Finance_Data[[#This Row],[  Sales ]]&gt;=50000,"Medium","Low"))</f>
        <v>High</v>
      </c>
      <c r="S540" t="str">
        <f>IF(OR(ISBLANK(New_Finance_Data[[#This Row],[  Sales ]]),ISBLANK(New_Finance_Data[[#This Row],[ Profit ]])),"Missing","OK")</f>
        <v>OK</v>
      </c>
      <c r="T540" t="str">
        <f>TEXT(New_Finance_Data[[#This Row],[Date]],"MMM-YYYY")</f>
        <v>Oct-2014</v>
      </c>
      <c r="U540" t="str">
        <f>IF(New_Finance_Data[[#This Row],[ Profit ]]&gt;0,"Profit","Loss")</f>
        <v>Loss</v>
      </c>
      <c r="V540" t="str">
        <f>IF(New_Finance_Data[[#This Row],[  Sales ]]&gt;=50000,"High Sales","Low Sales")</f>
        <v>High Sales</v>
      </c>
      <c r="W540" t="b">
        <f>ISNUMBER(New_Finance_Data[[#This Row],[Date]])</f>
        <v>1</v>
      </c>
    </row>
    <row r="541" spans="1:23" x14ac:dyDescent="0.2">
      <c r="A541" t="s">
        <v>21</v>
      </c>
      <c r="B541" t="s">
        <v>16</v>
      </c>
      <c r="C541" t="s">
        <v>17</v>
      </c>
      <c r="D541" t="s">
        <v>46</v>
      </c>
      <c r="E541" s="27">
        <v>2689</v>
      </c>
      <c r="F541" s="27">
        <v>3</v>
      </c>
      <c r="G541" s="27">
        <v>15</v>
      </c>
      <c r="H541" s="27">
        <v>40335</v>
      </c>
      <c r="I541" s="5">
        <v>4840.2</v>
      </c>
      <c r="J541" s="27">
        <v>35494.800000000003</v>
      </c>
      <c r="K541" s="27">
        <v>26890</v>
      </c>
      <c r="L541" s="5">
        <v>8604.7999999999993</v>
      </c>
      <c r="M541" s="28">
        <v>41944</v>
      </c>
      <c r="N541" s="3">
        <v>11</v>
      </c>
      <c r="O541" s="29" t="s">
        <v>38</v>
      </c>
      <c r="P541" s="3">
        <v>2014</v>
      </c>
      <c r="Q541" s="6">
        <f>New_Finance_Data[[#This Row],[ Profit ]]/New_Finance_Data[[#This Row],[  Sales ]]</f>
        <v>0.24242424242424238</v>
      </c>
      <c r="R541" t="str">
        <f>IF(New_Finance_Data[[#This Row],[  Sales ]]&gt;=100000,"High",IF(New_Finance_Data[[#This Row],[  Sales ]]&gt;=50000,"Medium","Low"))</f>
        <v>Low</v>
      </c>
      <c r="S541" t="str">
        <f>IF(OR(ISBLANK(New_Finance_Data[[#This Row],[  Sales ]]),ISBLANK(New_Finance_Data[[#This Row],[ Profit ]])),"Missing","OK")</f>
        <v>OK</v>
      </c>
      <c r="T541" t="str">
        <f>TEXT(New_Finance_Data[[#This Row],[Date]],"MMM-YYYY")</f>
        <v>Nov-2014</v>
      </c>
      <c r="U541" t="str">
        <f>IF(New_Finance_Data[[#This Row],[ Profit ]]&gt;0,"Profit","Loss")</f>
        <v>Profit</v>
      </c>
      <c r="V541" t="str">
        <f>IF(New_Finance_Data[[#This Row],[  Sales ]]&gt;=50000,"High Sales","Low Sales")</f>
        <v>Low Sales</v>
      </c>
      <c r="W541" t="b">
        <f>ISNUMBER(New_Finance_Data[[#This Row],[Date]])</f>
        <v>1</v>
      </c>
    </row>
    <row r="542" spans="1:23" x14ac:dyDescent="0.2">
      <c r="A542" t="s">
        <v>21</v>
      </c>
      <c r="B542" t="s">
        <v>35</v>
      </c>
      <c r="C542" t="s">
        <v>26</v>
      </c>
      <c r="D542" t="s">
        <v>46</v>
      </c>
      <c r="E542" s="27">
        <v>677</v>
      </c>
      <c r="F542" s="27">
        <v>5</v>
      </c>
      <c r="G542" s="27">
        <v>15</v>
      </c>
      <c r="H542" s="27">
        <v>10155</v>
      </c>
      <c r="I542" s="5">
        <v>1218.5999999999999</v>
      </c>
      <c r="J542" s="27">
        <v>8936.4</v>
      </c>
      <c r="K542" s="27">
        <v>6770</v>
      </c>
      <c r="L542" s="5">
        <v>2166.4</v>
      </c>
      <c r="M542" s="28">
        <v>41699</v>
      </c>
      <c r="N542" s="3">
        <v>3</v>
      </c>
      <c r="O542" s="29" t="s">
        <v>27</v>
      </c>
      <c r="P542" s="3">
        <v>2014</v>
      </c>
      <c r="Q542" s="6">
        <f>New_Finance_Data[[#This Row],[ Profit ]]/New_Finance_Data[[#This Row],[  Sales ]]</f>
        <v>0.24242424242424243</v>
      </c>
      <c r="R542" t="str">
        <f>IF(New_Finance_Data[[#This Row],[  Sales ]]&gt;=100000,"High",IF(New_Finance_Data[[#This Row],[  Sales ]]&gt;=50000,"Medium","Low"))</f>
        <v>Low</v>
      </c>
      <c r="S542" t="str">
        <f>IF(OR(ISBLANK(New_Finance_Data[[#This Row],[  Sales ]]),ISBLANK(New_Finance_Data[[#This Row],[ Profit ]])),"Missing","OK")</f>
        <v>OK</v>
      </c>
      <c r="T542" t="str">
        <f>TEXT(New_Finance_Data[[#This Row],[Date]],"MMM-YYYY")</f>
        <v>Mar-2014</v>
      </c>
      <c r="U542" t="str">
        <f>IF(New_Finance_Data[[#This Row],[ Profit ]]&gt;0,"Profit","Loss")</f>
        <v>Profit</v>
      </c>
      <c r="V542" t="str">
        <f>IF(New_Finance_Data[[#This Row],[  Sales ]]&gt;=50000,"High Sales","Low Sales")</f>
        <v>Low Sales</v>
      </c>
      <c r="W542" t="b">
        <f>ISNUMBER(New_Finance_Data[[#This Row],[Date]])</f>
        <v>1</v>
      </c>
    </row>
    <row r="543" spans="1:23" x14ac:dyDescent="0.2">
      <c r="A543" t="s">
        <v>31</v>
      </c>
      <c r="B543" t="s">
        <v>22</v>
      </c>
      <c r="C543" t="s">
        <v>26</v>
      </c>
      <c r="D543" t="s">
        <v>46</v>
      </c>
      <c r="E543" s="27">
        <v>1773</v>
      </c>
      <c r="F543" s="27">
        <v>5</v>
      </c>
      <c r="G543" s="27">
        <v>300</v>
      </c>
      <c r="H543" s="27">
        <v>531900</v>
      </c>
      <c r="I543" s="5">
        <v>63828</v>
      </c>
      <c r="J543" s="27">
        <v>468072</v>
      </c>
      <c r="K543" s="27">
        <v>443250</v>
      </c>
      <c r="L543" s="5">
        <v>24822</v>
      </c>
      <c r="M543" s="28">
        <v>41730</v>
      </c>
      <c r="N543" s="3">
        <v>4</v>
      </c>
      <c r="O543" s="29" t="s">
        <v>41</v>
      </c>
      <c r="P543" s="3">
        <v>2014</v>
      </c>
      <c r="Q543" s="6">
        <f>New_Finance_Data[[#This Row],[ Profit ]]/New_Finance_Data[[#This Row],[  Sales ]]</f>
        <v>5.3030303030303032E-2</v>
      </c>
      <c r="R543" t="str">
        <f>IF(New_Finance_Data[[#This Row],[  Sales ]]&gt;=100000,"High",IF(New_Finance_Data[[#This Row],[  Sales ]]&gt;=50000,"Medium","Low"))</f>
        <v>High</v>
      </c>
      <c r="S543" t="str">
        <f>IF(OR(ISBLANK(New_Finance_Data[[#This Row],[  Sales ]]),ISBLANK(New_Finance_Data[[#This Row],[ Profit ]])),"Missing","OK")</f>
        <v>OK</v>
      </c>
      <c r="T543" t="str">
        <f>TEXT(New_Finance_Data[[#This Row],[Date]],"MMM-YYYY")</f>
        <v>Apr-2014</v>
      </c>
      <c r="U543" t="str">
        <f>IF(New_Finance_Data[[#This Row],[ Profit ]]&gt;0,"Profit","Loss")</f>
        <v>Profit</v>
      </c>
      <c r="V543" t="str">
        <f>IF(New_Finance_Data[[#This Row],[  Sales ]]&gt;=50000,"High Sales","Low Sales")</f>
        <v>High Sales</v>
      </c>
      <c r="W543" t="b">
        <f>ISNUMBER(New_Finance_Data[[#This Row],[Date]])</f>
        <v>1</v>
      </c>
    </row>
    <row r="544" spans="1:23" x14ac:dyDescent="0.2">
      <c r="A544" t="s">
        <v>15</v>
      </c>
      <c r="B544" t="s">
        <v>24</v>
      </c>
      <c r="C544" t="s">
        <v>26</v>
      </c>
      <c r="D544" t="s">
        <v>46</v>
      </c>
      <c r="E544" s="27">
        <v>2420</v>
      </c>
      <c r="F544" s="27">
        <v>5</v>
      </c>
      <c r="G544" s="27">
        <v>7</v>
      </c>
      <c r="H544" s="27">
        <v>16940</v>
      </c>
      <c r="I544" s="5">
        <v>2032.8</v>
      </c>
      <c r="J544" s="27">
        <v>14907.2</v>
      </c>
      <c r="K544" s="27">
        <v>12100</v>
      </c>
      <c r="L544" s="5">
        <v>2807.2</v>
      </c>
      <c r="M544" s="28">
        <v>41883</v>
      </c>
      <c r="N544" s="3">
        <v>9</v>
      </c>
      <c r="O544" s="29" t="s">
        <v>33</v>
      </c>
      <c r="P544" s="3">
        <v>2014</v>
      </c>
      <c r="Q544" s="6">
        <f>New_Finance_Data[[#This Row],[ Profit ]]/New_Finance_Data[[#This Row],[  Sales ]]</f>
        <v>0.18831168831168829</v>
      </c>
      <c r="R544" t="str">
        <f>IF(New_Finance_Data[[#This Row],[  Sales ]]&gt;=100000,"High",IF(New_Finance_Data[[#This Row],[  Sales ]]&gt;=50000,"Medium","Low"))</f>
        <v>Low</v>
      </c>
      <c r="S544" t="str">
        <f>IF(OR(ISBLANK(New_Finance_Data[[#This Row],[  Sales ]]),ISBLANK(New_Finance_Data[[#This Row],[ Profit ]])),"Missing","OK")</f>
        <v>OK</v>
      </c>
      <c r="T544" t="str">
        <f>TEXT(New_Finance_Data[[#This Row],[Date]],"MMM-YYYY")</f>
        <v>Sep-2014</v>
      </c>
      <c r="U544" t="str">
        <f>IF(New_Finance_Data[[#This Row],[ Profit ]]&gt;0,"Profit","Loss")</f>
        <v>Profit</v>
      </c>
      <c r="V544" t="str">
        <f>IF(New_Finance_Data[[#This Row],[  Sales ]]&gt;=50000,"High Sales","Low Sales")</f>
        <v>Low Sales</v>
      </c>
      <c r="W544" t="b">
        <f>ISNUMBER(New_Finance_Data[[#This Row],[Date]])</f>
        <v>1</v>
      </c>
    </row>
    <row r="545" spans="1:23" x14ac:dyDescent="0.2">
      <c r="A545" t="s">
        <v>15</v>
      </c>
      <c r="B545" t="s">
        <v>16</v>
      </c>
      <c r="C545" t="s">
        <v>26</v>
      </c>
      <c r="D545" t="s">
        <v>46</v>
      </c>
      <c r="E545" s="27">
        <v>2734</v>
      </c>
      <c r="F545" s="27">
        <v>5</v>
      </c>
      <c r="G545" s="27">
        <v>7</v>
      </c>
      <c r="H545" s="27">
        <v>19138</v>
      </c>
      <c r="I545" s="5">
        <v>2296.56</v>
      </c>
      <c r="J545" s="27">
        <v>16841.439999999999</v>
      </c>
      <c r="K545" s="27">
        <v>13670</v>
      </c>
      <c r="L545" s="5">
        <v>3171.44</v>
      </c>
      <c r="M545" s="28">
        <v>41913</v>
      </c>
      <c r="N545" s="3">
        <v>10</v>
      </c>
      <c r="O545" s="29" t="s">
        <v>34</v>
      </c>
      <c r="P545" s="3">
        <v>2014</v>
      </c>
      <c r="Q545" s="6">
        <f>New_Finance_Data[[#This Row],[ Profit ]]/New_Finance_Data[[#This Row],[  Sales ]]</f>
        <v>0.18831168831168832</v>
      </c>
      <c r="R545" t="str">
        <f>IF(New_Finance_Data[[#This Row],[  Sales ]]&gt;=100000,"High",IF(New_Finance_Data[[#This Row],[  Sales ]]&gt;=50000,"Medium","Low"))</f>
        <v>Low</v>
      </c>
      <c r="S545" t="str">
        <f>IF(OR(ISBLANK(New_Finance_Data[[#This Row],[  Sales ]]),ISBLANK(New_Finance_Data[[#This Row],[ Profit ]])),"Missing","OK")</f>
        <v>OK</v>
      </c>
      <c r="T545" t="str">
        <f>TEXT(New_Finance_Data[[#This Row],[Date]],"MMM-YYYY")</f>
        <v>Oct-2014</v>
      </c>
      <c r="U545" t="str">
        <f>IF(New_Finance_Data[[#This Row],[ Profit ]]&gt;0,"Profit","Loss")</f>
        <v>Profit</v>
      </c>
      <c r="V545" t="str">
        <f>IF(New_Finance_Data[[#This Row],[  Sales ]]&gt;=50000,"High Sales","Low Sales")</f>
        <v>Low Sales</v>
      </c>
      <c r="W545" t="b">
        <f>ISNUMBER(New_Finance_Data[[#This Row],[Date]])</f>
        <v>1</v>
      </c>
    </row>
    <row r="546" spans="1:23" x14ac:dyDescent="0.2">
      <c r="A546" t="s">
        <v>15</v>
      </c>
      <c r="B546" t="s">
        <v>24</v>
      </c>
      <c r="C546" t="s">
        <v>26</v>
      </c>
      <c r="D546" t="s">
        <v>46</v>
      </c>
      <c r="E546" s="27">
        <v>1715</v>
      </c>
      <c r="F546" s="27">
        <v>5</v>
      </c>
      <c r="G546" s="27">
        <v>20</v>
      </c>
      <c r="H546" s="27">
        <v>34300</v>
      </c>
      <c r="I546" s="5">
        <v>4116</v>
      </c>
      <c r="J546" s="27">
        <v>30184</v>
      </c>
      <c r="K546" s="27">
        <v>17150</v>
      </c>
      <c r="L546" s="5">
        <v>13034</v>
      </c>
      <c r="M546" s="28">
        <v>41548</v>
      </c>
      <c r="N546" s="3">
        <v>10</v>
      </c>
      <c r="O546" s="29" t="s">
        <v>34</v>
      </c>
      <c r="P546" s="3">
        <v>2013</v>
      </c>
      <c r="Q546" s="6">
        <f>New_Finance_Data[[#This Row],[ Profit ]]/New_Finance_Data[[#This Row],[  Sales ]]</f>
        <v>0.43181818181818182</v>
      </c>
      <c r="R546" t="str">
        <f>IF(New_Finance_Data[[#This Row],[  Sales ]]&gt;=100000,"High",IF(New_Finance_Data[[#This Row],[  Sales ]]&gt;=50000,"Medium","Low"))</f>
        <v>Low</v>
      </c>
      <c r="S546" t="str">
        <f>IF(OR(ISBLANK(New_Finance_Data[[#This Row],[  Sales ]]),ISBLANK(New_Finance_Data[[#This Row],[ Profit ]])),"Missing","OK")</f>
        <v>OK</v>
      </c>
      <c r="T546" t="str">
        <f>TEXT(New_Finance_Data[[#This Row],[Date]],"MMM-YYYY")</f>
        <v>Oct-2013</v>
      </c>
      <c r="U546" t="str">
        <f>IF(New_Finance_Data[[#This Row],[ Profit ]]&gt;0,"Profit","Loss")</f>
        <v>Profit</v>
      </c>
      <c r="V546" t="str">
        <f>IF(New_Finance_Data[[#This Row],[  Sales ]]&gt;=50000,"High Sales","Low Sales")</f>
        <v>Low Sales</v>
      </c>
      <c r="W546" t="b">
        <f>ISNUMBER(New_Finance_Data[[#This Row],[Date]])</f>
        <v>1</v>
      </c>
    </row>
    <row r="547" spans="1:23" x14ac:dyDescent="0.2">
      <c r="A547" t="s">
        <v>31</v>
      </c>
      <c r="B547" t="s">
        <v>22</v>
      </c>
      <c r="C547" t="s">
        <v>26</v>
      </c>
      <c r="D547" t="s">
        <v>46</v>
      </c>
      <c r="E547" s="27">
        <v>1186</v>
      </c>
      <c r="F547" s="27">
        <v>5</v>
      </c>
      <c r="G547" s="27">
        <v>300</v>
      </c>
      <c r="H547" s="27">
        <v>355800</v>
      </c>
      <c r="I547" s="5">
        <v>42696</v>
      </c>
      <c r="J547" s="27">
        <v>313104</v>
      </c>
      <c r="K547" s="27">
        <v>296500</v>
      </c>
      <c r="L547" s="5">
        <v>16604</v>
      </c>
      <c r="M547" s="28">
        <v>41609</v>
      </c>
      <c r="N547" s="3">
        <v>12</v>
      </c>
      <c r="O547" s="29" t="s">
        <v>25</v>
      </c>
      <c r="P547" s="3">
        <v>2013</v>
      </c>
      <c r="Q547" s="6">
        <f>New_Finance_Data[[#This Row],[ Profit ]]/New_Finance_Data[[#This Row],[  Sales ]]</f>
        <v>5.3030303030303032E-2</v>
      </c>
      <c r="R547" t="str">
        <f>IF(New_Finance_Data[[#This Row],[  Sales ]]&gt;=100000,"High",IF(New_Finance_Data[[#This Row],[  Sales ]]&gt;=50000,"Medium","Low"))</f>
        <v>High</v>
      </c>
      <c r="S547" t="str">
        <f>IF(OR(ISBLANK(New_Finance_Data[[#This Row],[  Sales ]]),ISBLANK(New_Finance_Data[[#This Row],[ Profit ]])),"Missing","OK")</f>
        <v>OK</v>
      </c>
      <c r="T547" t="str">
        <f>TEXT(New_Finance_Data[[#This Row],[Date]],"MMM-YYYY")</f>
        <v>Dec-2013</v>
      </c>
      <c r="U547" t="str">
        <f>IF(New_Finance_Data[[#This Row],[ Profit ]]&gt;0,"Profit","Loss")</f>
        <v>Profit</v>
      </c>
      <c r="V547" t="str">
        <f>IF(New_Finance_Data[[#This Row],[  Sales ]]&gt;=50000,"High Sales","Low Sales")</f>
        <v>High Sales</v>
      </c>
      <c r="W547" t="b">
        <f>ISNUMBER(New_Finance_Data[[#This Row],[Date]])</f>
        <v>1</v>
      </c>
    </row>
    <row r="548" spans="1:23" x14ac:dyDescent="0.2">
      <c r="A548" t="s">
        <v>31</v>
      </c>
      <c r="B548" t="s">
        <v>35</v>
      </c>
      <c r="C548" t="s">
        <v>36</v>
      </c>
      <c r="D548" t="s">
        <v>46</v>
      </c>
      <c r="E548" s="27">
        <v>3495</v>
      </c>
      <c r="F548" s="27">
        <v>10</v>
      </c>
      <c r="G548" s="27">
        <v>300</v>
      </c>
      <c r="H548" s="27">
        <v>1048500</v>
      </c>
      <c r="I548" s="5">
        <v>125820</v>
      </c>
      <c r="J548" s="27">
        <v>922680</v>
      </c>
      <c r="K548" s="27">
        <v>873750</v>
      </c>
      <c r="L548" s="5">
        <v>48930</v>
      </c>
      <c r="M548" s="28">
        <v>41640</v>
      </c>
      <c r="N548" s="3">
        <v>1</v>
      </c>
      <c r="O548" s="29" t="s">
        <v>19</v>
      </c>
      <c r="P548" s="3">
        <v>2014</v>
      </c>
      <c r="Q548" s="6">
        <f>New_Finance_Data[[#This Row],[ Profit ]]/New_Finance_Data[[#This Row],[  Sales ]]</f>
        <v>5.3030303030303032E-2</v>
      </c>
      <c r="R548" t="str">
        <f>IF(New_Finance_Data[[#This Row],[  Sales ]]&gt;=100000,"High",IF(New_Finance_Data[[#This Row],[  Sales ]]&gt;=50000,"Medium","Low"))</f>
        <v>High</v>
      </c>
      <c r="S548" t="str">
        <f>IF(OR(ISBLANK(New_Finance_Data[[#This Row],[  Sales ]]),ISBLANK(New_Finance_Data[[#This Row],[ Profit ]])),"Missing","OK")</f>
        <v>OK</v>
      </c>
      <c r="T548" t="str">
        <f>TEXT(New_Finance_Data[[#This Row],[Date]],"MMM-YYYY")</f>
        <v>Jan-2014</v>
      </c>
      <c r="U548" t="str">
        <f>IF(New_Finance_Data[[#This Row],[ Profit ]]&gt;0,"Profit","Loss")</f>
        <v>Profit</v>
      </c>
      <c r="V548" t="str">
        <f>IF(New_Finance_Data[[#This Row],[  Sales ]]&gt;=50000,"High Sales","Low Sales")</f>
        <v>High Sales</v>
      </c>
      <c r="W548" t="b">
        <f>ISNUMBER(New_Finance_Data[[#This Row],[Date]])</f>
        <v>1</v>
      </c>
    </row>
    <row r="549" spans="1:23" x14ac:dyDescent="0.2">
      <c r="A549" t="s">
        <v>15</v>
      </c>
      <c r="B549" t="s">
        <v>24</v>
      </c>
      <c r="C549" t="s">
        <v>36</v>
      </c>
      <c r="D549" t="s">
        <v>46</v>
      </c>
      <c r="E549" s="27">
        <v>886</v>
      </c>
      <c r="F549" s="27">
        <v>10</v>
      </c>
      <c r="G549" s="27">
        <v>350</v>
      </c>
      <c r="H549" s="27">
        <v>310100</v>
      </c>
      <c r="I549" s="5">
        <v>37212</v>
      </c>
      <c r="J549" s="27">
        <v>272888</v>
      </c>
      <c r="K549" s="27">
        <v>230360</v>
      </c>
      <c r="L549" s="5">
        <v>42528</v>
      </c>
      <c r="M549" s="28">
        <v>41791</v>
      </c>
      <c r="N549" s="3">
        <v>6</v>
      </c>
      <c r="O549" s="29" t="s">
        <v>23</v>
      </c>
      <c r="P549" s="3">
        <v>2014</v>
      </c>
      <c r="Q549" s="6">
        <f>New_Finance_Data[[#This Row],[ Profit ]]/New_Finance_Data[[#This Row],[  Sales ]]</f>
        <v>0.15584415584415584</v>
      </c>
      <c r="R549" t="str">
        <f>IF(New_Finance_Data[[#This Row],[  Sales ]]&gt;=100000,"High",IF(New_Finance_Data[[#This Row],[  Sales ]]&gt;=50000,"Medium","Low"))</f>
        <v>High</v>
      </c>
      <c r="S549" t="str">
        <f>IF(OR(ISBLANK(New_Finance_Data[[#This Row],[  Sales ]]),ISBLANK(New_Finance_Data[[#This Row],[ Profit ]])),"Missing","OK")</f>
        <v>OK</v>
      </c>
      <c r="T549" t="str">
        <f>TEXT(New_Finance_Data[[#This Row],[Date]],"MMM-YYYY")</f>
        <v>Jun-2014</v>
      </c>
      <c r="U549" t="str">
        <f>IF(New_Finance_Data[[#This Row],[ Profit ]]&gt;0,"Profit","Loss")</f>
        <v>Profit</v>
      </c>
      <c r="V549" t="str">
        <f>IF(New_Finance_Data[[#This Row],[  Sales ]]&gt;=50000,"High Sales","Low Sales")</f>
        <v>High Sales</v>
      </c>
      <c r="W549" t="b">
        <f>ISNUMBER(New_Finance_Data[[#This Row],[Date]])</f>
        <v>1</v>
      </c>
    </row>
    <row r="550" spans="1:23" x14ac:dyDescent="0.2">
      <c r="A550" t="s">
        <v>29</v>
      </c>
      <c r="B550" t="s">
        <v>24</v>
      </c>
      <c r="C550" t="s">
        <v>36</v>
      </c>
      <c r="D550" t="s">
        <v>46</v>
      </c>
      <c r="E550" s="27">
        <v>2156</v>
      </c>
      <c r="F550" s="27">
        <v>10</v>
      </c>
      <c r="G550" s="27">
        <v>125</v>
      </c>
      <c r="H550" s="27">
        <v>269500</v>
      </c>
      <c r="I550" s="5">
        <v>32340</v>
      </c>
      <c r="J550" s="27">
        <v>237160</v>
      </c>
      <c r="K550" s="27">
        <v>258720</v>
      </c>
      <c r="L550" s="5">
        <v>-21560</v>
      </c>
      <c r="M550" s="28">
        <v>41913</v>
      </c>
      <c r="N550" s="3">
        <v>10</v>
      </c>
      <c r="O550" s="29" t="s">
        <v>34</v>
      </c>
      <c r="P550" s="3">
        <v>2014</v>
      </c>
      <c r="Q550" s="6">
        <f>New_Finance_Data[[#This Row],[ Profit ]]/New_Finance_Data[[#This Row],[  Sales ]]</f>
        <v>-9.0909090909090912E-2</v>
      </c>
      <c r="R550" t="str">
        <f>IF(New_Finance_Data[[#This Row],[  Sales ]]&gt;=100000,"High",IF(New_Finance_Data[[#This Row],[  Sales ]]&gt;=50000,"Medium","Low"))</f>
        <v>High</v>
      </c>
      <c r="S550" t="str">
        <f>IF(OR(ISBLANK(New_Finance_Data[[#This Row],[  Sales ]]),ISBLANK(New_Finance_Data[[#This Row],[ Profit ]])),"Missing","OK")</f>
        <v>OK</v>
      </c>
      <c r="T550" t="str">
        <f>TEXT(New_Finance_Data[[#This Row],[Date]],"MMM-YYYY")</f>
        <v>Oct-2014</v>
      </c>
      <c r="U550" t="str">
        <f>IF(New_Finance_Data[[#This Row],[ Profit ]]&gt;0,"Profit","Loss")</f>
        <v>Loss</v>
      </c>
      <c r="V550" t="str">
        <f>IF(New_Finance_Data[[#This Row],[  Sales ]]&gt;=50000,"High Sales","Low Sales")</f>
        <v>High Sales</v>
      </c>
      <c r="W550" t="b">
        <f>ISNUMBER(New_Finance_Data[[#This Row],[Date]])</f>
        <v>1</v>
      </c>
    </row>
    <row r="551" spans="1:23" x14ac:dyDescent="0.2">
      <c r="A551" t="s">
        <v>15</v>
      </c>
      <c r="B551" t="s">
        <v>24</v>
      </c>
      <c r="C551" t="s">
        <v>36</v>
      </c>
      <c r="D551" t="s">
        <v>46</v>
      </c>
      <c r="E551" s="27">
        <v>905</v>
      </c>
      <c r="F551" s="27">
        <v>10</v>
      </c>
      <c r="G551" s="27">
        <v>20</v>
      </c>
      <c r="H551" s="27">
        <v>18100</v>
      </c>
      <c r="I551" s="5">
        <v>2172</v>
      </c>
      <c r="J551" s="27">
        <v>15928</v>
      </c>
      <c r="K551" s="27">
        <v>9050</v>
      </c>
      <c r="L551" s="5">
        <v>6878</v>
      </c>
      <c r="M551" s="28">
        <v>41913</v>
      </c>
      <c r="N551" s="3">
        <v>10</v>
      </c>
      <c r="O551" s="29" t="s">
        <v>34</v>
      </c>
      <c r="P551" s="3">
        <v>2014</v>
      </c>
      <c r="Q551" s="6">
        <f>New_Finance_Data[[#This Row],[ Profit ]]/New_Finance_Data[[#This Row],[  Sales ]]</f>
        <v>0.43181818181818182</v>
      </c>
      <c r="R551" t="str">
        <f>IF(New_Finance_Data[[#This Row],[  Sales ]]&gt;=100000,"High",IF(New_Finance_Data[[#This Row],[  Sales ]]&gt;=50000,"Medium","Low"))</f>
        <v>Low</v>
      </c>
      <c r="S551" t="str">
        <f>IF(OR(ISBLANK(New_Finance_Data[[#This Row],[  Sales ]]),ISBLANK(New_Finance_Data[[#This Row],[ Profit ]])),"Missing","OK")</f>
        <v>OK</v>
      </c>
      <c r="T551" t="str">
        <f>TEXT(New_Finance_Data[[#This Row],[Date]],"MMM-YYYY")</f>
        <v>Oct-2014</v>
      </c>
      <c r="U551" t="str">
        <f>IF(New_Finance_Data[[#This Row],[ Profit ]]&gt;0,"Profit","Loss")</f>
        <v>Profit</v>
      </c>
      <c r="V551" t="str">
        <f>IF(New_Finance_Data[[#This Row],[  Sales ]]&gt;=50000,"High Sales","Low Sales")</f>
        <v>Low Sales</v>
      </c>
      <c r="W551" t="b">
        <f>ISNUMBER(New_Finance_Data[[#This Row],[Date]])</f>
        <v>1</v>
      </c>
    </row>
    <row r="552" spans="1:23" x14ac:dyDescent="0.2">
      <c r="A552" t="s">
        <v>15</v>
      </c>
      <c r="B552" t="s">
        <v>24</v>
      </c>
      <c r="C552" t="s">
        <v>36</v>
      </c>
      <c r="D552" t="s">
        <v>46</v>
      </c>
      <c r="E552" s="27">
        <v>1715</v>
      </c>
      <c r="F552" s="27">
        <v>10</v>
      </c>
      <c r="G552" s="27">
        <v>20</v>
      </c>
      <c r="H552" s="27">
        <v>34300</v>
      </c>
      <c r="I552" s="5">
        <v>4116</v>
      </c>
      <c r="J552" s="27">
        <v>30184</v>
      </c>
      <c r="K552" s="27">
        <v>17150</v>
      </c>
      <c r="L552" s="5">
        <v>13034</v>
      </c>
      <c r="M552" s="28">
        <v>41548</v>
      </c>
      <c r="N552" s="3">
        <v>10</v>
      </c>
      <c r="O552" s="29" t="s">
        <v>34</v>
      </c>
      <c r="P552" s="3">
        <v>2013</v>
      </c>
      <c r="Q552" s="6">
        <f>New_Finance_Data[[#This Row],[ Profit ]]/New_Finance_Data[[#This Row],[  Sales ]]</f>
        <v>0.43181818181818182</v>
      </c>
      <c r="R552" t="str">
        <f>IF(New_Finance_Data[[#This Row],[  Sales ]]&gt;=100000,"High",IF(New_Finance_Data[[#This Row],[  Sales ]]&gt;=50000,"Medium","Low"))</f>
        <v>Low</v>
      </c>
      <c r="S552" t="str">
        <f>IF(OR(ISBLANK(New_Finance_Data[[#This Row],[  Sales ]]),ISBLANK(New_Finance_Data[[#This Row],[ Profit ]])),"Missing","OK")</f>
        <v>OK</v>
      </c>
      <c r="T552" t="str">
        <f>TEXT(New_Finance_Data[[#This Row],[Date]],"MMM-YYYY")</f>
        <v>Oct-2013</v>
      </c>
      <c r="U552" t="str">
        <f>IF(New_Finance_Data[[#This Row],[ Profit ]]&gt;0,"Profit","Loss")</f>
        <v>Profit</v>
      </c>
      <c r="V552" t="str">
        <f>IF(New_Finance_Data[[#This Row],[  Sales ]]&gt;=50000,"High Sales","Low Sales")</f>
        <v>Low Sales</v>
      </c>
      <c r="W552" t="b">
        <f>ISNUMBER(New_Finance_Data[[#This Row],[Date]])</f>
        <v>1</v>
      </c>
    </row>
    <row r="553" spans="1:23" x14ac:dyDescent="0.2">
      <c r="A553" t="s">
        <v>15</v>
      </c>
      <c r="B553" t="s">
        <v>22</v>
      </c>
      <c r="C553" t="s">
        <v>36</v>
      </c>
      <c r="D553" t="s">
        <v>46</v>
      </c>
      <c r="E553" s="27">
        <v>1594</v>
      </c>
      <c r="F553" s="27">
        <v>10</v>
      </c>
      <c r="G553" s="27">
        <v>350</v>
      </c>
      <c r="H553" s="27">
        <v>557900</v>
      </c>
      <c r="I553" s="5">
        <v>66948</v>
      </c>
      <c r="J553" s="27">
        <v>490952</v>
      </c>
      <c r="K553" s="27">
        <v>414440</v>
      </c>
      <c r="L553" s="5">
        <v>76512</v>
      </c>
      <c r="M553" s="28">
        <v>41944</v>
      </c>
      <c r="N553" s="3">
        <v>11</v>
      </c>
      <c r="O553" s="29" t="s">
        <v>38</v>
      </c>
      <c r="P553" s="3">
        <v>2014</v>
      </c>
      <c r="Q553" s="6">
        <f>New_Finance_Data[[#This Row],[ Profit ]]/New_Finance_Data[[#This Row],[  Sales ]]</f>
        <v>0.15584415584415584</v>
      </c>
      <c r="R553" t="str">
        <f>IF(New_Finance_Data[[#This Row],[  Sales ]]&gt;=100000,"High",IF(New_Finance_Data[[#This Row],[  Sales ]]&gt;=50000,"Medium","Low"))</f>
        <v>High</v>
      </c>
      <c r="S553" t="str">
        <f>IF(OR(ISBLANK(New_Finance_Data[[#This Row],[  Sales ]]),ISBLANK(New_Finance_Data[[#This Row],[ Profit ]])),"Missing","OK")</f>
        <v>OK</v>
      </c>
      <c r="T553" t="str">
        <f>TEXT(New_Finance_Data[[#This Row],[Date]],"MMM-YYYY")</f>
        <v>Nov-2014</v>
      </c>
      <c r="U553" t="str">
        <f>IF(New_Finance_Data[[#This Row],[ Profit ]]&gt;0,"Profit","Loss")</f>
        <v>Profit</v>
      </c>
      <c r="V553" t="str">
        <f>IF(New_Finance_Data[[#This Row],[  Sales ]]&gt;=50000,"High Sales","Low Sales")</f>
        <v>High Sales</v>
      </c>
      <c r="W553" t="b">
        <f>ISNUMBER(New_Finance_Data[[#This Row],[Date]])</f>
        <v>1</v>
      </c>
    </row>
    <row r="554" spans="1:23" x14ac:dyDescent="0.2">
      <c r="A554" t="s">
        <v>31</v>
      </c>
      <c r="B554" t="s">
        <v>20</v>
      </c>
      <c r="C554" t="s">
        <v>36</v>
      </c>
      <c r="D554" t="s">
        <v>46</v>
      </c>
      <c r="E554" s="27">
        <v>1359</v>
      </c>
      <c r="F554" s="27">
        <v>10</v>
      </c>
      <c r="G554" s="27">
        <v>300</v>
      </c>
      <c r="H554" s="27">
        <v>407700</v>
      </c>
      <c r="I554" s="5">
        <v>48924</v>
      </c>
      <c r="J554" s="27">
        <v>358776</v>
      </c>
      <c r="K554" s="27">
        <v>339750</v>
      </c>
      <c r="L554" s="5">
        <v>19026</v>
      </c>
      <c r="M554" s="28">
        <v>41944</v>
      </c>
      <c r="N554" s="3">
        <v>11</v>
      </c>
      <c r="O554" s="29" t="s">
        <v>38</v>
      </c>
      <c r="P554" s="3">
        <v>2014</v>
      </c>
      <c r="Q554" s="6">
        <f>New_Finance_Data[[#This Row],[ Profit ]]/New_Finance_Data[[#This Row],[  Sales ]]</f>
        <v>5.3030303030303032E-2</v>
      </c>
      <c r="R554" t="str">
        <f>IF(New_Finance_Data[[#This Row],[  Sales ]]&gt;=100000,"High",IF(New_Finance_Data[[#This Row],[  Sales ]]&gt;=50000,"Medium","Low"))</f>
        <v>High</v>
      </c>
      <c r="S554" t="str">
        <f>IF(OR(ISBLANK(New_Finance_Data[[#This Row],[  Sales ]]),ISBLANK(New_Finance_Data[[#This Row],[ Profit ]])),"Missing","OK")</f>
        <v>OK</v>
      </c>
      <c r="T554" t="str">
        <f>TEXT(New_Finance_Data[[#This Row],[Date]],"MMM-YYYY")</f>
        <v>Nov-2014</v>
      </c>
      <c r="U554" t="str">
        <f>IF(New_Finance_Data[[#This Row],[ Profit ]]&gt;0,"Profit","Loss")</f>
        <v>Profit</v>
      </c>
      <c r="V554" t="str">
        <f>IF(New_Finance_Data[[#This Row],[  Sales ]]&gt;=50000,"High Sales","Low Sales")</f>
        <v>High Sales</v>
      </c>
      <c r="W554" t="b">
        <f>ISNUMBER(New_Finance_Data[[#This Row],[Date]])</f>
        <v>1</v>
      </c>
    </row>
    <row r="555" spans="1:23" x14ac:dyDescent="0.2">
      <c r="A555" t="s">
        <v>31</v>
      </c>
      <c r="B555" t="s">
        <v>24</v>
      </c>
      <c r="C555" t="s">
        <v>36</v>
      </c>
      <c r="D555" t="s">
        <v>46</v>
      </c>
      <c r="E555" s="27">
        <v>2150</v>
      </c>
      <c r="F555" s="27">
        <v>10</v>
      </c>
      <c r="G555" s="27">
        <v>300</v>
      </c>
      <c r="H555" s="27">
        <v>645000</v>
      </c>
      <c r="I555" s="5">
        <v>77400</v>
      </c>
      <c r="J555" s="27">
        <v>567600</v>
      </c>
      <c r="K555" s="27">
        <v>537500</v>
      </c>
      <c r="L555" s="5">
        <v>30100</v>
      </c>
      <c r="M555" s="28">
        <v>41944</v>
      </c>
      <c r="N555" s="3">
        <v>11</v>
      </c>
      <c r="O555" s="29" t="s">
        <v>38</v>
      </c>
      <c r="P555" s="3">
        <v>2014</v>
      </c>
      <c r="Q555" s="6">
        <f>New_Finance_Data[[#This Row],[ Profit ]]/New_Finance_Data[[#This Row],[  Sales ]]</f>
        <v>5.3030303030303032E-2</v>
      </c>
      <c r="R555" t="str">
        <f>IF(New_Finance_Data[[#This Row],[  Sales ]]&gt;=100000,"High",IF(New_Finance_Data[[#This Row],[  Sales ]]&gt;=50000,"Medium","Low"))</f>
        <v>High</v>
      </c>
      <c r="S555" t="str">
        <f>IF(OR(ISBLANK(New_Finance_Data[[#This Row],[  Sales ]]),ISBLANK(New_Finance_Data[[#This Row],[ Profit ]])),"Missing","OK")</f>
        <v>OK</v>
      </c>
      <c r="T555" t="str">
        <f>TEXT(New_Finance_Data[[#This Row],[Date]],"MMM-YYYY")</f>
        <v>Nov-2014</v>
      </c>
      <c r="U555" t="str">
        <f>IF(New_Finance_Data[[#This Row],[ Profit ]]&gt;0,"Profit","Loss")</f>
        <v>Profit</v>
      </c>
      <c r="V555" t="str">
        <f>IF(New_Finance_Data[[#This Row],[  Sales ]]&gt;=50000,"High Sales","Low Sales")</f>
        <v>High Sales</v>
      </c>
      <c r="W555" t="b">
        <f>ISNUMBER(New_Finance_Data[[#This Row],[Date]])</f>
        <v>1</v>
      </c>
    </row>
    <row r="556" spans="1:23" x14ac:dyDescent="0.2">
      <c r="A556" t="s">
        <v>15</v>
      </c>
      <c r="B556" t="s">
        <v>24</v>
      </c>
      <c r="C556" t="s">
        <v>36</v>
      </c>
      <c r="D556" t="s">
        <v>46</v>
      </c>
      <c r="E556" s="27">
        <v>1197</v>
      </c>
      <c r="F556" s="27">
        <v>10</v>
      </c>
      <c r="G556" s="27">
        <v>350</v>
      </c>
      <c r="H556" s="27">
        <v>418950</v>
      </c>
      <c r="I556" s="5">
        <v>50274</v>
      </c>
      <c r="J556" s="27">
        <v>368676</v>
      </c>
      <c r="K556" s="27">
        <v>311220</v>
      </c>
      <c r="L556" s="5">
        <v>57456</v>
      </c>
      <c r="M556" s="28">
        <v>41944</v>
      </c>
      <c r="N556" s="3">
        <v>11</v>
      </c>
      <c r="O556" s="29" t="s">
        <v>38</v>
      </c>
      <c r="P556" s="3">
        <v>2014</v>
      </c>
      <c r="Q556" s="6">
        <f>New_Finance_Data[[#This Row],[ Profit ]]/New_Finance_Data[[#This Row],[  Sales ]]</f>
        <v>0.15584415584415584</v>
      </c>
      <c r="R556" t="str">
        <f>IF(New_Finance_Data[[#This Row],[  Sales ]]&gt;=100000,"High",IF(New_Finance_Data[[#This Row],[  Sales ]]&gt;=50000,"Medium","Low"))</f>
        <v>High</v>
      </c>
      <c r="S556" t="str">
        <f>IF(OR(ISBLANK(New_Finance_Data[[#This Row],[  Sales ]]),ISBLANK(New_Finance_Data[[#This Row],[ Profit ]])),"Missing","OK")</f>
        <v>OK</v>
      </c>
      <c r="T556" t="str">
        <f>TEXT(New_Finance_Data[[#This Row],[Date]],"MMM-YYYY")</f>
        <v>Nov-2014</v>
      </c>
      <c r="U556" t="str">
        <f>IF(New_Finance_Data[[#This Row],[ Profit ]]&gt;0,"Profit","Loss")</f>
        <v>Profit</v>
      </c>
      <c r="V556" t="str">
        <f>IF(New_Finance_Data[[#This Row],[  Sales ]]&gt;=50000,"High Sales","Low Sales")</f>
        <v>High Sales</v>
      </c>
      <c r="W556" t="b">
        <f>ISNUMBER(New_Finance_Data[[#This Row],[Date]])</f>
        <v>1</v>
      </c>
    </row>
    <row r="557" spans="1:23" x14ac:dyDescent="0.2">
      <c r="A557" t="s">
        <v>21</v>
      </c>
      <c r="B557" t="s">
        <v>24</v>
      </c>
      <c r="C557" t="s">
        <v>36</v>
      </c>
      <c r="D557" t="s">
        <v>46</v>
      </c>
      <c r="E557" s="27">
        <v>380</v>
      </c>
      <c r="F557" s="27">
        <v>10</v>
      </c>
      <c r="G557" s="27">
        <v>15</v>
      </c>
      <c r="H557" s="27">
        <v>5700</v>
      </c>
      <c r="I557" s="5">
        <v>684</v>
      </c>
      <c r="J557" s="27">
        <v>5016</v>
      </c>
      <c r="K557" s="27">
        <v>3800</v>
      </c>
      <c r="L557" s="5">
        <v>1216</v>
      </c>
      <c r="M557" s="28">
        <v>41609</v>
      </c>
      <c r="N557" s="3">
        <v>12</v>
      </c>
      <c r="O557" s="29" t="s">
        <v>25</v>
      </c>
      <c r="P557" s="3">
        <v>2013</v>
      </c>
      <c r="Q557" s="6">
        <f>New_Finance_Data[[#This Row],[ Profit ]]/New_Finance_Data[[#This Row],[  Sales ]]</f>
        <v>0.24242424242424243</v>
      </c>
      <c r="R557" t="str">
        <f>IF(New_Finance_Data[[#This Row],[  Sales ]]&gt;=100000,"High",IF(New_Finance_Data[[#This Row],[  Sales ]]&gt;=50000,"Medium","Low"))</f>
        <v>Low</v>
      </c>
      <c r="S557" t="str">
        <f>IF(OR(ISBLANK(New_Finance_Data[[#This Row],[  Sales ]]),ISBLANK(New_Finance_Data[[#This Row],[ Profit ]])),"Missing","OK")</f>
        <v>OK</v>
      </c>
      <c r="T557" t="str">
        <f>TEXT(New_Finance_Data[[#This Row],[Date]],"MMM-YYYY")</f>
        <v>Dec-2013</v>
      </c>
      <c r="U557" t="str">
        <f>IF(New_Finance_Data[[#This Row],[ Profit ]]&gt;0,"Profit","Loss")</f>
        <v>Profit</v>
      </c>
      <c r="V557" t="str">
        <f>IF(New_Finance_Data[[#This Row],[  Sales ]]&gt;=50000,"High Sales","Low Sales")</f>
        <v>Low Sales</v>
      </c>
      <c r="W557" t="b">
        <f>ISNUMBER(New_Finance_Data[[#This Row],[Date]])</f>
        <v>1</v>
      </c>
    </row>
    <row r="558" spans="1:23" x14ac:dyDescent="0.2">
      <c r="A558" t="s">
        <v>15</v>
      </c>
      <c r="B558" t="s">
        <v>24</v>
      </c>
      <c r="C558" t="s">
        <v>36</v>
      </c>
      <c r="D558" t="s">
        <v>46</v>
      </c>
      <c r="E558" s="27">
        <v>1233</v>
      </c>
      <c r="F558" s="27">
        <v>10</v>
      </c>
      <c r="G558" s="27">
        <v>20</v>
      </c>
      <c r="H558" s="27">
        <v>24660</v>
      </c>
      <c r="I558" s="5">
        <v>2959.2</v>
      </c>
      <c r="J558" s="27">
        <v>21700.799999999999</v>
      </c>
      <c r="K558" s="27">
        <v>12330</v>
      </c>
      <c r="L558" s="5">
        <v>9370.7999999999993</v>
      </c>
      <c r="M558" s="28">
        <v>41974</v>
      </c>
      <c r="N558" s="3">
        <v>12</v>
      </c>
      <c r="O558" s="29" t="s">
        <v>25</v>
      </c>
      <c r="P558" s="3">
        <v>2014</v>
      </c>
      <c r="Q558" s="6">
        <f>New_Finance_Data[[#This Row],[ Profit ]]/New_Finance_Data[[#This Row],[  Sales ]]</f>
        <v>0.43181818181818182</v>
      </c>
      <c r="R558" t="str">
        <f>IF(New_Finance_Data[[#This Row],[  Sales ]]&gt;=100000,"High",IF(New_Finance_Data[[#This Row],[  Sales ]]&gt;=50000,"Medium","Low"))</f>
        <v>Low</v>
      </c>
      <c r="S558" t="str">
        <f>IF(OR(ISBLANK(New_Finance_Data[[#This Row],[  Sales ]]),ISBLANK(New_Finance_Data[[#This Row],[ Profit ]])),"Missing","OK")</f>
        <v>OK</v>
      </c>
      <c r="T558" t="str">
        <f>TEXT(New_Finance_Data[[#This Row],[Date]],"MMM-YYYY")</f>
        <v>Dec-2014</v>
      </c>
      <c r="U558" t="str">
        <f>IF(New_Finance_Data[[#This Row],[ Profit ]]&gt;0,"Profit","Loss")</f>
        <v>Profit</v>
      </c>
      <c r="V558" t="str">
        <f>IF(New_Finance_Data[[#This Row],[  Sales ]]&gt;=50000,"High Sales","Low Sales")</f>
        <v>Low Sales</v>
      </c>
      <c r="W558" t="b">
        <f>ISNUMBER(New_Finance_Data[[#This Row],[Date]])</f>
        <v>1</v>
      </c>
    </row>
    <row r="559" spans="1:23" x14ac:dyDescent="0.2">
      <c r="A559" t="s">
        <v>15</v>
      </c>
      <c r="B559" t="s">
        <v>24</v>
      </c>
      <c r="C559" t="s">
        <v>39</v>
      </c>
      <c r="D559" t="s">
        <v>46</v>
      </c>
      <c r="E559" s="27">
        <v>1395</v>
      </c>
      <c r="F559" s="27">
        <v>120</v>
      </c>
      <c r="G559" s="27">
        <v>350</v>
      </c>
      <c r="H559" s="27">
        <v>488250</v>
      </c>
      <c r="I559" s="5">
        <v>58590</v>
      </c>
      <c r="J559" s="27">
        <v>429660</v>
      </c>
      <c r="K559" s="27">
        <v>362700</v>
      </c>
      <c r="L559" s="5">
        <v>66960</v>
      </c>
      <c r="M559" s="28">
        <v>41821</v>
      </c>
      <c r="N559" s="3">
        <v>7</v>
      </c>
      <c r="O559" s="29" t="s">
        <v>30</v>
      </c>
      <c r="P559" s="3">
        <v>2014</v>
      </c>
      <c r="Q559" s="6">
        <f>New_Finance_Data[[#This Row],[ Profit ]]/New_Finance_Data[[#This Row],[  Sales ]]</f>
        <v>0.15584415584415584</v>
      </c>
      <c r="R559" t="str">
        <f>IF(New_Finance_Data[[#This Row],[  Sales ]]&gt;=100000,"High",IF(New_Finance_Data[[#This Row],[  Sales ]]&gt;=50000,"Medium","Low"))</f>
        <v>High</v>
      </c>
      <c r="S559" t="str">
        <f>IF(OR(ISBLANK(New_Finance_Data[[#This Row],[  Sales ]]),ISBLANK(New_Finance_Data[[#This Row],[ Profit ]])),"Missing","OK")</f>
        <v>OK</v>
      </c>
      <c r="T559" t="str">
        <f>TEXT(New_Finance_Data[[#This Row],[Date]],"MMM-YYYY")</f>
        <v>Jul-2014</v>
      </c>
      <c r="U559" t="str">
        <f>IF(New_Finance_Data[[#This Row],[ Profit ]]&gt;0,"Profit","Loss")</f>
        <v>Profit</v>
      </c>
      <c r="V559" t="str">
        <f>IF(New_Finance_Data[[#This Row],[  Sales ]]&gt;=50000,"High Sales","Low Sales")</f>
        <v>High Sales</v>
      </c>
      <c r="W559" t="b">
        <f>ISNUMBER(New_Finance_Data[[#This Row],[Date]])</f>
        <v>1</v>
      </c>
    </row>
    <row r="560" spans="1:23" x14ac:dyDescent="0.2">
      <c r="A560" t="s">
        <v>15</v>
      </c>
      <c r="B560" t="s">
        <v>35</v>
      </c>
      <c r="C560" t="s">
        <v>39</v>
      </c>
      <c r="D560" t="s">
        <v>46</v>
      </c>
      <c r="E560" s="27">
        <v>986</v>
      </c>
      <c r="F560" s="27">
        <v>120</v>
      </c>
      <c r="G560" s="27">
        <v>350</v>
      </c>
      <c r="H560" s="27">
        <v>345100</v>
      </c>
      <c r="I560" s="5">
        <v>41412</v>
      </c>
      <c r="J560" s="27">
        <v>303688</v>
      </c>
      <c r="K560" s="27">
        <v>256360</v>
      </c>
      <c r="L560" s="5">
        <v>47328</v>
      </c>
      <c r="M560" s="28">
        <v>41913</v>
      </c>
      <c r="N560" s="3">
        <v>10</v>
      </c>
      <c r="O560" s="29" t="s">
        <v>34</v>
      </c>
      <c r="P560" s="3">
        <v>2014</v>
      </c>
      <c r="Q560" s="6">
        <f>New_Finance_Data[[#This Row],[ Profit ]]/New_Finance_Data[[#This Row],[  Sales ]]</f>
        <v>0.15584415584415584</v>
      </c>
      <c r="R560" t="str">
        <f>IF(New_Finance_Data[[#This Row],[  Sales ]]&gt;=100000,"High",IF(New_Finance_Data[[#This Row],[  Sales ]]&gt;=50000,"Medium","Low"))</f>
        <v>High</v>
      </c>
      <c r="S560" t="str">
        <f>IF(OR(ISBLANK(New_Finance_Data[[#This Row],[  Sales ]]),ISBLANK(New_Finance_Data[[#This Row],[ Profit ]])),"Missing","OK")</f>
        <v>OK</v>
      </c>
      <c r="T560" t="str">
        <f>TEXT(New_Finance_Data[[#This Row],[Date]],"MMM-YYYY")</f>
        <v>Oct-2014</v>
      </c>
      <c r="U560" t="str">
        <f>IF(New_Finance_Data[[#This Row],[ Profit ]]&gt;0,"Profit","Loss")</f>
        <v>Profit</v>
      </c>
      <c r="V560" t="str">
        <f>IF(New_Finance_Data[[#This Row],[  Sales ]]&gt;=50000,"High Sales","Low Sales")</f>
        <v>High Sales</v>
      </c>
      <c r="W560" t="b">
        <f>ISNUMBER(New_Finance_Data[[#This Row],[Date]])</f>
        <v>1</v>
      </c>
    </row>
    <row r="561" spans="1:23" x14ac:dyDescent="0.2">
      <c r="A561" t="s">
        <v>15</v>
      </c>
      <c r="B561" t="s">
        <v>24</v>
      </c>
      <c r="C561" t="s">
        <v>39</v>
      </c>
      <c r="D561" t="s">
        <v>46</v>
      </c>
      <c r="E561" s="27">
        <v>905</v>
      </c>
      <c r="F561" s="27">
        <v>120</v>
      </c>
      <c r="G561" s="27">
        <v>20</v>
      </c>
      <c r="H561" s="27">
        <v>18100</v>
      </c>
      <c r="I561" s="5">
        <v>2172</v>
      </c>
      <c r="J561" s="27">
        <v>15928</v>
      </c>
      <c r="K561" s="27">
        <v>9050</v>
      </c>
      <c r="L561" s="5">
        <v>6878</v>
      </c>
      <c r="M561" s="28">
        <v>41913</v>
      </c>
      <c r="N561" s="3">
        <v>10</v>
      </c>
      <c r="O561" s="29" t="s">
        <v>34</v>
      </c>
      <c r="P561" s="3">
        <v>2014</v>
      </c>
      <c r="Q561" s="6">
        <f>New_Finance_Data[[#This Row],[ Profit ]]/New_Finance_Data[[#This Row],[  Sales ]]</f>
        <v>0.43181818181818182</v>
      </c>
      <c r="R561" t="str">
        <f>IF(New_Finance_Data[[#This Row],[  Sales ]]&gt;=100000,"High",IF(New_Finance_Data[[#This Row],[  Sales ]]&gt;=50000,"Medium","Low"))</f>
        <v>Low</v>
      </c>
      <c r="S561" t="str">
        <f>IF(OR(ISBLANK(New_Finance_Data[[#This Row],[  Sales ]]),ISBLANK(New_Finance_Data[[#This Row],[ Profit ]])),"Missing","OK")</f>
        <v>OK</v>
      </c>
      <c r="T561" t="str">
        <f>TEXT(New_Finance_Data[[#This Row],[Date]],"MMM-YYYY")</f>
        <v>Oct-2014</v>
      </c>
      <c r="U561" t="str">
        <f>IF(New_Finance_Data[[#This Row],[ Profit ]]&gt;0,"Profit","Loss")</f>
        <v>Profit</v>
      </c>
      <c r="V561" t="str">
        <f>IF(New_Finance_Data[[#This Row],[  Sales ]]&gt;=50000,"High Sales","Low Sales")</f>
        <v>Low Sales</v>
      </c>
      <c r="W561" t="b">
        <f>ISNUMBER(New_Finance_Data[[#This Row],[Date]])</f>
        <v>1</v>
      </c>
    </row>
    <row r="562" spans="1:23" x14ac:dyDescent="0.2">
      <c r="A562" t="s">
        <v>28</v>
      </c>
      <c r="B562" t="s">
        <v>16</v>
      </c>
      <c r="C562" t="s">
        <v>40</v>
      </c>
      <c r="D562" t="s">
        <v>46</v>
      </c>
      <c r="E562" s="27">
        <v>2109</v>
      </c>
      <c r="F562" s="27">
        <v>250</v>
      </c>
      <c r="G562" s="27">
        <v>12</v>
      </c>
      <c r="H562" s="27">
        <v>25308</v>
      </c>
      <c r="I562" s="5">
        <v>3036.96</v>
      </c>
      <c r="J562" s="27">
        <v>22271.040000000001</v>
      </c>
      <c r="K562" s="27">
        <v>6327</v>
      </c>
      <c r="L562" s="5">
        <v>15944.04</v>
      </c>
      <c r="M562" s="28">
        <v>41760</v>
      </c>
      <c r="N562" s="3">
        <v>5</v>
      </c>
      <c r="O562" s="29" t="s">
        <v>44</v>
      </c>
      <c r="P562" s="3">
        <v>2014</v>
      </c>
      <c r="Q562" s="6">
        <f>New_Finance_Data[[#This Row],[ Profit ]]/New_Finance_Data[[#This Row],[  Sales ]]</f>
        <v>0.71590909090909094</v>
      </c>
      <c r="R562" t="str">
        <f>IF(New_Finance_Data[[#This Row],[  Sales ]]&gt;=100000,"High",IF(New_Finance_Data[[#This Row],[  Sales ]]&gt;=50000,"Medium","Low"))</f>
        <v>Low</v>
      </c>
      <c r="S562" t="str">
        <f>IF(OR(ISBLANK(New_Finance_Data[[#This Row],[  Sales ]]),ISBLANK(New_Finance_Data[[#This Row],[ Profit ]])),"Missing","OK")</f>
        <v>OK</v>
      </c>
      <c r="T562" t="str">
        <f>TEXT(New_Finance_Data[[#This Row],[Date]],"MMM-YYYY")</f>
        <v>May-2014</v>
      </c>
      <c r="U562" t="str">
        <f>IF(New_Finance_Data[[#This Row],[ Profit ]]&gt;0,"Profit","Loss")</f>
        <v>Profit</v>
      </c>
      <c r="V562" t="str">
        <f>IF(New_Finance_Data[[#This Row],[  Sales ]]&gt;=50000,"High Sales","Low Sales")</f>
        <v>Low Sales</v>
      </c>
      <c r="W562" t="b">
        <f>ISNUMBER(New_Finance_Data[[#This Row],[Date]])</f>
        <v>1</v>
      </c>
    </row>
    <row r="563" spans="1:23" x14ac:dyDescent="0.2">
      <c r="A563" t="s">
        <v>21</v>
      </c>
      <c r="B563" t="s">
        <v>22</v>
      </c>
      <c r="C563" t="s">
        <v>40</v>
      </c>
      <c r="D563" t="s">
        <v>46</v>
      </c>
      <c r="E563" s="27">
        <v>3874.5</v>
      </c>
      <c r="F563" s="27">
        <v>250</v>
      </c>
      <c r="G563" s="27">
        <v>15</v>
      </c>
      <c r="H563" s="27">
        <v>58117.5</v>
      </c>
      <c r="I563" s="5">
        <v>6974.1</v>
      </c>
      <c r="J563" s="27">
        <v>51143.4</v>
      </c>
      <c r="K563" s="27">
        <v>38745</v>
      </c>
      <c r="L563" s="5">
        <v>12398.4</v>
      </c>
      <c r="M563" s="28">
        <v>41821</v>
      </c>
      <c r="N563" s="3">
        <v>7</v>
      </c>
      <c r="O563" s="29" t="s">
        <v>30</v>
      </c>
      <c r="P563" s="3">
        <v>2014</v>
      </c>
      <c r="Q563" s="6">
        <f>New_Finance_Data[[#This Row],[ Profit ]]/New_Finance_Data[[#This Row],[  Sales ]]</f>
        <v>0.2424242424242424</v>
      </c>
      <c r="R563" t="str">
        <f>IF(New_Finance_Data[[#This Row],[  Sales ]]&gt;=100000,"High",IF(New_Finance_Data[[#This Row],[  Sales ]]&gt;=50000,"Medium","Low"))</f>
        <v>Medium</v>
      </c>
      <c r="S563" t="str">
        <f>IF(OR(ISBLANK(New_Finance_Data[[#This Row],[  Sales ]]),ISBLANK(New_Finance_Data[[#This Row],[ Profit ]])),"Missing","OK")</f>
        <v>OK</v>
      </c>
      <c r="T563" t="str">
        <f>TEXT(New_Finance_Data[[#This Row],[Date]],"MMM-YYYY")</f>
        <v>Jul-2014</v>
      </c>
      <c r="U563" t="str">
        <f>IF(New_Finance_Data[[#This Row],[ Profit ]]&gt;0,"Profit","Loss")</f>
        <v>Profit</v>
      </c>
      <c r="V563" t="str">
        <f>IF(New_Finance_Data[[#This Row],[  Sales ]]&gt;=50000,"High Sales","Low Sales")</f>
        <v>High Sales</v>
      </c>
      <c r="W563" t="b">
        <f>ISNUMBER(New_Finance_Data[[#This Row],[Date]])</f>
        <v>1</v>
      </c>
    </row>
    <row r="564" spans="1:23" x14ac:dyDescent="0.2">
      <c r="A564" t="s">
        <v>15</v>
      </c>
      <c r="B564" t="s">
        <v>16</v>
      </c>
      <c r="C564" t="s">
        <v>40</v>
      </c>
      <c r="D564" t="s">
        <v>46</v>
      </c>
      <c r="E564" s="27">
        <v>623</v>
      </c>
      <c r="F564" s="27">
        <v>250</v>
      </c>
      <c r="G564" s="27">
        <v>350</v>
      </c>
      <c r="H564" s="27">
        <v>218050</v>
      </c>
      <c r="I564" s="5">
        <v>26166</v>
      </c>
      <c r="J564" s="27">
        <v>191884</v>
      </c>
      <c r="K564" s="27">
        <v>161980</v>
      </c>
      <c r="L564" s="5">
        <v>29904</v>
      </c>
      <c r="M564" s="28">
        <v>41518</v>
      </c>
      <c r="N564" s="3">
        <v>9</v>
      </c>
      <c r="O564" s="29" t="s">
        <v>33</v>
      </c>
      <c r="P564" s="3">
        <v>2013</v>
      </c>
      <c r="Q564" s="6">
        <f>New_Finance_Data[[#This Row],[ Profit ]]/New_Finance_Data[[#This Row],[  Sales ]]</f>
        <v>0.15584415584415584</v>
      </c>
      <c r="R564" t="str">
        <f>IF(New_Finance_Data[[#This Row],[  Sales ]]&gt;=100000,"High",IF(New_Finance_Data[[#This Row],[  Sales ]]&gt;=50000,"Medium","Low"))</f>
        <v>High</v>
      </c>
      <c r="S564" t="str">
        <f>IF(OR(ISBLANK(New_Finance_Data[[#This Row],[  Sales ]]),ISBLANK(New_Finance_Data[[#This Row],[ Profit ]])),"Missing","OK")</f>
        <v>OK</v>
      </c>
      <c r="T564" t="str">
        <f>TEXT(New_Finance_Data[[#This Row],[Date]],"MMM-YYYY")</f>
        <v>Sep-2013</v>
      </c>
      <c r="U564" t="str">
        <f>IF(New_Finance_Data[[#This Row],[ Profit ]]&gt;0,"Profit","Loss")</f>
        <v>Profit</v>
      </c>
      <c r="V564" t="str">
        <f>IF(New_Finance_Data[[#This Row],[  Sales ]]&gt;=50000,"High Sales","Low Sales")</f>
        <v>High Sales</v>
      </c>
      <c r="W564" t="b">
        <f>ISNUMBER(New_Finance_Data[[#This Row],[Date]])</f>
        <v>1</v>
      </c>
    </row>
    <row r="565" spans="1:23" x14ac:dyDescent="0.2">
      <c r="A565" t="s">
        <v>15</v>
      </c>
      <c r="B565" t="s">
        <v>35</v>
      </c>
      <c r="C565" t="s">
        <v>40</v>
      </c>
      <c r="D565" t="s">
        <v>46</v>
      </c>
      <c r="E565" s="27">
        <v>986</v>
      </c>
      <c r="F565" s="27">
        <v>250</v>
      </c>
      <c r="G565" s="27">
        <v>350</v>
      </c>
      <c r="H565" s="27">
        <v>345100</v>
      </c>
      <c r="I565" s="5">
        <v>41412</v>
      </c>
      <c r="J565" s="27">
        <v>303688</v>
      </c>
      <c r="K565" s="27">
        <v>256360</v>
      </c>
      <c r="L565" s="5">
        <v>47328</v>
      </c>
      <c r="M565" s="28">
        <v>41913</v>
      </c>
      <c r="N565" s="3">
        <v>10</v>
      </c>
      <c r="O565" s="29" t="s">
        <v>34</v>
      </c>
      <c r="P565" s="3">
        <v>2014</v>
      </c>
      <c r="Q565" s="6">
        <f>New_Finance_Data[[#This Row],[ Profit ]]/New_Finance_Data[[#This Row],[  Sales ]]</f>
        <v>0.15584415584415584</v>
      </c>
      <c r="R565" t="str">
        <f>IF(New_Finance_Data[[#This Row],[  Sales ]]&gt;=100000,"High",IF(New_Finance_Data[[#This Row],[  Sales ]]&gt;=50000,"Medium","Low"))</f>
        <v>High</v>
      </c>
      <c r="S565" t="str">
        <f>IF(OR(ISBLANK(New_Finance_Data[[#This Row],[  Sales ]]),ISBLANK(New_Finance_Data[[#This Row],[ Profit ]])),"Missing","OK")</f>
        <v>OK</v>
      </c>
      <c r="T565" t="str">
        <f>TEXT(New_Finance_Data[[#This Row],[Date]],"MMM-YYYY")</f>
        <v>Oct-2014</v>
      </c>
      <c r="U565" t="str">
        <f>IF(New_Finance_Data[[#This Row],[ Profit ]]&gt;0,"Profit","Loss")</f>
        <v>Profit</v>
      </c>
      <c r="V565" t="str">
        <f>IF(New_Finance_Data[[#This Row],[  Sales ]]&gt;=50000,"High Sales","Low Sales")</f>
        <v>High Sales</v>
      </c>
      <c r="W565" t="b">
        <f>ISNUMBER(New_Finance_Data[[#This Row],[Date]])</f>
        <v>1</v>
      </c>
    </row>
    <row r="566" spans="1:23" x14ac:dyDescent="0.2">
      <c r="A566" t="s">
        <v>29</v>
      </c>
      <c r="B566" t="s">
        <v>35</v>
      </c>
      <c r="C566" t="s">
        <v>40</v>
      </c>
      <c r="D566" t="s">
        <v>46</v>
      </c>
      <c r="E566" s="27">
        <v>2387</v>
      </c>
      <c r="F566" s="27">
        <v>250</v>
      </c>
      <c r="G566" s="27">
        <v>125</v>
      </c>
      <c r="H566" s="27">
        <v>298375</v>
      </c>
      <c r="I566" s="5">
        <v>35805</v>
      </c>
      <c r="J566" s="27">
        <v>262570</v>
      </c>
      <c r="K566" s="27">
        <v>286440</v>
      </c>
      <c r="L566" s="5">
        <v>-23870</v>
      </c>
      <c r="M566" s="28">
        <v>41944</v>
      </c>
      <c r="N566" s="3">
        <v>11</v>
      </c>
      <c r="O566" s="29" t="s">
        <v>38</v>
      </c>
      <c r="P566" s="3">
        <v>2014</v>
      </c>
      <c r="Q566" s="6">
        <f>New_Finance_Data[[#This Row],[ Profit ]]/New_Finance_Data[[#This Row],[  Sales ]]</f>
        <v>-9.0909090909090912E-2</v>
      </c>
      <c r="R566" t="str">
        <f>IF(New_Finance_Data[[#This Row],[  Sales ]]&gt;=100000,"High",IF(New_Finance_Data[[#This Row],[  Sales ]]&gt;=50000,"Medium","Low"))</f>
        <v>High</v>
      </c>
      <c r="S566" t="str">
        <f>IF(OR(ISBLANK(New_Finance_Data[[#This Row],[  Sales ]]),ISBLANK(New_Finance_Data[[#This Row],[ Profit ]])),"Missing","OK")</f>
        <v>OK</v>
      </c>
      <c r="T566" t="str">
        <f>TEXT(New_Finance_Data[[#This Row],[Date]],"MMM-YYYY")</f>
        <v>Nov-2014</v>
      </c>
      <c r="U566" t="str">
        <f>IF(New_Finance_Data[[#This Row],[ Profit ]]&gt;0,"Profit","Loss")</f>
        <v>Loss</v>
      </c>
      <c r="V566" t="str">
        <f>IF(New_Finance_Data[[#This Row],[  Sales ]]&gt;=50000,"High Sales","Low Sales")</f>
        <v>High Sales</v>
      </c>
      <c r="W566" t="b">
        <f>ISNUMBER(New_Finance_Data[[#This Row],[Date]])</f>
        <v>1</v>
      </c>
    </row>
    <row r="567" spans="1:23" x14ac:dyDescent="0.2">
      <c r="A567" t="s">
        <v>15</v>
      </c>
      <c r="B567" t="s">
        <v>24</v>
      </c>
      <c r="C567" t="s">
        <v>40</v>
      </c>
      <c r="D567" t="s">
        <v>46</v>
      </c>
      <c r="E567" s="27">
        <v>1233</v>
      </c>
      <c r="F567" s="27">
        <v>250</v>
      </c>
      <c r="G567" s="27">
        <v>20</v>
      </c>
      <c r="H567" s="27">
        <v>24660</v>
      </c>
      <c r="I567" s="5">
        <v>2959.2</v>
      </c>
      <c r="J567" s="27">
        <v>21700.799999999999</v>
      </c>
      <c r="K567" s="27">
        <v>12330</v>
      </c>
      <c r="L567" s="5">
        <v>9370.7999999999993</v>
      </c>
      <c r="M567" s="28">
        <v>41974</v>
      </c>
      <c r="N567" s="3">
        <v>12</v>
      </c>
      <c r="O567" s="29" t="s">
        <v>25</v>
      </c>
      <c r="P567" s="3">
        <v>2014</v>
      </c>
      <c r="Q567" s="6">
        <f>New_Finance_Data[[#This Row],[ Profit ]]/New_Finance_Data[[#This Row],[  Sales ]]</f>
        <v>0.43181818181818182</v>
      </c>
      <c r="R567" t="str">
        <f>IF(New_Finance_Data[[#This Row],[  Sales ]]&gt;=100000,"High",IF(New_Finance_Data[[#This Row],[  Sales ]]&gt;=50000,"Medium","Low"))</f>
        <v>Low</v>
      </c>
      <c r="S567" t="str">
        <f>IF(OR(ISBLANK(New_Finance_Data[[#This Row],[  Sales ]]),ISBLANK(New_Finance_Data[[#This Row],[ Profit ]])),"Missing","OK")</f>
        <v>OK</v>
      </c>
      <c r="T567" t="str">
        <f>TEXT(New_Finance_Data[[#This Row],[Date]],"MMM-YYYY")</f>
        <v>Dec-2014</v>
      </c>
      <c r="U567" t="str">
        <f>IF(New_Finance_Data[[#This Row],[ Profit ]]&gt;0,"Profit","Loss")</f>
        <v>Profit</v>
      </c>
      <c r="V567" t="str">
        <f>IF(New_Finance_Data[[#This Row],[  Sales ]]&gt;=50000,"High Sales","Low Sales")</f>
        <v>Low Sales</v>
      </c>
      <c r="W567" t="b">
        <f>ISNUMBER(New_Finance_Data[[#This Row],[Date]])</f>
        <v>1</v>
      </c>
    </row>
    <row r="568" spans="1:23" x14ac:dyDescent="0.2">
      <c r="A568" t="s">
        <v>15</v>
      </c>
      <c r="B568" t="s">
        <v>35</v>
      </c>
      <c r="C568" t="s">
        <v>42</v>
      </c>
      <c r="D568" t="s">
        <v>46</v>
      </c>
      <c r="E568" s="27">
        <v>270</v>
      </c>
      <c r="F568" s="27">
        <v>260</v>
      </c>
      <c r="G568" s="27">
        <v>350</v>
      </c>
      <c r="H568" s="27">
        <v>94500</v>
      </c>
      <c r="I568" s="5">
        <v>11340</v>
      </c>
      <c r="J568" s="27">
        <v>83160</v>
      </c>
      <c r="K568" s="27">
        <v>70200</v>
      </c>
      <c r="L568" s="5">
        <v>12960</v>
      </c>
      <c r="M568" s="28">
        <v>41671</v>
      </c>
      <c r="N568" s="3">
        <v>2</v>
      </c>
      <c r="O568" s="29" t="s">
        <v>37</v>
      </c>
      <c r="P568" s="3">
        <v>2014</v>
      </c>
      <c r="Q568" s="6">
        <f>New_Finance_Data[[#This Row],[ Profit ]]/New_Finance_Data[[#This Row],[  Sales ]]</f>
        <v>0.15584415584415584</v>
      </c>
      <c r="R568" t="str">
        <f>IF(New_Finance_Data[[#This Row],[  Sales ]]&gt;=100000,"High",IF(New_Finance_Data[[#This Row],[  Sales ]]&gt;=50000,"Medium","Low"))</f>
        <v>Medium</v>
      </c>
      <c r="S568" t="str">
        <f>IF(OR(ISBLANK(New_Finance_Data[[#This Row],[  Sales ]]),ISBLANK(New_Finance_Data[[#This Row],[ Profit ]])),"Missing","OK")</f>
        <v>OK</v>
      </c>
      <c r="T568" t="str">
        <f>TEXT(New_Finance_Data[[#This Row],[Date]],"MMM-YYYY")</f>
        <v>Feb-2014</v>
      </c>
      <c r="U568" t="str">
        <f>IF(New_Finance_Data[[#This Row],[ Profit ]]&gt;0,"Profit","Loss")</f>
        <v>Profit</v>
      </c>
      <c r="V568" t="str">
        <f>IF(New_Finance_Data[[#This Row],[  Sales ]]&gt;=50000,"High Sales","Low Sales")</f>
        <v>High Sales</v>
      </c>
      <c r="W568" t="b">
        <f>ISNUMBER(New_Finance_Data[[#This Row],[Date]])</f>
        <v>1</v>
      </c>
    </row>
    <row r="569" spans="1:23" x14ac:dyDescent="0.2">
      <c r="A569" t="s">
        <v>15</v>
      </c>
      <c r="B569" t="s">
        <v>22</v>
      </c>
      <c r="C569" t="s">
        <v>42</v>
      </c>
      <c r="D569" t="s">
        <v>46</v>
      </c>
      <c r="E569" s="27">
        <v>3421.5</v>
      </c>
      <c r="F569" s="27">
        <v>260</v>
      </c>
      <c r="G569" s="27">
        <v>7</v>
      </c>
      <c r="H569" s="27">
        <v>23950.5</v>
      </c>
      <c r="I569" s="5">
        <v>2874.06</v>
      </c>
      <c r="J569" s="27">
        <v>21076.44</v>
      </c>
      <c r="K569" s="27">
        <v>17107.5</v>
      </c>
      <c r="L569" s="5">
        <v>3968.94</v>
      </c>
      <c r="M569" s="28">
        <v>41821</v>
      </c>
      <c r="N569" s="3">
        <v>7</v>
      </c>
      <c r="O569" s="29" t="s">
        <v>30</v>
      </c>
      <c r="P569" s="3">
        <v>2014</v>
      </c>
      <c r="Q569" s="6">
        <f>New_Finance_Data[[#This Row],[ Profit ]]/New_Finance_Data[[#This Row],[  Sales ]]</f>
        <v>0.18831168831168832</v>
      </c>
      <c r="R569" t="str">
        <f>IF(New_Finance_Data[[#This Row],[  Sales ]]&gt;=100000,"High",IF(New_Finance_Data[[#This Row],[  Sales ]]&gt;=50000,"Medium","Low"))</f>
        <v>Low</v>
      </c>
      <c r="S569" t="str">
        <f>IF(OR(ISBLANK(New_Finance_Data[[#This Row],[  Sales ]]),ISBLANK(New_Finance_Data[[#This Row],[ Profit ]])),"Missing","OK")</f>
        <v>OK</v>
      </c>
      <c r="T569" t="str">
        <f>TEXT(New_Finance_Data[[#This Row],[Date]],"MMM-YYYY")</f>
        <v>Jul-2014</v>
      </c>
      <c r="U569" t="str">
        <f>IF(New_Finance_Data[[#This Row],[ Profit ]]&gt;0,"Profit","Loss")</f>
        <v>Profit</v>
      </c>
      <c r="V569" t="str">
        <f>IF(New_Finance_Data[[#This Row],[  Sales ]]&gt;=50000,"High Sales","Low Sales")</f>
        <v>Low Sales</v>
      </c>
      <c r="W569" t="b">
        <f>ISNUMBER(New_Finance_Data[[#This Row],[Date]])</f>
        <v>1</v>
      </c>
    </row>
    <row r="570" spans="1:23" x14ac:dyDescent="0.2">
      <c r="A570" t="s">
        <v>15</v>
      </c>
      <c r="B570" t="s">
        <v>16</v>
      </c>
      <c r="C570" t="s">
        <v>42</v>
      </c>
      <c r="D570" t="s">
        <v>46</v>
      </c>
      <c r="E570" s="27">
        <v>2734</v>
      </c>
      <c r="F570" s="27">
        <v>260</v>
      </c>
      <c r="G570" s="27">
        <v>7</v>
      </c>
      <c r="H570" s="27">
        <v>19138</v>
      </c>
      <c r="I570" s="5">
        <v>2296.56</v>
      </c>
      <c r="J570" s="27">
        <v>16841.439999999999</v>
      </c>
      <c r="K570" s="27">
        <v>13670</v>
      </c>
      <c r="L570" s="5">
        <v>3171.44</v>
      </c>
      <c r="M570" s="28">
        <v>41913</v>
      </c>
      <c r="N570" s="3">
        <v>10</v>
      </c>
      <c r="O570" s="29" t="s">
        <v>34</v>
      </c>
      <c r="P570" s="3">
        <v>2014</v>
      </c>
      <c r="Q570" s="6">
        <f>New_Finance_Data[[#This Row],[ Profit ]]/New_Finance_Data[[#This Row],[  Sales ]]</f>
        <v>0.18831168831168832</v>
      </c>
      <c r="R570" t="str">
        <f>IF(New_Finance_Data[[#This Row],[  Sales ]]&gt;=100000,"High",IF(New_Finance_Data[[#This Row],[  Sales ]]&gt;=50000,"Medium","Low"))</f>
        <v>Low</v>
      </c>
      <c r="S570" t="str">
        <f>IF(OR(ISBLANK(New_Finance_Data[[#This Row],[  Sales ]]),ISBLANK(New_Finance_Data[[#This Row],[ Profit ]])),"Missing","OK")</f>
        <v>OK</v>
      </c>
      <c r="T570" t="str">
        <f>TEXT(New_Finance_Data[[#This Row],[Date]],"MMM-YYYY")</f>
        <v>Oct-2014</v>
      </c>
      <c r="U570" t="str">
        <f>IF(New_Finance_Data[[#This Row],[ Profit ]]&gt;0,"Profit","Loss")</f>
        <v>Profit</v>
      </c>
      <c r="V570" t="str">
        <f>IF(New_Finance_Data[[#This Row],[  Sales ]]&gt;=50000,"High Sales","Low Sales")</f>
        <v>Low Sales</v>
      </c>
      <c r="W570" t="b">
        <f>ISNUMBER(New_Finance_Data[[#This Row],[Date]])</f>
        <v>1</v>
      </c>
    </row>
    <row r="571" spans="1:23" x14ac:dyDescent="0.2">
      <c r="A571" t="s">
        <v>21</v>
      </c>
      <c r="B571" t="s">
        <v>35</v>
      </c>
      <c r="C571" t="s">
        <v>42</v>
      </c>
      <c r="D571" t="s">
        <v>46</v>
      </c>
      <c r="E571" s="27">
        <v>2548</v>
      </c>
      <c r="F571" s="27">
        <v>260</v>
      </c>
      <c r="G571" s="27">
        <v>15</v>
      </c>
      <c r="H571" s="27">
        <v>38220</v>
      </c>
      <c r="I571" s="5">
        <v>4586.3999999999996</v>
      </c>
      <c r="J571" s="27">
        <v>33633.599999999999</v>
      </c>
      <c r="K571" s="27">
        <v>25480</v>
      </c>
      <c r="L571" s="5">
        <v>8153.6</v>
      </c>
      <c r="M571" s="28">
        <v>41579</v>
      </c>
      <c r="N571" s="3">
        <v>11</v>
      </c>
      <c r="O571" s="29" t="s">
        <v>38</v>
      </c>
      <c r="P571" s="3">
        <v>2013</v>
      </c>
      <c r="Q571" s="6">
        <f>New_Finance_Data[[#This Row],[ Profit ]]/New_Finance_Data[[#This Row],[  Sales ]]</f>
        <v>0.24242424242424246</v>
      </c>
      <c r="R571" t="str">
        <f>IF(New_Finance_Data[[#This Row],[  Sales ]]&gt;=100000,"High",IF(New_Finance_Data[[#This Row],[  Sales ]]&gt;=50000,"Medium","Low"))</f>
        <v>Low</v>
      </c>
      <c r="S571" t="str">
        <f>IF(OR(ISBLANK(New_Finance_Data[[#This Row],[  Sales ]]),ISBLANK(New_Finance_Data[[#This Row],[ Profit ]])),"Missing","OK")</f>
        <v>OK</v>
      </c>
      <c r="T571" t="str">
        <f>TEXT(New_Finance_Data[[#This Row],[Date]],"MMM-YYYY")</f>
        <v>Nov-2013</v>
      </c>
      <c r="U571" t="str">
        <f>IF(New_Finance_Data[[#This Row],[ Profit ]]&gt;0,"Profit","Loss")</f>
        <v>Profit</v>
      </c>
      <c r="V571" t="str">
        <f>IF(New_Finance_Data[[#This Row],[  Sales ]]&gt;=50000,"High Sales","Low Sales")</f>
        <v>Low Sales</v>
      </c>
      <c r="W571" t="b">
        <f>ISNUMBER(New_Finance_Data[[#This Row],[Date]])</f>
        <v>1</v>
      </c>
    </row>
    <row r="572" spans="1:23" x14ac:dyDescent="0.2">
      <c r="A572" t="s">
        <v>15</v>
      </c>
      <c r="B572" t="s">
        <v>22</v>
      </c>
      <c r="C572" t="s">
        <v>17</v>
      </c>
      <c r="D572" t="s">
        <v>46</v>
      </c>
      <c r="E572" s="27">
        <v>2521.5</v>
      </c>
      <c r="F572" s="27">
        <v>3</v>
      </c>
      <c r="G572" s="27">
        <v>20</v>
      </c>
      <c r="H572" s="27">
        <v>50430</v>
      </c>
      <c r="I572" s="5">
        <v>6051.6</v>
      </c>
      <c r="J572" s="27">
        <v>44378.400000000001</v>
      </c>
      <c r="K572" s="27">
        <v>25215</v>
      </c>
      <c r="L572" s="5">
        <v>19163.400000000001</v>
      </c>
      <c r="M572" s="28">
        <v>41640</v>
      </c>
      <c r="N572" s="3">
        <v>1</v>
      </c>
      <c r="O572" s="29" t="s">
        <v>19</v>
      </c>
      <c r="P572" s="3">
        <v>2014</v>
      </c>
      <c r="Q572" s="6">
        <f>New_Finance_Data[[#This Row],[ Profit ]]/New_Finance_Data[[#This Row],[  Sales ]]</f>
        <v>0.43181818181818182</v>
      </c>
      <c r="R572" t="str">
        <f>IF(New_Finance_Data[[#This Row],[  Sales ]]&gt;=100000,"High",IF(New_Finance_Data[[#This Row],[  Sales ]]&gt;=50000,"Medium","Low"))</f>
        <v>Low</v>
      </c>
      <c r="S572" t="str">
        <f>IF(OR(ISBLANK(New_Finance_Data[[#This Row],[  Sales ]]),ISBLANK(New_Finance_Data[[#This Row],[ Profit ]])),"Missing","OK")</f>
        <v>OK</v>
      </c>
      <c r="T572" t="str">
        <f>TEXT(New_Finance_Data[[#This Row],[Date]],"MMM-YYYY")</f>
        <v>Jan-2014</v>
      </c>
      <c r="U572" t="str">
        <f>IF(New_Finance_Data[[#This Row],[ Profit ]]&gt;0,"Profit","Loss")</f>
        <v>Profit</v>
      </c>
      <c r="V572" t="str">
        <f>IF(New_Finance_Data[[#This Row],[  Sales ]]&gt;=50000,"High Sales","Low Sales")</f>
        <v>Low Sales</v>
      </c>
      <c r="W572" t="b">
        <f>ISNUMBER(New_Finance_Data[[#This Row],[Date]])</f>
        <v>1</v>
      </c>
    </row>
    <row r="573" spans="1:23" x14ac:dyDescent="0.2">
      <c r="A573" t="s">
        <v>28</v>
      </c>
      <c r="B573" t="s">
        <v>24</v>
      </c>
      <c r="C573" t="s">
        <v>26</v>
      </c>
      <c r="D573" t="s">
        <v>46</v>
      </c>
      <c r="E573" s="27">
        <v>2661</v>
      </c>
      <c r="F573" s="27">
        <v>5</v>
      </c>
      <c r="G573" s="27">
        <v>12</v>
      </c>
      <c r="H573" s="27">
        <v>31932</v>
      </c>
      <c r="I573" s="5">
        <v>3831.84</v>
      </c>
      <c r="J573" s="27">
        <v>28100.16</v>
      </c>
      <c r="K573" s="27">
        <v>7983</v>
      </c>
      <c r="L573" s="5">
        <v>20117.16</v>
      </c>
      <c r="M573" s="28">
        <v>41760</v>
      </c>
      <c r="N573" s="3">
        <v>5</v>
      </c>
      <c r="O573" s="29" t="s">
        <v>44</v>
      </c>
      <c r="P573" s="3">
        <v>2014</v>
      </c>
      <c r="Q573" s="6">
        <f>New_Finance_Data[[#This Row],[ Profit ]]/New_Finance_Data[[#This Row],[  Sales ]]</f>
        <v>0.71590909090909094</v>
      </c>
      <c r="R573" t="str">
        <f>IF(New_Finance_Data[[#This Row],[  Sales ]]&gt;=100000,"High",IF(New_Finance_Data[[#This Row],[  Sales ]]&gt;=50000,"Medium","Low"))</f>
        <v>Low</v>
      </c>
      <c r="S573" t="str">
        <f>IF(OR(ISBLANK(New_Finance_Data[[#This Row],[  Sales ]]),ISBLANK(New_Finance_Data[[#This Row],[ Profit ]])),"Missing","OK")</f>
        <v>OK</v>
      </c>
      <c r="T573" t="str">
        <f>TEXT(New_Finance_Data[[#This Row],[Date]],"MMM-YYYY")</f>
        <v>May-2014</v>
      </c>
      <c r="U573" t="str">
        <f>IF(New_Finance_Data[[#This Row],[ Profit ]]&gt;0,"Profit","Loss")</f>
        <v>Profit</v>
      </c>
      <c r="V573" t="str">
        <f>IF(New_Finance_Data[[#This Row],[  Sales ]]&gt;=50000,"High Sales","Low Sales")</f>
        <v>Low Sales</v>
      </c>
      <c r="W573" t="b">
        <f>ISNUMBER(New_Finance_Data[[#This Row],[Date]])</f>
        <v>1</v>
      </c>
    </row>
    <row r="574" spans="1:23" x14ac:dyDescent="0.2">
      <c r="A574" t="s">
        <v>15</v>
      </c>
      <c r="B574" t="s">
        <v>20</v>
      </c>
      <c r="C574" t="s">
        <v>36</v>
      </c>
      <c r="D574" t="s">
        <v>46</v>
      </c>
      <c r="E574" s="27">
        <v>1531</v>
      </c>
      <c r="F574" s="27">
        <v>10</v>
      </c>
      <c r="G574" s="27">
        <v>20</v>
      </c>
      <c r="H574" s="27">
        <v>30620</v>
      </c>
      <c r="I574" s="5">
        <v>3674.4</v>
      </c>
      <c r="J574" s="27">
        <v>26945.599999999999</v>
      </c>
      <c r="K574" s="27">
        <v>15310</v>
      </c>
      <c r="L574" s="5">
        <v>11635.6</v>
      </c>
      <c r="M574" s="28">
        <v>41974</v>
      </c>
      <c r="N574" s="3">
        <v>12</v>
      </c>
      <c r="O574" s="29" t="s">
        <v>25</v>
      </c>
      <c r="P574" s="3">
        <v>2014</v>
      </c>
      <c r="Q574" s="6">
        <f>New_Finance_Data[[#This Row],[ Profit ]]/New_Finance_Data[[#This Row],[  Sales ]]</f>
        <v>0.43181818181818188</v>
      </c>
      <c r="R574" t="str">
        <f>IF(New_Finance_Data[[#This Row],[  Sales ]]&gt;=100000,"High",IF(New_Finance_Data[[#This Row],[  Sales ]]&gt;=50000,"Medium","Low"))</f>
        <v>Low</v>
      </c>
      <c r="S574" t="str">
        <f>IF(OR(ISBLANK(New_Finance_Data[[#This Row],[  Sales ]]),ISBLANK(New_Finance_Data[[#This Row],[ Profit ]])),"Missing","OK")</f>
        <v>OK</v>
      </c>
      <c r="T574" t="str">
        <f>TEXT(New_Finance_Data[[#This Row],[Date]],"MMM-YYYY")</f>
        <v>Dec-2014</v>
      </c>
      <c r="U574" t="str">
        <f>IF(New_Finance_Data[[#This Row],[ Profit ]]&gt;0,"Profit","Loss")</f>
        <v>Profit</v>
      </c>
      <c r="V574" t="str">
        <f>IF(New_Finance_Data[[#This Row],[  Sales ]]&gt;=50000,"High Sales","Low Sales")</f>
        <v>Low Sales</v>
      </c>
      <c r="W574" t="b">
        <f>ISNUMBER(New_Finance_Data[[#This Row],[Date]])</f>
        <v>1</v>
      </c>
    </row>
    <row r="575" spans="1:23" x14ac:dyDescent="0.2">
      <c r="A575" t="s">
        <v>15</v>
      </c>
      <c r="B575" t="s">
        <v>22</v>
      </c>
      <c r="C575" t="s">
        <v>40</v>
      </c>
      <c r="D575" t="s">
        <v>46</v>
      </c>
      <c r="E575" s="27">
        <v>1491</v>
      </c>
      <c r="F575" s="27">
        <v>250</v>
      </c>
      <c r="G575" s="27">
        <v>7</v>
      </c>
      <c r="H575" s="27">
        <v>10437</v>
      </c>
      <c r="I575" s="5">
        <v>1252.44</v>
      </c>
      <c r="J575" s="27">
        <v>9184.56</v>
      </c>
      <c r="K575" s="27">
        <v>7455</v>
      </c>
      <c r="L575" s="5">
        <v>1729.56</v>
      </c>
      <c r="M575" s="28">
        <v>41699</v>
      </c>
      <c r="N575" s="3">
        <v>3</v>
      </c>
      <c r="O575" s="29" t="s">
        <v>27</v>
      </c>
      <c r="P575" s="3">
        <v>2014</v>
      </c>
      <c r="Q575" s="6">
        <f>New_Finance_Data[[#This Row],[ Profit ]]/New_Finance_Data[[#This Row],[  Sales ]]</f>
        <v>0.18831168831168832</v>
      </c>
      <c r="R575" t="str">
        <f>IF(New_Finance_Data[[#This Row],[  Sales ]]&gt;=100000,"High",IF(New_Finance_Data[[#This Row],[  Sales ]]&gt;=50000,"Medium","Low"))</f>
        <v>Low</v>
      </c>
      <c r="S575" t="str">
        <f>IF(OR(ISBLANK(New_Finance_Data[[#This Row],[  Sales ]]),ISBLANK(New_Finance_Data[[#This Row],[ Profit ]])),"Missing","OK")</f>
        <v>OK</v>
      </c>
      <c r="T575" t="str">
        <f>TEXT(New_Finance_Data[[#This Row],[Date]],"MMM-YYYY")</f>
        <v>Mar-2014</v>
      </c>
      <c r="U575" t="str">
        <f>IF(New_Finance_Data[[#This Row],[ Profit ]]&gt;0,"Profit","Loss")</f>
        <v>Profit</v>
      </c>
      <c r="V575" t="str">
        <f>IF(New_Finance_Data[[#This Row],[  Sales ]]&gt;=50000,"High Sales","Low Sales")</f>
        <v>Low Sales</v>
      </c>
      <c r="W575" t="b">
        <f>ISNUMBER(New_Finance_Data[[#This Row],[Date]])</f>
        <v>1</v>
      </c>
    </row>
    <row r="576" spans="1:23" x14ac:dyDescent="0.2">
      <c r="A576" t="s">
        <v>15</v>
      </c>
      <c r="B576" t="s">
        <v>20</v>
      </c>
      <c r="C576" t="s">
        <v>40</v>
      </c>
      <c r="D576" t="s">
        <v>46</v>
      </c>
      <c r="E576" s="27">
        <v>1531</v>
      </c>
      <c r="F576" s="27">
        <v>250</v>
      </c>
      <c r="G576" s="27">
        <v>20</v>
      </c>
      <c r="H576" s="27">
        <v>30620</v>
      </c>
      <c r="I576" s="5">
        <v>3674.4</v>
      </c>
      <c r="J576" s="27">
        <v>26945.599999999999</v>
      </c>
      <c r="K576" s="27">
        <v>15310</v>
      </c>
      <c r="L576" s="5">
        <v>11635.6</v>
      </c>
      <c r="M576" s="28">
        <v>41974</v>
      </c>
      <c r="N576" s="3">
        <v>12</v>
      </c>
      <c r="O576" s="29" t="s">
        <v>25</v>
      </c>
      <c r="P576" s="3">
        <v>2014</v>
      </c>
      <c r="Q576" s="6">
        <f>New_Finance_Data[[#This Row],[ Profit ]]/New_Finance_Data[[#This Row],[  Sales ]]</f>
        <v>0.43181818181818188</v>
      </c>
      <c r="R576" t="str">
        <f>IF(New_Finance_Data[[#This Row],[  Sales ]]&gt;=100000,"High",IF(New_Finance_Data[[#This Row],[  Sales ]]&gt;=50000,"Medium","Low"))</f>
        <v>Low</v>
      </c>
      <c r="S576" t="str">
        <f>IF(OR(ISBLANK(New_Finance_Data[[#This Row],[  Sales ]]),ISBLANK(New_Finance_Data[[#This Row],[ Profit ]])),"Missing","OK")</f>
        <v>OK</v>
      </c>
      <c r="T576" t="str">
        <f>TEXT(New_Finance_Data[[#This Row],[Date]],"MMM-YYYY")</f>
        <v>Dec-2014</v>
      </c>
      <c r="U576" t="str">
        <f>IF(New_Finance_Data[[#This Row],[ Profit ]]&gt;0,"Profit","Loss")</f>
        <v>Profit</v>
      </c>
      <c r="V576" t="str">
        <f>IF(New_Finance_Data[[#This Row],[  Sales ]]&gt;=50000,"High Sales","Low Sales")</f>
        <v>Low Sales</v>
      </c>
      <c r="W576" t="b">
        <f>ISNUMBER(New_Finance_Data[[#This Row],[Date]])</f>
        <v>1</v>
      </c>
    </row>
    <row r="577" spans="1:23" x14ac:dyDescent="0.2">
      <c r="A577" t="s">
        <v>28</v>
      </c>
      <c r="B577" t="s">
        <v>16</v>
      </c>
      <c r="C577" t="s">
        <v>42</v>
      </c>
      <c r="D577" t="s">
        <v>46</v>
      </c>
      <c r="E577" s="27">
        <v>2761</v>
      </c>
      <c r="F577" s="27">
        <v>260</v>
      </c>
      <c r="G577" s="27">
        <v>12</v>
      </c>
      <c r="H577" s="27">
        <v>33132</v>
      </c>
      <c r="I577" s="5">
        <v>3975.84</v>
      </c>
      <c r="J577" s="27">
        <v>29156.16</v>
      </c>
      <c r="K577" s="27">
        <v>8283</v>
      </c>
      <c r="L577" s="5">
        <v>20873.16</v>
      </c>
      <c r="M577" s="28">
        <v>41518</v>
      </c>
      <c r="N577" s="3">
        <v>9</v>
      </c>
      <c r="O577" s="29" t="s">
        <v>33</v>
      </c>
      <c r="P577" s="3">
        <v>2013</v>
      </c>
      <c r="Q577" s="6">
        <f>New_Finance_Data[[#This Row],[ Profit ]]/New_Finance_Data[[#This Row],[  Sales ]]</f>
        <v>0.71590909090909094</v>
      </c>
      <c r="R577" t="str">
        <f>IF(New_Finance_Data[[#This Row],[  Sales ]]&gt;=100000,"High",IF(New_Finance_Data[[#This Row],[  Sales ]]&gt;=50000,"Medium","Low"))</f>
        <v>Low</v>
      </c>
      <c r="S577" t="str">
        <f>IF(OR(ISBLANK(New_Finance_Data[[#This Row],[  Sales ]]),ISBLANK(New_Finance_Data[[#This Row],[ Profit ]])),"Missing","OK")</f>
        <v>OK</v>
      </c>
      <c r="T577" t="str">
        <f>TEXT(New_Finance_Data[[#This Row],[Date]],"MMM-YYYY")</f>
        <v>Sep-2013</v>
      </c>
      <c r="U577" t="str">
        <f>IF(New_Finance_Data[[#This Row],[ Profit ]]&gt;0,"Profit","Loss")</f>
        <v>Profit</v>
      </c>
      <c r="V577" t="str">
        <f>IF(New_Finance_Data[[#This Row],[  Sales ]]&gt;=50000,"High Sales","Low Sales")</f>
        <v>Low Sales</v>
      </c>
      <c r="W577" t="b">
        <f>ISNUMBER(New_Finance_Data[[#This Row],[Date]])</f>
        <v>1</v>
      </c>
    </row>
    <row r="578" spans="1:23" x14ac:dyDescent="0.2">
      <c r="A578" t="s">
        <v>21</v>
      </c>
      <c r="B578" t="s">
        <v>35</v>
      </c>
      <c r="C578" t="s">
        <v>17</v>
      </c>
      <c r="D578" t="s">
        <v>46</v>
      </c>
      <c r="E578" s="27">
        <v>2567</v>
      </c>
      <c r="F578" s="27">
        <v>3</v>
      </c>
      <c r="G578" s="27">
        <v>15</v>
      </c>
      <c r="H578" s="27">
        <v>38505</v>
      </c>
      <c r="I578" s="5">
        <v>5005.6499999999996</v>
      </c>
      <c r="J578" s="27">
        <v>33499.35</v>
      </c>
      <c r="K578" s="27">
        <v>25670</v>
      </c>
      <c r="L578" s="5">
        <v>7829.35</v>
      </c>
      <c r="M578" s="28">
        <v>41791</v>
      </c>
      <c r="N578" s="3">
        <v>6</v>
      </c>
      <c r="O578" s="29" t="s">
        <v>23</v>
      </c>
      <c r="P578" s="3">
        <v>2014</v>
      </c>
      <c r="Q578" s="6">
        <f>New_Finance_Data[[#This Row],[ Profit ]]/New_Finance_Data[[#This Row],[  Sales ]]</f>
        <v>0.23371647509578547</v>
      </c>
      <c r="R578" t="str">
        <f>IF(New_Finance_Data[[#This Row],[  Sales ]]&gt;=100000,"High",IF(New_Finance_Data[[#This Row],[  Sales ]]&gt;=50000,"Medium","Low"))</f>
        <v>Low</v>
      </c>
      <c r="S578" t="str">
        <f>IF(OR(ISBLANK(New_Finance_Data[[#This Row],[  Sales ]]),ISBLANK(New_Finance_Data[[#This Row],[ Profit ]])),"Missing","OK")</f>
        <v>OK</v>
      </c>
      <c r="T578" t="str">
        <f>TEXT(New_Finance_Data[[#This Row],[Date]],"MMM-YYYY")</f>
        <v>Jun-2014</v>
      </c>
      <c r="U578" t="str">
        <f>IF(New_Finance_Data[[#This Row],[ Profit ]]&gt;0,"Profit","Loss")</f>
        <v>Profit</v>
      </c>
      <c r="V578" t="str">
        <f>IF(New_Finance_Data[[#This Row],[  Sales ]]&gt;=50000,"High Sales","Low Sales")</f>
        <v>Low Sales</v>
      </c>
      <c r="W578" t="b">
        <f>ISNUMBER(New_Finance_Data[[#This Row],[Date]])</f>
        <v>1</v>
      </c>
    </row>
    <row r="579" spans="1:23" x14ac:dyDescent="0.2">
      <c r="A579" t="s">
        <v>21</v>
      </c>
      <c r="B579" t="s">
        <v>35</v>
      </c>
      <c r="C579" t="s">
        <v>40</v>
      </c>
      <c r="D579" t="s">
        <v>46</v>
      </c>
      <c r="E579" s="27">
        <v>2567</v>
      </c>
      <c r="F579" s="27">
        <v>250</v>
      </c>
      <c r="G579" s="27">
        <v>15</v>
      </c>
      <c r="H579" s="27">
        <v>38505</v>
      </c>
      <c r="I579" s="5">
        <v>5005.6499999999996</v>
      </c>
      <c r="J579" s="27">
        <v>33499.35</v>
      </c>
      <c r="K579" s="27">
        <v>25670</v>
      </c>
      <c r="L579" s="5">
        <v>7829.35</v>
      </c>
      <c r="M579" s="28">
        <v>41791</v>
      </c>
      <c r="N579" s="3">
        <v>6</v>
      </c>
      <c r="O579" s="29" t="s">
        <v>23</v>
      </c>
      <c r="P579" s="3">
        <v>2014</v>
      </c>
      <c r="Q579" s="6">
        <f>New_Finance_Data[[#This Row],[ Profit ]]/New_Finance_Data[[#This Row],[  Sales ]]</f>
        <v>0.23371647509578547</v>
      </c>
      <c r="R579" t="str">
        <f>IF(New_Finance_Data[[#This Row],[  Sales ]]&gt;=100000,"High",IF(New_Finance_Data[[#This Row],[  Sales ]]&gt;=50000,"Medium","Low"))</f>
        <v>Low</v>
      </c>
      <c r="S579" t="str">
        <f>IF(OR(ISBLANK(New_Finance_Data[[#This Row],[  Sales ]]),ISBLANK(New_Finance_Data[[#This Row],[ Profit ]])),"Missing","OK")</f>
        <v>OK</v>
      </c>
      <c r="T579" t="str">
        <f>TEXT(New_Finance_Data[[#This Row],[Date]],"MMM-YYYY")</f>
        <v>Jun-2014</v>
      </c>
      <c r="U579" t="str">
        <f>IF(New_Finance_Data[[#This Row],[ Profit ]]&gt;0,"Profit","Loss")</f>
        <v>Profit</v>
      </c>
      <c r="V579" t="str">
        <f>IF(New_Finance_Data[[#This Row],[  Sales ]]&gt;=50000,"High Sales","Low Sales")</f>
        <v>Low Sales</v>
      </c>
      <c r="W579" t="b">
        <f>ISNUMBER(New_Finance_Data[[#This Row],[Date]])</f>
        <v>1</v>
      </c>
    </row>
    <row r="580" spans="1:23" x14ac:dyDescent="0.2">
      <c r="A580" t="s">
        <v>15</v>
      </c>
      <c r="B580" t="s">
        <v>16</v>
      </c>
      <c r="C580" t="s">
        <v>17</v>
      </c>
      <c r="D580" t="s">
        <v>46</v>
      </c>
      <c r="E580" s="27">
        <v>923</v>
      </c>
      <c r="F580" s="27">
        <v>3</v>
      </c>
      <c r="G580" s="27">
        <v>350</v>
      </c>
      <c r="H580" s="27">
        <v>323050</v>
      </c>
      <c r="I580" s="5">
        <v>41996.5</v>
      </c>
      <c r="J580" s="27">
        <v>281053.5</v>
      </c>
      <c r="K580" s="27">
        <v>239980</v>
      </c>
      <c r="L580" s="5">
        <v>41073.5</v>
      </c>
      <c r="M580" s="28">
        <v>41699</v>
      </c>
      <c r="N580" s="3">
        <v>3</v>
      </c>
      <c r="O580" s="29" t="s">
        <v>27</v>
      </c>
      <c r="P580" s="3">
        <v>2014</v>
      </c>
      <c r="Q580" s="6">
        <f>New_Finance_Data[[#This Row],[ Profit ]]/New_Finance_Data[[#This Row],[  Sales ]]</f>
        <v>0.14614121510673234</v>
      </c>
      <c r="R580" t="str">
        <f>IF(New_Finance_Data[[#This Row],[  Sales ]]&gt;=100000,"High",IF(New_Finance_Data[[#This Row],[  Sales ]]&gt;=50000,"Medium","Low"))</f>
        <v>High</v>
      </c>
      <c r="S580" t="str">
        <f>IF(OR(ISBLANK(New_Finance_Data[[#This Row],[  Sales ]]),ISBLANK(New_Finance_Data[[#This Row],[ Profit ]])),"Missing","OK")</f>
        <v>OK</v>
      </c>
      <c r="T580" t="str">
        <f>TEXT(New_Finance_Data[[#This Row],[Date]],"MMM-YYYY")</f>
        <v>Mar-2014</v>
      </c>
      <c r="U580" t="str">
        <f>IF(New_Finance_Data[[#This Row],[ Profit ]]&gt;0,"Profit","Loss")</f>
        <v>Profit</v>
      </c>
      <c r="V580" t="str">
        <f>IF(New_Finance_Data[[#This Row],[  Sales ]]&gt;=50000,"High Sales","Low Sales")</f>
        <v>High Sales</v>
      </c>
      <c r="W580" t="b">
        <f>ISNUMBER(New_Finance_Data[[#This Row],[Date]])</f>
        <v>1</v>
      </c>
    </row>
    <row r="581" spans="1:23" x14ac:dyDescent="0.2">
      <c r="A581" t="s">
        <v>15</v>
      </c>
      <c r="B581" t="s">
        <v>22</v>
      </c>
      <c r="C581" t="s">
        <v>17</v>
      </c>
      <c r="D581" t="s">
        <v>46</v>
      </c>
      <c r="E581" s="27">
        <v>1790</v>
      </c>
      <c r="F581" s="27">
        <v>3</v>
      </c>
      <c r="G581" s="27">
        <v>350</v>
      </c>
      <c r="H581" s="27">
        <v>626500</v>
      </c>
      <c r="I581" s="5">
        <v>81445</v>
      </c>
      <c r="J581" s="27">
        <v>545055</v>
      </c>
      <c r="K581" s="27">
        <v>465400</v>
      </c>
      <c r="L581" s="5">
        <v>79655</v>
      </c>
      <c r="M581" s="28">
        <v>41699</v>
      </c>
      <c r="N581" s="3">
        <v>3</v>
      </c>
      <c r="O581" s="29" t="s">
        <v>27</v>
      </c>
      <c r="P581" s="3">
        <v>2014</v>
      </c>
      <c r="Q581" s="6">
        <f>New_Finance_Data[[#This Row],[ Profit ]]/New_Finance_Data[[#This Row],[  Sales ]]</f>
        <v>0.14614121510673234</v>
      </c>
      <c r="R581" t="str">
        <f>IF(New_Finance_Data[[#This Row],[  Sales ]]&gt;=100000,"High",IF(New_Finance_Data[[#This Row],[  Sales ]]&gt;=50000,"Medium","Low"))</f>
        <v>High</v>
      </c>
      <c r="S581" t="str">
        <f>IF(OR(ISBLANK(New_Finance_Data[[#This Row],[  Sales ]]),ISBLANK(New_Finance_Data[[#This Row],[ Profit ]])),"Missing","OK")</f>
        <v>OK</v>
      </c>
      <c r="T581" t="str">
        <f>TEXT(New_Finance_Data[[#This Row],[Date]],"MMM-YYYY")</f>
        <v>Mar-2014</v>
      </c>
      <c r="U581" t="str">
        <f>IF(New_Finance_Data[[#This Row],[ Profit ]]&gt;0,"Profit","Loss")</f>
        <v>Profit</v>
      </c>
      <c r="V581" t="str">
        <f>IF(New_Finance_Data[[#This Row],[  Sales ]]&gt;=50000,"High Sales","Low Sales")</f>
        <v>High Sales</v>
      </c>
      <c r="W581" t="b">
        <f>ISNUMBER(New_Finance_Data[[#This Row],[Date]])</f>
        <v>1</v>
      </c>
    </row>
    <row r="582" spans="1:23" x14ac:dyDescent="0.2">
      <c r="A582" t="s">
        <v>15</v>
      </c>
      <c r="B582" t="s">
        <v>20</v>
      </c>
      <c r="C582" t="s">
        <v>17</v>
      </c>
      <c r="D582" t="s">
        <v>46</v>
      </c>
      <c r="E582" s="27">
        <v>442</v>
      </c>
      <c r="F582" s="27">
        <v>3</v>
      </c>
      <c r="G582" s="27">
        <v>20</v>
      </c>
      <c r="H582" s="27">
        <v>8840</v>
      </c>
      <c r="I582" s="5">
        <v>1149.2</v>
      </c>
      <c r="J582" s="27">
        <v>7690.8</v>
      </c>
      <c r="K582" s="27">
        <v>4420</v>
      </c>
      <c r="L582" s="5">
        <v>3270.8</v>
      </c>
      <c r="M582" s="28">
        <v>41518</v>
      </c>
      <c r="N582" s="3">
        <v>9</v>
      </c>
      <c r="O582" s="29" t="s">
        <v>33</v>
      </c>
      <c r="P582" s="3">
        <v>2013</v>
      </c>
      <c r="Q582" s="6">
        <f>New_Finance_Data[[#This Row],[ Profit ]]/New_Finance_Data[[#This Row],[  Sales ]]</f>
        <v>0.42528735632183912</v>
      </c>
      <c r="R582" t="str">
        <f>IF(New_Finance_Data[[#This Row],[  Sales ]]&gt;=100000,"High",IF(New_Finance_Data[[#This Row],[  Sales ]]&gt;=50000,"Medium","Low"))</f>
        <v>Low</v>
      </c>
      <c r="S582" t="str">
        <f>IF(OR(ISBLANK(New_Finance_Data[[#This Row],[  Sales ]]),ISBLANK(New_Finance_Data[[#This Row],[ Profit ]])),"Missing","OK")</f>
        <v>OK</v>
      </c>
      <c r="T582" t="str">
        <f>TEXT(New_Finance_Data[[#This Row],[Date]],"MMM-YYYY")</f>
        <v>Sep-2013</v>
      </c>
      <c r="U582" t="str">
        <f>IF(New_Finance_Data[[#This Row],[ Profit ]]&gt;0,"Profit","Loss")</f>
        <v>Profit</v>
      </c>
      <c r="V582" t="str">
        <f>IF(New_Finance_Data[[#This Row],[  Sales ]]&gt;=50000,"High Sales","Low Sales")</f>
        <v>Low Sales</v>
      </c>
      <c r="W582" t="b">
        <f>ISNUMBER(New_Finance_Data[[#This Row],[Date]])</f>
        <v>1</v>
      </c>
    </row>
    <row r="583" spans="1:23" x14ac:dyDescent="0.2">
      <c r="A583" t="s">
        <v>15</v>
      </c>
      <c r="B583" t="s">
        <v>35</v>
      </c>
      <c r="C583" t="s">
        <v>26</v>
      </c>
      <c r="D583" t="s">
        <v>46</v>
      </c>
      <c r="E583" s="27">
        <v>982.5</v>
      </c>
      <c r="F583" s="27">
        <v>5</v>
      </c>
      <c r="G583" s="27">
        <v>350</v>
      </c>
      <c r="H583" s="27">
        <v>343875</v>
      </c>
      <c r="I583" s="5">
        <v>44703.75</v>
      </c>
      <c r="J583" s="27">
        <v>299171.25</v>
      </c>
      <c r="K583" s="27">
        <v>255450</v>
      </c>
      <c r="L583" s="5">
        <v>43721.25</v>
      </c>
      <c r="M583" s="28">
        <v>41640</v>
      </c>
      <c r="N583" s="3">
        <v>1</v>
      </c>
      <c r="O583" s="29" t="s">
        <v>19</v>
      </c>
      <c r="P583" s="3">
        <v>2014</v>
      </c>
      <c r="Q583" s="6">
        <f>New_Finance_Data[[#This Row],[ Profit ]]/New_Finance_Data[[#This Row],[  Sales ]]</f>
        <v>0.14614121510673234</v>
      </c>
      <c r="R583" t="str">
        <f>IF(New_Finance_Data[[#This Row],[  Sales ]]&gt;=100000,"High",IF(New_Finance_Data[[#This Row],[  Sales ]]&gt;=50000,"Medium","Low"))</f>
        <v>High</v>
      </c>
      <c r="S583" t="str">
        <f>IF(OR(ISBLANK(New_Finance_Data[[#This Row],[  Sales ]]),ISBLANK(New_Finance_Data[[#This Row],[ Profit ]])),"Missing","OK")</f>
        <v>OK</v>
      </c>
      <c r="T583" t="str">
        <f>TEXT(New_Finance_Data[[#This Row],[Date]],"MMM-YYYY")</f>
        <v>Jan-2014</v>
      </c>
      <c r="U583" t="str">
        <f>IF(New_Finance_Data[[#This Row],[ Profit ]]&gt;0,"Profit","Loss")</f>
        <v>Profit</v>
      </c>
      <c r="V583" t="str">
        <f>IF(New_Finance_Data[[#This Row],[  Sales ]]&gt;=50000,"High Sales","Low Sales")</f>
        <v>High Sales</v>
      </c>
      <c r="W583" t="b">
        <f>ISNUMBER(New_Finance_Data[[#This Row],[Date]])</f>
        <v>1</v>
      </c>
    </row>
    <row r="584" spans="1:23" x14ac:dyDescent="0.2">
      <c r="A584" t="s">
        <v>15</v>
      </c>
      <c r="B584" t="s">
        <v>35</v>
      </c>
      <c r="C584" t="s">
        <v>26</v>
      </c>
      <c r="D584" t="s">
        <v>46</v>
      </c>
      <c r="E584" s="27">
        <v>1298</v>
      </c>
      <c r="F584" s="27">
        <v>5</v>
      </c>
      <c r="G584" s="27">
        <v>7</v>
      </c>
      <c r="H584" s="27">
        <v>9086</v>
      </c>
      <c r="I584" s="5">
        <v>1181.18</v>
      </c>
      <c r="J584" s="27">
        <v>7904.82</v>
      </c>
      <c r="K584" s="27">
        <v>6490</v>
      </c>
      <c r="L584" s="5">
        <v>1414.82</v>
      </c>
      <c r="M584" s="28">
        <v>41671</v>
      </c>
      <c r="N584" s="3">
        <v>2</v>
      </c>
      <c r="O584" s="29" t="s">
        <v>37</v>
      </c>
      <c r="P584" s="3">
        <v>2014</v>
      </c>
      <c r="Q584" s="6">
        <f>New_Finance_Data[[#This Row],[ Profit ]]/New_Finance_Data[[#This Row],[  Sales ]]</f>
        <v>0.17898193760262726</v>
      </c>
      <c r="R584" t="str">
        <f>IF(New_Finance_Data[[#This Row],[  Sales ]]&gt;=100000,"High",IF(New_Finance_Data[[#This Row],[  Sales ]]&gt;=50000,"Medium","Low"))</f>
        <v>Low</v>
      </c>
      <c r="S584" t="str">
        <f>IF(OR(ISBLANK(New_Finance_Data[[#This Row],[  Sales ]]),ISBLANK(New_Finance_Data[[#This Row],[ Profit ]])),"Missing","OK")</f>
        <v>OK</v>
      </c>
      <c r="T584" t="str">
        <f>TEXT(New_Finance_Data[[#This Row],[Date]],"MMM-YYYY")</f>
        <v>Feb-2014</v>
      </c>
      <c r="U584" t="str">
        <f>IF(New_Finance_Data[[#This Row],[ Profit ]]&gt;0,"Profit","Loss")</f>
        <v>Profit</v>
      </c>
      <c r="V584" t="str">
        <f>IF(New_Finance_Data[[#This Row],[  Sales ]]&gt;=50000,"High Sales","Low Sales")</f>
        <v>Low Sales</v>
      </c>
      <c r="W584" t="b">
        <f>ISNUMBER(New_Finance_Data[[#This Row],[Date]])</f>
        <v>1</v>
      </c>
    </row>
    <row r="585" spans="1:23" x14ac:dyDescent="0.2">
      <c r="A585" t="s">
        <v>28</v>
      </c>
      <c r="B585" t="s">
        <v>24</v>
      </c>
      <c r="C585" t="s">
        <v>26</v>
      </c>
      <c r="D585" t="s">
        <v>46</v>
      </c>
      <c r="E585" s="27">
        <v>604</v>
      </c>
      <c r="F585" s="27">
        <v>5</v>
      </c>
      <c r="G585" s="27">
        <v>12</v>
      </c>
      <c r="H585" s="27">
        <v>7248</v>
      </c>
      <c r="I585" s="5">
        <v>942.24</v>
      </c>
      <c r="J585" s="27">
        <v>6305.76</v>
      </c>
      <c r="K585" s="27">
        <v>1812</v>
      </c>
      <c r="L585" s="5">
        <v>4493.76</v>
      </c>
      <c r="M585" s="28">
        <v>41791</v>
      </c>
      <c r="N585" s="3">
        <v>6</v>
      </c>
      <c r="O585" s="29" t="s">
        <v>23</v>
      </c>
      <c r="P585" s="3">
        <v>2014</v>
      </c>
      <c r="Q585" s="6">
        <f>New_Finance_Data[[#This Row],[ Profit ]]/New_Finance_Data[[#This Row],[  Sales ]]</f>
        <v>0.71264367816091956</v>
      </c>
      <c r="R585" t="str">
        <f>IF(New_Finance_Data[[#This Row],[  Sales ]]&gt;=100000,"High",IF(New_Finance_Data[[#This Row],[  Sales ]]&gt;=50000,"Medium","Low"))</f>
        <v>Low</v>
      </c>
      <c r="S585" t="str">
        <f>IF(OR(ISBLANK(New_Finance_Data[[#This Row],[  Sales ]]),ISBLANK(New_Finance_Data[[#This Row],[ Profit ]])),"Missing","OK")</f>
        <v>OK</v>
      </c>
      <c r="T585" t="str">
        <f>TEXT(New_Finance_Data[[#This Row],[Date]],"MMM-YYYY")</f>
        <v>Jun-2014</v>
      </c>
      <c r="U585" t="str">
        <f>IF(New_Finance_Data[[#This Row],[ Profit ]]&gt;0,"Profit","Loss")</f>
        <v>Profit</v>
      </c>
      <c r="V585" t="str">
        <f>IF(New_Finance_Data[[#This Row],[  Sales ]]&gt;=50000,"High Sales","Low Sales")</f>
        <v>Low Sales</v>
      </c>
      <c r="W585" t="b">
        <f>ISNUMBER(New_Finance_Data[[#This Row],[Date]])</f>
        <v>1</v>
      </c>
    </row>
    <row r="586" spans="1:23" x14ac:dyDescent="0.2">
      <c r="A586" t="s">
        <v>15</v>
      </c>
      <c r="B586" t="s">
        <v>24</v>
      </c>
      <c r="C586" t="s">
        <v>26</v>
      </c>
      <c r="D586" t="s">
        <v>46</v>
      </c>
      <c r="E586" s="27">
        <v>2255</v>
      </c>
      <c r="F586" s="27">
        <v>5</v>
      </c>
      <c r="G586" s="27">
        <v>20</v>
      </c>
      <c r="H586" s="27">
        <v>45100</v>
      </c>
      <c r="I586" s="5">
        <v>5863</v>
      </c>
      <c r="J586" s="27">
        <v>39237</v>
      </c>
      <c r="K586" s="27">
        <v>22550</v>
      </c>
      <c r="L586" s="5">
        <v>16687</v>
      </c>
      <c r="M586" s="28">
        <v>41821</v>
      </c>
      <c r="N586" s="3">
        <v>7</v>
      </c>
      <c r="O586" s="29" t="s">
        <v>30</v>
      </c>
      <c r="P586" s="3">
        <v>2014</v>
      </c>
      <c r="Q586" s="6">
        <f>New_Finance_Data[[#This Row],[ Profit ]]/New_Finance_Data[[#This Row],[  Sales ]]</f>
        <v>0.42528735632183906</v>
      </c>
      <c r="R586" t="str">
        <f>IF(New_Finance_Data[[#This Row],[  Sales ]]&gt;=100000,"High",IF(New_Finance_Data[[#This Row],[  Sales ]]&gt;=50000,"Medium","Low"))</f>
        <v>Low</v>
      </c>
      <c r="S586" t="str">
        <f>IF(OR(ISBLANK(New_Finance_Data[[#This Row],[  Sales ]]),ISBLANK(New_Finance_Data[[#This Row],[ Profit ]])),"Missing","OK")</f>
        <v>OK</v>
      </c>
      <c r="T586" t="str">
        <f>TEXT(New_Finance_Data[[#This Row],[Date]],"MMM-YYYY")</f>
        <v>Jul-2014</v>
      </c>
      <c r="U586" t="str">
        <f>IF(New_Finance_Data[[#This Row],[ Profit ]]&gt;0,"Profit","Loss")</f>
        <v>Profit</v>
      </c>
      <c r="V586" t="str">
        <f>IF(New_Finance_Data[[#This Row],[  Sales ]]&gt;=50000,"High Sales","Low Sales")</f>
        <v>Low Sales</v>
      </c>
      <c r="W586" t="b">
        <f>ISNUMBER(New_Finance_Data[[#This Row],[Date]])</f>
        <v>1</v>
      </c>
    </row>
    <row r="587" spans="1:23" x14ac:dyDescent="0.2">
      <c r="A587" t="s">
        <v>15</v>
      </c>
      <c r="B587" t="s">
        <v>16</v>
      </c>
      <c r="C587" t="s">
        <v>26</v>
      </c>
      <c r="D587" t="s">
        <v>46</v>
      </c>
      <c r="E587" s="27">
        <v>1249</v>
      </c>
      <c r="F587" s="27">
        <v>5</v>
      </c>
      <c r="G587" s="27">
        <v>20</v>
      </c>
      <c r="H587" s="27">
        <v>24980</v>
      </c>
      <c r="I587" s="5">
        <v>3247.4</v>
      </c>
      <c r="J587" s="27">
        <v>21732.6</v>
      </c>
      <c r="K587" s="27">
        <v>12490</v>
      </c>
      <c r="L587" s="5">
        <v>9242.6</v>
      </c>
      <c r="M587" s="28">
        <v>41913</v>
      </c>
      <c r="N587" s="3">
        <v>10</v>
      </c>
      <c r="O587" s="29" t="s">
        <v>34</v>
      </c>
      <c r="P587" s="3">
        <v>2014</v>
      </c>
      <c r="Q587" s="6">
        <f>New_Finance_Data[[#This Row],[ Profit ]]/New_Finance_Data[[#This Row],[  Sales ]]</f>
        <v>0.42528735632183912</v>
      </c>
      <c r="R587" t="str">
        <f>IF(New_Finance_Data[[#This Row],[  Sales ]]&gt;=100000,"High",IF(New_Finance_Data[[#This Row],[  Sales ]]&gt;=50000,"Medium","Low"))</f>
        <v>Low</v>
      </c>
      <c r="S587" t="str">
        <f>IF(OR(ISBLANK(New_Finance_Data[[#This Row],[  Sales ]]),ISBLANK(New_Finance_Data[[#This Row],[ Profit ]])),"Missing","OK")</f>
        <v>OK</v>
      </c>
      <c r="T587" t="str">
        <f>TEXT(New_Finance_Data[[#This Row],[Date]],"MMM-YYYY")</f>
        <v>Oct-2014</v>
      </c>
      <c r="U587" t="str">
        <f>IF(New_Finance_Data[[#This Row],[ Profit ]]&gt;0,"Profit","Loss")</f>
        <v>Profit</v>
      </c>
      <c r="V587" t="str">
        <f>IF(New_Finance_Data[[#This Row],[  Sales ]]&gt;=50000,"High Sales","Low Sales")</f>
        <v>Low Sales</v>
      </c>
      <c r="W587" t="b">
        <f>ISNUMBER(New_Finance_Data[[#This Row],[Date]])</f>
        <v>1</v>
      </c>
    </row>
    <row r="588" spans="1:23" x14ac:dyDescent="0.2">
      <c r="A588" t="s">
        <v>15</v>
      </c>
      <c r="B588" t="s">
        <v>35</v>
      </c>
      <c r="C588" t="s">
        <v>36</v>
      </c>
      <c r="D588" t="s">
        <v>46</v>
      </c>
      <c r="E588" s="27">
        <v>1438.5</v>
      </c>
      <c r="F588" s="27">
        <v>10</v>
      </c>
      <c r="G588" s="27">
        <v>7</v>
      </c>
      <c r="H588" s="27">
        <v>10069.5</v>
      </c>
      <c r="I588" s="5">
        <v>1309.04</v>
      </c>
      <c r="J588" s="27">
        <v>8760.4699999999993</v>
      </c>
      <c r="K588" s="27">
        <v>7192.5</v>
      </c>
      <c r="L588" s="5">
        <v>1567.96</v>
      </c>
      <c r="M588" s="28">
        <v>41640</v>
      </c>
      <c r="N588" s="3">
        <v>1</v>
      </c>
      <c r="O588" s="29" t="s">
        <v>19</v>
      </c>
      <c r="P588" s="3">
        <v>2014</v>
      </c>
      <c r="Q588" s="6">
        <f>New_Finance_Data[[#This Row],[ Profit ]]/New_Finance_Data[[#This Row],[  Sales ]]</f>
        <v>0.17898126470383441</v>
      </c>
      <c r="R588" t="str">
        <f>IF(New_Finance_Data[[#This Row],[  Sales ]]&gt;=100000,"High",IF(New_Finance_Data[[#This Row],[  Sales ]]&gt;=50000,"Medium","Low"))</f>
        <v>Low</v>
      </c>
      <c r="S588" t="str">
        <f>IF(OR(ISBLANK(New_Finance_Data[[#This Row],[  Sales ]]),ISBLANK(New_Finance_Data[[#This Row],[ Profit ]])),"Missing","OK")</f>
        <v>OK</v>
      </c>
      <c r="T588" t="str">
        <f>TEXT(New_Finance_Data[[#This Row],[Date]],"MMM-YYYY")</f>
        <v>Jan-2014</v>
      </c>
      <c r="U588" t="str">
        <f>IF(New_Finance_Data[[#This Row],[ Profit ]]&gt;0,"Profit","Loss")</f>
        <v>Profit</v>
      </c>
      <c r="V588" t="str">
        <f>IF(New_Finance_Data[[#This Row],[  Sales ]]&gt;=50000,"High Sales","Low Sales")</f>
        <v>Low Sales</v>
      </c>
      <c r="W588" t="b">
        <f>ISNUMBER(New_Finance_Data[[#This Row],[Date]])</f>
        <v>1</v>
      </c>
    </row>
    <row r="589" spans="1:23" x14ac:dyDescent="0.2">
      <c r="A589" t="s">
        <v>31</v>
      </c>
      <c r="B589" t="s">
        <v>20</v>
      </c>
      <c r="C589" t="s">
        <v>36</v>
      </c>
      <c r="D589" t="s">
        <v>46</v>
      </c>
      <c r="E589" s="27">
        <v>807</v>
      </c>
      <c r="F589" s="27">
        <v>10</v>
      </c>
      <c r="G589" s="27">
        <v>300</v>
      </c>
      <c r="H589" s="27">
        <v>242100</v>
      </c>
      <c r="I589" s="5">
        <v>31473</v>
      </c>
      <c r="J589" s="27">
        <v>210627</v>
      </c>
      <c r="K589" s="27">
        <v>201750</v>
      </c>
      <c r="L589" s="5">
        <v>8877</v>
      </c>
      <c r="M589" s="28">
        <v>41640</v>
      </c>
      <c r="N589" s="3">
        <v>1</v>
      </c>
      <c r="O589" s="29" t="s">
        <v>19</v>
      </c>
      <c r="P589" s="3">
        <v>2014</v>
      </c>
      <c r="Q589" s="6">
        <f>New_Finance_Data[[#This Row],[ Profit ]]/New_Finance_Data[[#This Row],[  Sales ]]</f>
        <v>4.2145593869731802E-2</v>
      </c>
      <c r="R589" t="str">
        <f>IF(New_Finance_Data[[#This Row],[  Sales ]]&gt;=100000,"High",IF(New_Finance_Data[[#This Row],[  Sales ]]&gt;=50000,"Medium","Low"))</f>
        <v>High</v>
      </c>
      <c r="S589" t="str">
        <f>IF(OR(ISBLANK(New_Finance_Data[[#This Row],[  Sales ]]),ISBLANK(New_Finance_Data[[#This Row],[ Profit ]])),"Missing","OK")</f>
        <v>OK</v>
      </c>
      <c r="T589" t="str">
        <f>TEXT(New_Finance_Data[[#This Row],[Date]],"MMM-YYYY")</f>
        <v>Jan-2014</v>
      </c>
      <c r="U589" t="str">
        <f>IF(New_Finance_Data[[#This Row],[ Profit ]]&gt;0,"Profit","Loss")</f>
        <v>Profit</v>
      </c>
      <c r="V589" t="str">
        <f>IF(New_Finance_Data[[#This Row],[  Sales ]]&gt;=50000,"High Sales","Low Sales")</f>
        <v>High Sales</v>
      </c>
      <c r="W589" t="b">
        <f>ISNUMBER(New_Finance_Data[[#This Row],[Date]])</f>
        <v>1</v>
      </c>
    </row>
    <row r="590" spans="1:23" x14ac:dyDescent="0.2">
      <c r="A590" t="s">
        <v>15</v>
      </c>
      <c r="B590" t="s">
        <v>35</v>
      </c>
      <c r="C590" t="s">
        <v>36</v>
      </c>
      <c r="D590" t="s">
        <v>46</v>
      </c>
      <c r="E590" s="27">
        <v>2641</v>
      </c>
      <c r="F590" s="27">
        <v>10</v>
      </c>
      <c r="G590" s="27">
        <v>20</v>
      </c>
      <c r="H590" s="27">
        <v>52820</v>
      </c>
      <c r="I590" s="5">
        <v>6866.6</v>
      </c>
      <c r="J590" s="27">
        <v>45953.4</v>
      </c>
      <c r="K590" s="27">
        <v>26410</v>
      </c>
      <c r="L590" s="5">
        <v>19543.400000000001</v>
      </c>
      <c r="M590" s="28">
        <v>41671</v>
      </c>
      <c r="N590" s="3">
        <v>2</v>
      </c>
      <c r="O590" s="29" t="s">
        <v>37</v>
      </c>
      <c r="P590" s="3">
        <v>2014</v>
      </c>
      <c r="Q590" s="6">
        <f>New_Finance_Data[[#This Row],[ Profit ]]/New_Finance_Data[[#This Row],[  Sales ]]</f>
        <v>0.42528735632183912</v>
      </c>
      <c r="R590" t="str">
        <f>IF(New_Finance_Data[[#This Row],[  Sales ]]&gt;=100000,"High",IF(New_Finance_Data[[#This Row],[  Sales ]]&gt;=50000,"Medium","Low"))</f>
        <v>Low</v>
      </c>
      <c r="S590" t="str">
        <f>IF(OR(ISBLANK(New_Finance_Data[[#This Row],[  Sales ]]),ISBLANK(New_Finance_Data[[#This Row],[ Profit ]])),"Missing","OK")</f>
        <v>OK</v>
      </c>
      <c r="T590" t="str">
        <f>TEXT(New_Finance_Data[[#This Row],[Date]],"MMM-YYYY")</f>
        <v>Feb-2014</v>
      </c>
      <c r="U590" t="str">
        <f>IF(New_Finance_Data[[#This Row],[ Profit ]]&gt;0,"Profit","Loss")</f>
        <v>Profit</v>
      </c>
      <c r="V590" t="str">
        <f>IF(New_Finance_Data[[#This Row],[  Sales ]]&gt;=50000,"High Sales","Low Sales")</f>
        <v>Low Sales</v>
      </c>
      <c r="W590" t="b">
        <f>ISNUMBER(New_Finance_Data[[#This Row],[Date]])</f>
        <v>1</v>
      </c>
    </row>
    <row r="591" spans="1:23" x14ac:dyDescent="0.2">
      <c r="A591" t="s">
        <v>15</v>
      </c>
      <c r="B591" t="s">
        <v>20</v>
      </c>
      <c r="C591" t="s">
        <v>36</v>
      </c>
      <c r="D591" t="s">
        <v>46</v>
      </c>
      <c r="E591" s="27">
        <v>2708</v>
      </c>
      <c r="F591" s="27">
        <v>10</v>
      </c>
      <c r="G591" s="27">
        <v>20</v>
      </c>
      <c r="H591" s="27">
        <v>54160</v>
      </c>
      <c r="I591" s="5">
        <v>7040.8</v>
      </c>
      <c r="J591" s="27">
        <v>47119.199999999997</v>
      </c>
      <c r="K591" s="27">
        <v>27080</v>
      </c>
      <c r="L591" s="5">
        <v>20039.2</v>
      </c>
      <c r="M591" s="28">
        <v>41671</v>
      </c>
      <c r="N591" s="3">
        <v>2</v>
      </c>
      <c r="O591" s="29" t="s">
        <v>37</v>
      </c>
      <c r="P591" s="3">
        <v>2014</v>
      </c>
      <c r="Q591" s="6">
        <f>New_Finance_Data[[#This Row],[ Profit ]]/New_Finance_Data[[#This Row],[  Sales ]]</f>
        <v>0.42528735632183912</v>
      </c>
      <c r="R591" t="str">
        <f>IF(New_Finance_Data[[#This Row],[  Sales ]]&gt;=100000,"High",IF(New_Finance_Data[[#This Row],[  Sales ]]&gt;=50000,"Medium","Low"))</f>
        <v>Low</v>
      </c>
      <c r="S591" t="str">
        <f>IF(OR(ISBLANK(New_Finance_Data[[#This Row],[  Sales ]]),ISBLANK(New_Finance_Data[[#This Row],[ Profit ]])),"Missing","OK")</f>
        <v>OK</v>
      </c>
      <c r="T591" t="str">
        <f>TEXT(New_Finance_Data[[#This Row],[Date]],"MMM-YYYY")</f>
        <v>Feb-2014</v>
      </c>
      <c r="U591" t="str">
        <f>IF(New_Finance_Data[[#This Row],[ Profit ]]&gt;0,"Profit","Loss")</f>
        <v>Profit</v>
      </c>
      <c r="V591" t="str">
        <f>IF(New_Finance_Data[[#This Row],[  Sales ]]&gt;=50000,"High Sales","Low Sales")</f>
        <v>Low Sales</v>
      </c>
      <c r="W591" t="b">
        <f>ISNUMBER(New_Finance_Data[[#This Row],[Date]])</f>
        <v>1</v>
      </c>
    </row>
    <row r="592" spans="1:23" x14ac:dyDescent="0.2">
      <c r="A592" t="s">
        <v>15</v>
      </c>
      <c r="B592" t="s">
        <v>16</v>
      </c>
      <c r="C592" t="s">
        <v>36</v>
      </c>
      <c r="D592" t="s">
        <v>46</v>
      </c>
      <c r="E592" s="27">
        <v>2632</v>
      </c>
      <c r="F592" s="27">
        <v>10</v>
      </c>
      <c r="G592" s="27">
        <v>350</v>
      </c>
      <c r="H592" s="27">
        <v>921200</v>
      </c>
      <c r="I592" s="5">
        <v>119756</v>
      </c>
      <c r="J592" s="27">
        <v>801444</v>
      </c>
      <c r="K592" s="27">
        <v>684320</v>
      </c>
      <c r="L592" s="5">
        <v>117124</v>
      </c>
      <c r="M592" s="28">
        <v>41791</v>
      </c>
      <c r="N592" s="3">
        <v>6</v>
      </c>
      <c r="O592" s="29" t="s">
        <v>23</v>
      </c>
      <c r="P592" s="3">
        <v>2014</v>
      </c>
      <c r="Q592" s="6">
        <f>New_Finance_Data[[#This Row],[ Profit ]]/New_Finance_Data[[#This Row],[  Sales ]]</f>
        <v>0.14614121510673234</v>
      </c>
      <c r="R592" t="str">
        <f>IF(New_Finance_Data[[#This Row],[  Sales ]]&gt;=100000,"High",IF(New_Finance_Data[[#This Row],[  Sales ]]&gt;=50000,"Medium","Low"))</f>
        <v>High</v>
      </c>
      <c r="S592" t="str">
        <f>IF(OR(ISBLANK(New_Finance_Data[[#This Row],[  Sales ]]),ISBLANK(New_Finance_Data[[#This Row],[ Profit ]])),"Missing","OK")</f>
        <v>OK</v>
      </c>
      <c r="T592" t="str">
        <f>TEXT(New_Finance_Data[[#This Row],[Date]],"MMM-YYYY")</f>
        <v>Jun-2014</v>
      </c>
      <c r="U592" t="str">
        <f>IF(New_Finance_Data[[#This Row],[ Profit ]]&gt;0,"Profit","Loss")</f>
        <v>Profit</v>
      </c>
      <c r="V592" t="str">
        <f>IF(New_Finance_Data[[#This Row],[  Sales ]]&gt;=50000,"High Sales","Low Sales")</f>
        <v>High Sales</v>
      </c>
      <c r="W592" t="b">
        <f>ISNUMBER(New_Finance_Data[[#This Row],[Date]])</f>
        <v>1</v>
      </c>
    </row>
    <row r="593" spans="1:23" x14ac:dyDescent="0.2">
      <c r="A593" t="s">
        <v>29</v>
      </c>
      <c r="B593" t="s">
        <v>16</v>
      </c>
      <c r="C593" t="s">
        <v>36</v>
      </c>
      <c r="D593" t="s">
        <v>46</v>
      </c>
      <c r="E593" s="27">
        <v>1583</v>
      </c>
      <c r="F593" s="27">
        <v>10</v>
      </c>
      <c r="G593" s="27">
        <v>125</v>
      </c>
      <c r="H593" s="27">
        <v>197875</v>
      </c>
      <c r="I593" s="5">
        <v>25723.75</v>
      </c>
      <c r="J593" s="27">
        <v>172151.25</v>
      </c>
      <c r="K593" s="27">
        <v>189960</v>
      </c>
      <c r="L593" s="5">
        <v>-17808.75</v>
      </c>
      <c r="M593" s="28">
        <v>41791</v>
      </c>
      <c r="N593" s="3">
        <v>6</v>
      </c>
      <c r="O593" s="29" t="s">
        <v>23</v>
      </c>
      <c r="P593" s="3">
        <v>2014</v>
      </c>
      <c r="Q593" s="6">
        <f>New_Finance_Data[[#This Row],[ Profit ]]/New_Finance_Data[[#This Row],[  Sales ]]</f>
        <v>-0.10344827586206896</v>
      </c>
      <c r="R593" t="str">
        <f>IF(New_Finance_Data[[#This Row],[  Sales ]]&gt;=100000,"High",IF(New_Finance_Data[[#This Row],[  Sales ]]&gt;=50000,"Medium","Low"))</f>
        <v>High</v>
      </c>
      <c r="S593" t="str">
        <f>IF(OR(ISBLANK(New_Finance_Data[[#This Row],[  Sales ]]),ISBLANK(New_Finance_Data[[#This Row],[ Profit ]])),"Missing","OK")</f>
        <v>OK</v>
      </c>
      <c r="T593" t="str">
        <f>TEXT(New_Finance_Data[[#This Row],[Date]],"MMM-YYYY")</f>
        <v>Jun-2014</v>
      </c>
      <c r="U593" t="str">
        <f>IF(New_Finance_Data[[#This Row],[ Profit ]]&gt;0,"Profit","Loss")</f>
        <v>Loss</v>
      </c>
      <c r="V593" t="str">
        <f>IF(New_Finance_Data[[#This Row],[  Sales ]]&gt;=50000,"High Sales","Low Sales")</f>
        <v>High Sales</v>
      </c>
      <c r="W593" t="b">
        <f>ISNUMBER(New_Finance_Data[[#This Row],[Date]])</f>
        <v>1</v>
      </c>
    </row>
    <row r="594" spans="1:23" x14ac:dyDescent="0.2">
      <c r="A594" t="s">
        <v>28</v>
      </c>
      <c r="B594" t="s">
        <v>24</v>
      </c>
      <c r="C594" t="s">
        <v>36</v>
      </c>
      <c r="D594" t="s">
        <v>46</v>
      </c>
      <c r="E594" s="27">
        <v>571</v>
      </c>
      <c r="F594" s="27">
        <v>10</v>
      </c>
      <c r="G594" s="27">
        <v>12</v>
      </c>
      <c r="H594" s="27">
        <v>6852</v>
      </c>
      <c r="I594" s="5">
        <v>890.76</v>
      </c>
      <c r="J594" s="27">
        <v>5961.24</v>
      </c>
      <c r="K594" s="27">
        <v>1713</v>
      </c>
      <c r="L594" s="5">
        <v>4248.24</v>
      </c>
      <c r="M594" s="28">
        <v>41821</v>
      </c>
      <c r="N594" s="3">
        <v>7</v>
      </c>
      <c r="O594" s="29" t="s">
        <v>30</v>
      </c>
      <c r="P594" s="3">
        <v>2014</v>
      </c>
      <c r="Q594" s="6">
        <f>New_Finance_Data[[#This Row],[ Profit ]]/New_Finance_Data[[#This Row],[  Sales ]]</f>
        <v>0.71264367816091956</v>
      </c>
      <c r="R594" t="str">
        <f>IF(New_Finance_Data[[#This Row],[  Sales ]]&gt;=100000,"High",IF(New_Finance_Data[[#This Row],[  Sales ]]&gt;=50000,"Medium","Low"))</f>
        <v>Low</v>
      </c>
      <c r="S594" t="str">
        <f>IF(OR(ISBLANK(New_Finance_Data[[#This Row],[  Sales ]]),ISBLANK(New_Finance_Data[[#This Row],[ Profit ]])),"Missing","OK")</f>
        <v>OK</v>
      </c>
      <c r="T594" t="str">
        <f>TEXT(New_Finance_Data[[#This Row],[Date]],"MMM-YYYY")</f>
        <v>Jul-2014</v>
      </c>
      <c r="U594" t="str">
        <f>IF(New_Finance_Data[[#This Row],[ Profit ]]&gt;0,"Profit","Loss")</f>
        <v>Profit</v>
      </c>
      <c r="V594" t="str">
        <f>IF(New_Finance_Data[[#This Row],[  Sales ]]&gt;=50000,"High Sales","Low Sales")</f>
        <v>Low Sales</v>
      </c>
      <c r="W594" t="b">
        <f>ISNUMBER(New_Finance_Data[[#This Row],[Date]])</f>
        <v>1</v>
      </c>
    </row>
    <row r="595" spans="1:23" x14ac:dyDescent="0.2">
      <c r="A595" t="s">
        <v>15</v>
      </c>
      <c r="B595" t="s">
        <v>22</v>
      </c>
      <c r="C595" t="s">
        <v>36</v>
      </c>
      <c r="D595" t="s">
        <v>46</v>
      </c>
      <c r="E595" s="27">
        <v>2696</v>
      </c>
      <c r="F595" s="27">
        <v>10</v>
      </c>
      <c r="G595" s="27">
        <v>7</v>
      </c>
      <c r="H595" s="27">
        <v>18872</v>
      </c>
      <c r="I595" s="5">
        <v>2453.36</v>
      </c>
      <c r="J595" s="27">
        <v>16418.64</v>
      </c>
      <c r="K595" s="27">
        <v>13480</v>
      </c>
      <c r="L595" s="5">
        <v>2938.64</v>
      </c>
      <c r="M595" s="28">
        <v>41852</v>
      </c>
      <c r="N595" s="3">
        <v>8</v>
      </c>
      <c r="O595" s="29" t="s">
        <v>32</v>
      </c>
      <c r="P595" s="3">
        <v>2014</v>
      </c>
      <c r="Q595" s="6">
        <f>New_Finance_Data[[#This Row],[ Profit ]]/New_Finance_Data[[#This Row],[  Sales ]]</f>
        <v>0.17898193760262726</v>
      </c>
      <c r="R595" t="str">
        <f>IF(New_Finance_Data[[#This Row],[  Sales ]]&gt;=100000,"High",IF(New_Finance_Data[[#This Row],[  Sales ]]&gt;=50000,"Medium","Low"))</f>
        <v>Low</v>
      </c>
      <c r="S595" t="str">
        <f>IF(OR(ISBLANK(New_Finance_Data[[#This Row],[  Sales ]]),ISBLANK(New_Finance_Data[[#This Row],[ Profit ]])),"Missing","OK")</f>
        <v>OK</v>
      </c>
      <c r="T595" t="str">
        <f>TEXT(New_Finance_Data[[#This Row],[Date]],"MMM-YYYY")</f>
        <v>Aug-2014</v>
      </c>
      <c r="U595" t="str">
        <f>IF(New_Finance_Data[[#This Row],[ Profit ]]&gt;0,"Profit","Loss")</f>
        <v>Profit</v>
      </c>
      <c r="V595" t="str">
        <f>IF(New_Finance_Data[[#This Row],[  Sales ]]&gt;=50000,"High Sales","Low Sales")</f>
        <v>Low Sales</v>
      </c>
      <c r="W595" t="b">
        <f>ISNUMBER(New_Finance_Data[[#This Row],[Date]])</f>
        <v>1</v>
      </c>
    </row>
    <row r="596" spans="1:23" x14ac:dyDescent="0.2">
      <c r="A596" t="s">
        <v>21</v>
      </c>
      <c r="B596" t="s">
        <v>16</v>
      </c>
      <c r="C596" t="s">
        <v>36</v>
      </c>
      <c r="D596" t="s">
        <v>46</v>
      </c>
      <c r="E596" s="27">
        <v>1565</v>
      </c>
      <c r="F596" s="27">
        <v>10</v>
      </c>
      <c r="G596" s="27">
        <v>15</v>
      </c>
      <c r="H596" s="27">
        <v>23475</v>
      </c>
      <c r="I596" s="5">
        <v>3051.75</v>
      </c>
      <c r="J596" s="27">
        <v>20423.25</v>
      </c>
      <c r="K596" s="27">
        <v>15650</v>
      </c>
      <c r="L596" s="5">
        <v>4773.25</v>
      </c>
      <c r="M596" s="28">
        <v>41913</v>
      </c>
      <c r="N596" s="3">
        <v>10</v>
      </c>
      <c r="O596" s="29" t="s">
        <v>34</v>
      </c>
      <c r="P596" s="3">
        <v>2014</v>
      </c>
      <c r="Q596" s="6">
        <f>New_Finance_Data[[#This Row],[ Profit ]]/New_Finance_Data[[#This Row],[  Sales ]]</f>
        <v>0.23371647509578544</v>
      </c>
      <c r="R596" t="str">
        <f>IF(New_Finance_Data[[#This Row],[  Sales ]]&gt;=100000,"High",IF(New_Finance_Data[[#This Row],[  Sales ]]&gt;=50000,"Medium","Low"))</f>
        <v>Low</v>
      </c>
      <c r="S596" t="str">
        <f>IF(OR(ISBLANK(New_Finance_Data[[#This Row],[  Sales ]]),ISBLANK(New_Finance_Data[[#This Row],[ Profit ]])),"Missing","OK")</f>
        <v>OK</v>
      </c>
      <c r="T596" t="str">
        <f>TEXT(New_Finance_Data[[#This Row],[Date]],"MMM-YYYY")</f>
        <v>Oct-2014</v>
      </c>
      <c r="U596" t="str">
        <f>IF(New_Finance_Data[[#This Row],[ Profit ]]&gt;0,"Profit","Loss")</f>
        <v>Profit</v>
      </c>
      <c r="V596" t="str">
        <f>IF(New_Finance_Data[[#This Row],[  Sales ]]&gt;=50000,"High Sales","Low Sales")</f>
        <v>Low Sales</v>
      </c>
      <c r="W596" t="b">
        <f>ISNUMBER(New_Finance_Data[[#This Row],[Date]])</f>
        <v>1</v>
      </c>
    </row>
    <row r="597" spans="1:23" x14ac:dyDescent="0.2">
      <c r="A597" t="s">
        <v>15</v>
      </c>
      <c r="B597" t="s">
        <v>16</v>
      </c>
      <c r="C597" t="s">
        <v>36</v>
      </c>
      <c r="D597" t="s">
        <v>46</v>
      </c>
      <c r="E597" s="27">
        <v>1249</v>
      </c>
      <c r="F597" s="27">
        <v>10</v>
      </c>
      <c r="G597" s="27">
        <v>20</v>
      </c>
      <c r="H597" s="27">
        <v>24980</v>
      </c>
      <c r="I597" s="5">
        <v>3247.4</v>
      </c>
      <c r="J597" s="27">
        <v>21732.6</v>
      </c>
      <c r="K597" s="27">
        <v>12490</v>
      </c>
      <c r="L597" s="5">
        <v>9242.6</v>
      </c>
      <c r="M597" s="28">
        <v>41913</v>
      </c>
      <c r="N597" s="3">
        <v>10</v>
      </c>
      <c r="O597" s="29" t="s">
        <v>34</v>
      </c>
      <c r="P597" s="3">
        <v>2014</v>
      </c>
      <c r="Q597" s="6">
        <f>New_Finance_Data[[#This Row],[ Profit ]]/New_Finance_Data[[#This Row],[  Sales ]]</f>
        <v>0.42528735632183912</v>
      </c>
      <c r="R597" t="str">
        <f>IF(New_Finance_Data[[#This Row],[  Sales ]]&gt;=100000,"High",IF(New_Finance_Data[[#This Row],[  Sales ]]&gt;=50000,"Medium","Low"))</f>
        <v>Low</v>
      </c>
      <c r="S597" t="str">
        <f>IF(OR(ISBLANK(New_Finance_Data[[#This Row],[  Sales ]]),ISBLANK(New_Finance_Data[[#This Row],[ Profit ]])),"Missing","OK")</f>
        <v>OK</v>
      </c>
      <c r="T597" t="str">
        <f>TEXT(New_Finance_Data[[#This Row],[Date]],"MMM-YYYY")</f>
        <v>Oct-2014</v>
      </c>
      <c r="U597" t="str">
        <f>IF(New_Finance_Data[[#This Row],[ Profit ]]&gt;0,"Profit","Loss")</f>
        <v>Profit</v>
      </c>
      <c r="V597" t="str">
        <f>IF(New_Finance_Data[[#This Row],[  Sales ]]&gt;=50000,"High Sales","Low Sales")</f>
        <v>Low Sales</v>
      </c>
      <c r="W597" t="b">
        <f>ISNUMBER(New_Finance_Data[[#This Row],[Date]])</f>
        <v>1</v>
      </c>
    </row>
    <row r="598" spans="1:23" x14ac:dyDescent="0.2">
      <c r="A598" t="s">
        <v>15</v>
      </c>
      <c r="B598" t="s">
        <v>20</v>
      </c>
      <c r="C598" t="s">
        <v>36</v>
      </c>
      <c r="D598" t="s">
        <v>46</v>
      </c>
      <c r="E598" s="27">
        <v>357</v>
      </c>
      <c r="F598" s="27">
        <v>10</v>
      </c>
      <c r="G598" s="27">
        <v>350</v>
      </c>
      <c r="H598" s="27">
        <v>124950</v>
      </c>
      <c r="I598" s="5">
        <v>16243.5</v>
      </c>
      <c r="J598" s="27">
        <v>108706.5</v>
      </c>
      <c r="K598" s="27">
        <v>92820</v>
      </c>
      <c r="L598" s="5">
        <v>15886.5</v>
      </c>
      <c r="M598" s="28">
        <v>41944</v>
      </c>
      <c r="N598" s="3">
        <v>11</v>
      </c>
      <c r="O598" s="29" t="s">
        <v>38</v>
      </c>
      <c r="P598" s="3">
        <v>2014</v>
      </c>
      <c r="Q598" s="6">
        <f>New_Finance_Data[[#This Row],[ Profit ]]/New_Finance_Data[[#This Row],[  Sales ]]</f>
        <v>0.14614121510673234</v>
      </c>
      <c r="R598" t="str">
        <f>IF(New_Finance_Data[[#This Row],[  Sales ]]&gt;=100000,"High",IF(New_Finance_Data[[#This Row],[  Sales ]]&gt;=50000,"Medium","Low"))</f>
        <v>High</v>
      </c>
      <c r="S598" t="str">
        <f>IF(OR(ISBLANK(New_Finance_Data[[#This Row],[  Sales ]]),ISBLANK(New_Finance_Data[[#This Row],[ Profit ]])),"Missing","OK")</f>
        <v>OK</v>
      </c>
      <c r="T598" t="str">
        <f>TEXT(New_Finance_Data[[#This Row],[Date]],"MMM-YYYY")</f>
        <v>Nov-2014</v>
      </c>
      <c r="U598" t="str">
        <f>IF(New_Finance_Data[[#This Row],[ Profit ]]&gt;0,"Profit","Loss")</f>
        <v>Profit</v>
      </c>
      <c r="V598" t="str">
        <f>IF(New_Finance_Data[[#This Row],[  Sales ]]&gt;=50000,"High Sales","Low Sales")</f>
        <v>High Sales</v>
      </c>
      <c r="W598" t="b">
        <f>ISNUMBER(New_Finance_Data[[#This Row],[Date]])</f>
        <v>1</v>
      </c>
    </row>
    <row r="599" spans="1:23" x14ac:dyDescent="0.2">
      <c r="A599" t="s">
        <v>28</v>
      </c>
      <c r="B599" t="s">
        <v>20</v>
      </c>
      <c r="C599" t="s">
        <v>36</v>
      </c>
      <c r="D599" t="s">
        <v>46</v>
      </c>
      <c r="E599" s="27">
        <v>1013</v>
      </c>
      <c r="F599" s="27">
        <v>10</v>
      </c>
      <c r="G599" s="27">
        <v>12</v>
      </c>
      <c r="H599" s="27">
        <v>12156</v>
      </c>
      <c r="I599" s="5">
        <v>1580.28</v>
      </c>
      <c r="J599" s="27">
        <v>10575.72</v>
      </c>
      <c r="K599" s="27">
        <v>3039</v>
      </c>
      <c r="L599" s="5">
        <v>7536.72</v>
      </c>
      <c r="M599" s="28">
        <v>41974</v>
      </c>
      <c r="N599" s="3">
        <v>12</v>
      </c>
      <c r="O599" s="29" t="s">
        <v>25</v>
      </c>
      <c r="P599" s="3">
        <v>2014</v>
      </c>
      <c r="Q599" s="6">
        <f>New_Finance_Data[[#This Row],[ Profit ]]/New_Finance_Data[[#This Row],[  Sales ]]</f>
        <v>0.71264367816091956</v>
      </c>
      <c r="R599" t="str">
        <f>IF(New_Finance_Data[[#This Row],[  Sales ]]&gt;=100000,"High",IF(New_Finance_Data[[#This Row],[  Sales ]]&gt;=50000,"Medium","Low"))</f>
        <v>Low</v>
      </c>
      <c r="S599" t="str">
        <f>IF(OR(ISBLANK(New_Finance_Data[[#This Row],[  Sales ]]),ISBLANK(New_Finance_Data[[#This Row],[ Profit ]])),"Missing","OK")</f>
        <v>OK</v>
      </c>
      <c r="T599" t="str">
        <f>TEXT(New_Finance_Data[[#This Row],[Date]],"MMM-YYYY")</f>
        <v>Dec-2014</v>
      </c>
      <c r="U599" t="str">
        <f>IF(New_Finance_Data[[#This Row],[ Profit ]]&gt;0,"Profit","Loss")</f>
        <v>Profit</v>
      </c>
      <c r="V599" t="str">
        <f>IF(New_Finance_Data[[#This Row],[  Sales ]]&gt;=50000,"High Sales","Low Sales")</f>
        <v>Low Sales</v>
      </c>
      <c r="W599" t="b">
        <f>ISNUMBER(New_Finance_Data[[#This Row],[Date]])</f>
        <v>1</v>
      </c>
    </row>
    <row r="600" spans="1:23" x14ac:dyDescent="0.2">
      <c r="A600" t="s">
        <v>21</v>
      </c>
      <c r="B600" t="s">
        <v>22</v>
      </c>
      <c r="C600" t="s">
        <v>39</v>
      </c>
      <c r="D600" t="s">
        <v>46</v>
      </c>
      <c r="E600" s="27">
        <v>3997.5</v>
      </c>
      <c r="F600" s="27">
        <v>120</v>
      </c>
      <c r="G600" s="27">
        <v>15</v>
      </c>
      <c r="H600" s="27">
        <v>59962.5</v>
      </c>
      <c r="I600" s="5">
        <v>7795.13</v>
      </c>
      <c r="J600" s="27">
        <v>52167.38</v>
      </c>
      <c r="K600" s="27">
        <v>39975</v>
      </c>
      <c r="L600" s="5">
        <v>12192.38</v>
      </c>
      <c r="M600" s="28">
        <v>41640</v>
      </c>
      <c r="N600" s="3">
        <v>1</v>
      </c>
      <c r="O600" s="29" t="s">
        <v>19</v>
      </c>
      <c r="P600" s="3">
        <v>2014</v>
      </c>
      <c r="Q600" s="6">
        <f>New_Finance_Data[[#This Row],[ Profit ]]/New_Finance_Data[[#This Row],[  Sales ]]</f>
        <v>0.2337165485404864</v>
      </c>
      <c r="R600" t="str">
        <f>IF(New_Finance_Data[[#This Row],[  Sales ]]&gt;=100000,"High",IF(New_Finance_Data[[#This Row],[  Sales ]]&gt;=50000,"Medium","Low"))</f>
        <v>Medium</v>
      </c>
      <c r="S600" t="str">
        <f>IF(OR(ISBLANK(New_Finance_Data[[#This Row],[  Sales ]]),ISBLANK(New_Finance_Data[[#This Row],[ Profit ]])),"Missing","OK")</f>
        <v>OK</v>
      </c>
      <c r="T600" t="str">
        <f>TEXT(New_Finance_Data[[#This Row],[Date]],"MMM-YYYY")</f>
        <v>Jan-2014</v>
      </c>
      <c r="U600" t="str">
        <f>IF(New_Finance_Data[[#This Row],[ Profit ]]&gt;0,"Profit","Loss")</f>
        <v>Profit</v>
      </c>
      <c r="V600" t="str">
        <f>IF(New_Finance_Data[[#This Row],[  Sales ]]&gt;=50000,"High Sales","Low Sales")</f>
        <v>High Sales</v>
      </c>
      <c r="W600" t="b">
        <f>ISNUMBER(New_Finance_Data[[#This Row],[Date]])</f>
        <v>1</v>
      </c>
    </row>
    <row r="601" spans="1:23" x14ac:dyDescent="0.2">
      <c r="A601" t="s">
        <v>15</v>
      </c>
      <c r="B601" t="s">
        <v>16</v>
      </c>
      <c r="C601" t="s">
        <v>39</v>
      </c>
      <c r="D601" t="s">
        <v>46</v>
      </c>
      <c r="E601" s="27">
        <v>2632</v>
      </c>
      <c r="F601" s="27">
        <v>120</v>
      </c>
      <c r="G601" s="27">
        <v>350</v>
      </c>
      <c r="H601" s="27">
        <v>921200</v>
      </c>
      <c r="I601" s="5">
        <v>119756</v>
      </c>
      <c r="J601" s="27">
        <v>801444</v>
      </c>
      <c r="K601" s="27">
        <v>684320</v>
      </c>
      <c r="L601" s="5">
        <v>117124</v>
      </c>
      <c r="M601" s="28">
        <v>41791</v>
      </c>
      <c r="N601" s="3">
        <v>6</v>
      </c>
      <c r="O601" s="29" t="s">
        <v>23</v>
      </c>
      <c r="P601" s="3">
        <v>2014</v>
      </c>
      <c r="Q601" s="6">
        <f>New_Finance_Data[[#This Row],[ Profit ]]/New_Finance_Data[[#This Row],[  Sales ]]</f>
        <v>0.14614121510673234</v>
      </c>
      <c r="R601" t="str">
        <f>IF(New_Finance_Data[[#This Row],[  Sales ]]&gt;=100000,"High",IF(New_Finance_Data[[#This Row],[  Sales ]]&gt;=50000,"Medium","Low"))</f>
        <v>High</v>
      </c>
      <c r="S601" t="str">
        <f>IF(OR(ISBLANK(New_Finance_Data[[#This Row],[  Sales ]]),ISBLANK(New_Finance_Data[[#This Row],[ Profit ]])),"Missing","OK")</f>
        <v>OK</v>
      </c>
      <c r="T601" t="str">
        <f>TEXT(New_Finance_Data[[#This Row],[Date]],"MMM-YYYY")</f>
        <v>Jun-2014</v>
      </c>
      <c r="U601" t="str">
        <f>IF(New_Finance_Data[[#This Row],[ Profit ]]&gt;0,"Profit","Loss")</f>
        <v>Profit</v>
      </c>
      <c r="V601" t="str">
        <f>IF(New_Finance_Data[[#This Row],[  Sales ]]&gt;=50000,"High Sales","Low Sales")</f>
        <v>High Sales</v>
      </c>
      <c r="W601" t="b">
        <f>ISNUMBER(New_Finance_Data[[#This Row],[Date]])</f>
        <v>1</v>
      </c>
    </row>
    <row r="602" spans="1:23" x14ac:dyDescent="0.2">
      <c r="A602" t="s">
        <v>15</v>
      </c>
      <c r="B602" t="s">
        <v>22</v>
      </c>
      <c r="C602" t="s">
        <v>39</v>
      </c>
      <c r="D602" t="s">
        <v>46</v>
      </c>
      <c r="E602" s="27">
        <v>1190</v>
      </c>
      <c r="F602" s="27">
        <v>120</v>
      </c>
      <c r="G602" s="27">
        <v>7</v>
      </c>
      <c r="H602" s="27">
        <v>8330</v>
      </c>
      <c r="I602" s="5">
        <v>1082.9000000000001</v>
      </c>
      <c r="J602" s="27">
        <v>7247.1</v>
      </c>
      <c r="K602" s="27">
        <v>5950</v>
      </c>
      <c r="L602" s="5">
        <v>1297.0999999999999</v>
      </c>
      <c r="M602" s="28">
        <v>41791</v>
      </c>
      <c r="N602" s="3">
        <v>6</v>
      </c>
      <c r="O602" s="29" t="s">
        <v>23</v>
      </c>
      <c r="P602" s="3">
        <v>2014</v>
      </c>
      <c r="Q602" s="6">
        <f>New_Finance_Data[[#This Row],[ Profit ]]/New_Finance_Data[[#This Row],[  Sales ]]</f>
        <v>0.17898193760262723</v>
      </c>
      <c r="R602" t="str">
        <f>IF(New_Finance_Data[[#This Row],[  Sales ]]&gt;=100000,"High",IF(New_Finance_Data[[#This Row],[  Sales ]]&gt;=50000,"Medium","Low"))</f>
        <v>Low</v>
      </c>
      <c r="S602" t="str">
        <f>IF(OR(ISBLANK(New_Finance_Data[[#This Row],[  Sales ]]),ISBLANK(New_Finance_Data[[#This Row],[ Profit ]])),"Missing","OK")</f>
        <v>OK</v>
      </c>
      <c r="T602" t="str">
        <f>TEXT(New_Finance_Data[[#This Row],[Date]],"MMM-YYYY")</f>
        <v>Jun-2014</v>
      </c>
      <c r="U602" t="str">
        <f>IF(New_Finance_Data[[#This Row],[ Profit ]]&gt;0,"Profit","Loss")</f>
        <v>Profit</v>
      </c>
      <c r="V602" t="str">
        <f>IF(New_Finance_Data[[#This Row],[  Sales ]]&gt;=50000,"High Sales","Low Sales")</f>
        <v>Low Sales</v>
      </c>
      <c r="W602" t="b">
        <f>ISNUMBER(New_Finance_Data[[#This Row],[Date]])</f>
        <v>1</v>
      </c>
    </row>
    <row r="603" spans="1:23" x14ac:dyDescent="0.2">
      <c r="A603" t="s">
        <v>28</v>
      </c>
      <c r="B603" t="s">
        <v>24</v>
      </c>
      <c r="C603" t="s">
        <v>39</v>
      </c>
      <c r="D603" t="s">
        <v>46</v>
      </c>
      <c r="E603" s="27">
        <v>604</v>
      </c>
      <c r="F603" s="27">
        <v>120</v>
      </c>
      <c r="G603" s="27">
        <v>12</v>
      </c>
      <c r="H603" s="27">
        <v>7248</v>
      </c>
      <c r="I603" s="5">
        <v>942.24</v>
      </c>
      <c r="J603" s="27">
        <v>6305.76</v>
      </c>
      <c r="K603" s="27">
        <v>1812</v>
      </c>
      <c r="L603" s="5">
        <v>4493.76</v>
      </c>
      <c r="M603" s="28">
        <v>41791</v>
      </c>
      <c r="N603" s="3">
        <v>6</v>
      </c>
      <c r="O603" s="29" t="s">
        <v>23</v>
      </c>
      <c r="P603" s="3">
        <v>2014</v>
      </c>
      <c r="Q603" s="6">
        <f>New_Finance_Data[[#This Row],[ Profit ]]/New_Finance_Data[[#This Row],[  Sales ]]</f>
        <v>0.71264367816091956</v>
      </c>
      <c r="R603" t="str">
        <f>IF(New_Finance_Data[[#This Row],[  Sales ]]&gt;=100000,"High",IF(New_Finance_Data[[#This Row],[  Sales ]]&gt;=50000,"Medium","Low"))</f>
        <v>Low</v>
      </c>
      <c r="S603" t="str">
        <f>IF(OR(ISBLANK(New_Finance_Data[[#This Row],[  Sales ]]),ISBLANK(New_Finance_Data[[#This Row],[ Profit ]])),"Missing","OK")</f>
        <v>OK</v>
      </c>
      <c r="T603" t="str">
        <f>TEXT(New_Finance_Data[[#This Row],[Date]],"MMM-YYYY")</f>
        <v>Jun-2014</v>
      </c>
      <c r="U603" t="str">
        <f>IF(New_Finance_Data[[#This Row],[ Profit ]]&gt;0,"Profit","Loss")</f>
        <v>Profit</v>
      </c>
      <c r="V603" t="str">
        <f>IF(New_Finance_Data[[#This Row],[  Sales ]]&gt;=50000,"High Sales","Low Sales")</f>
        <v>Low Sales</v>
      </c>
      <c r="W603" t="b">
        <f>ISNUMBER(New_Finance_Data[[#This Row],[Date]])</f>
        <v>1</v>
      </c>
    </row>
    <row r="604" spans="1:23" x14ac:dyDescent="0.2">
      <c r="A604" t="s">
        <v>21</v>
      </c>
      <c r="B604" t="s">
        <v>20</v>
      </c>
      <c r="C604" t="s">
        <v>39</v>
      </c>
      <c r="D604" t="s">
        <v>46</v>
      </c>
      <c r="E604" s="27">
        <v>660</v>
      </c>
      <c r="F604" s="27">
        <v>120</v>
      </c>
      <c r="G604" s="27">
        <v>15</v>
      </c>
      <c r="H604" s="27">
        <v>9900</v>
      </c>
      <c r="I604" s="5">
        <v>1287</v>
      </c>
      <c r="J604" s="27">
        <v>8613</v>
      </c>
      <c r="K604" s="27">
        <v>6600</v>
      </c>
      <c r="L604" s="5">
        <v>2013</v>
      </c>
      <c r="M604" s="28">
        <v>41518</v>
      </c>
      <c r="N604" s="3">
        <v>9</v>
      </c>
      <c r="O604" s="29" t="s">
        <v>33</v>
      </c>
      <c r="P604" s="3">
        <v>2013</v>
      </c>
      <c r="Q604" s="6">
        <f>New_Finance_Data[[#This Row],[ Profit ]]/New_Finance_Data[[#This Row],[  Sales ]]</f>
        <v>0.23371647509578544</v>
      </c>
      <c r="R604" t="str">
        <f>IF(New_Finance_Data[[#This Row],[  Sales ]]&gt;=100000,"High",IF(New_Finance_Data[[#This Row],[  Sales ]]&gt;=50000,"Medium","Low"))</f>
        <v>Low</v>
      </c>
      <c r="S604" t="str">
        <f>IF(OR(ISBLANK(New_Finance_Data[[#This Row],[  Sales ]]),ISBLANK(New_Finance_Data[[#This Row],[ Profit ]])),"Missing","OK")</f>
        <v>OK</v>
      </c>
      <c r="T604" t="str">
        <f>TEXT(New_Finance_Data[[#This Row],[Date]],"MMM-YYYY")</f>
        <v>Sep-2013</v>
      </c>
      <c r="U604" t="str">
        <f>IF(New_Finance_Data[[#This Row],[ Profit ]]&gt;0,"Profit","Loss")</f>
        <v>Profit</v>
      </c>
      <c r="V604" t="str">
        <f>IF(New_Finance_Data[[#This Row],[  Sales ]]&gt;=50000,"High Sales","Low Sales")</f>
        <v>Low Sales</v>
      </c>
      <c r="W604" t="b">
        <f>ISNUMBER(New_Finance_Data[[#This Row],[Date]])</f>
        <v>1</v>
      </c>
    </row>
    <row r="605" spans="1:23" x14ac:dyDescent="0.2">
      <c r="A605" t="s">
        <v>28</v>
      </c>
      <c r="B605" t="s">
        <v>24</v>
      </c>
      <c r="C605" t="s">
        <v>39</v>
      </c>
      <c r="D605" t="s">
        <v>46</v>
      </c>
      <c r="E605" s="27">
        <v>410</v>
      </c>
      <c r="F605" s="27">
        <v>120</v>
      </c>
      <c r="G605" s="27">
        <v>12</v>
      </c>
      <c r="H605" s="27">
        <v>4920</v>
      </c>
      <c r="I605" s="5">
        <v>639.6</v>
      </c>
      <c r="J605" s="27">
        <v>4280.3999999999996</v>
      </c>
      <c r="K605" s="27">
        <v>1230</v>
      </c>
      <c r="L605" s="5">
        <v>3050.4</v>
      </c>
      <c r="M605" s="28">
        <v>41913</v>
      </c>
      <c r="N605" s="3">
        <v>10</v>
      </c>
      <c r="O605" s="29" t="s">
        <v>34</v>
      </c>
      <c r="P605" s="3">
        <v>2014</v>
      </c>
      <c r="Q605" s="6">
        <f>New_Finance_Data[[#This Row],[ Profit ]]/New_Finance_Data[[#This Row],[  Sales ]]</f>
        <v>0.71264367816091967</v>
      </c>
      <c r="R605" t="str">
        <f>IF(New_Finance_Data[[#This Row],[  Sales ]]&gt;=100000,"High",IF(New_Finance_Data[[#This Row],[  Sales ]]&gt;=50000,"Medium","Low"))</f>
        <v>Low</v>
      </c>
      <c r="S605" t="str">
        <f>IF(OR(ISBLANK(New_Finance_Data[[#This Row],[  Sales ]]),ISBLANK(New_Finance_Data[[#This Row],[ Profit ]])),"Missing","OK")</f>
        <v>OK</v>
      </c>
      <c r="T605" t="str">
        <f>TEXT(New_Finance_Data[[#This Row],[Date]],"MMM-YYYY")</f>
        <v>Oct-2014</v>
      </c>
      <c r="U605" t="str">
        <f>IF(New_Finance_Data[[#This Row],[ Profit ]]&gt;0,"Profit","Loss")</f>
        <v>Profit</v>
      </c>
      <c r="V605" t="str">
        <f>IF(New_Finance_Data[[#This Row],[  Sales ]]&gt;=50000,"High Sales","Low Sales")</f>
        <v>Low Sales</v>
      </c>
      <c r="W605" t="b">
        <f>ISNUMBER(New_Finance_Data[[#This Row],[Date]])</f>
        <v>1</v>
      </c>
    </row>
    <row r="606" spans="1:23" x14ac:dyDescent="0.2">
      <c r="A606" t="s">
        <v>31</v>
      </c>
      <c r="B606" t="s">
        <v>24</v>
      </c>
      <c r="C606" t="s">
        <v>39</v>
      </c>
      <c r="D606" t="s">
        <v>46</v>
      </c>
      <c r="E606" s="27">
        <v>2605</v>
      </c>
      <c r="F606" s="27">
        <v>120</v>
      </c>
      <c r="G606" s="27">
        <v>300</v>
      </c>
      <c r="H606" s="27">
        <v>781500</v>
      </c>
      <c r="I606" s="5">
        <v>101595</v>
      </c>
      <c r="J606" s="27">
        <v>679905</v>
      </c>
      <c r="K606" s="27">
        <v>651250</v>
      </c>
      <c r="L606" s="5">
        <v>28655</v>
      </c>
      <c r="M606" s="28">
        <v>41579</v>
      </c>
      <c r="N606" s="3">
        <v>11</v>
      </c>
      <c r="O606" s="29" t="s">
        <v>38</v>
      </c>
      <c r="P606" s="3">
        <v>2013</v>
      </c>
      <c r="Q606" s="6">
        <f>New_Finance_Data[[#This Row],[ Profit ]]/New_Finance_Data[[#This Row],[  Sales ]]</f>
        <v>4.2145593869731802E-2</v>
      </c>
      <c r="R606" t="str">
        <f>IF(New_Finance_Data[[#This Row],[  Sales ]]&gt;=100000,"High",IF(New_Finance_Data[[#This Row],[  Sales ]]&gt;=50000,"Medium","Low"))</f>
        <v>High</v>
      </c>
      <c r="S606" t="str">
        <f>IF(OR(ISBLANK(New_Finance_Data[[#This Row],[  Sales ]]),ISBLANK(New_Finance_Data[[#This Row],[ Profit ]])),"Missing","OK")</f>
        <v>OK</v>
      </c>
      <c r="T606" t="str">
        <f>TEXT(New_Finance_Data[[#This Row],[Date]],"MMM-YYYY")</f>
        <v>Nov-2013</v>
      </c>
      <c r="U606" t="str">
        <f>IF(New_Finance_Data[[#This Row],[ Profit ]]&gt;0,"Profit","Loss")</f>
        <v>Profit</v>
      </c>
      <c r="V606" t="str">
        <f>IF(New_Finance_Data[[#This Row],[  Sales ]]&gt;=50000,"High Sales","Low Sales")</f>
        <v>High Sales</v>
      </c>
      <c r="W606" t="b">
        <f>ISNUMBER(New_Finance_Data[[#This Row],[Date]])</f>
        <v>1</v>
      </c>
    </row>
    <row r="607" spans="1:23" x14ac:dyDescent="0.2">
      <c r="A607" t="s">
        <v>28</v>
      </c>
      <c r="B607" t="s">
        <v>20</v>
      </c>
      <c r="C607" t="s">
        <v>39</v>
      </c>
      <c r="D607" t="s">
        <v>46</v>
      </c>
      <c r="E607" s="27">
        <v>1013</v>
      </c>
      <c r="F607" s="27">
        <v>120</v>
      </c>
      <c r="G607" s="27">
        <v>12</v>
      </c>
      <c r="H607" s="27">
        <v>12156</v>
      </c>
      <c r="I607" s="5">
        <v>1580.28</v>
      </c>
      <c r="J607" s="27">
        <v>10575.72</v>
      </c>
      <c r="K607" s="27">
        <v>3039</v>
      </c>
      <c r="L607" s="5">
        <v>7536.72</v>
      </c>
      <c r="M607" s="28">
        <v>41974</v>
      </c>
      <c r="N607" s="3">
        <v>12</v>
      </c>
      <c r="O607" s="29" t="s">
        <v>25</v>
      </c>
      <c r="P607" s="3">
        <v>2014</v>
      </c>
      <c r="Q607" s="6">
        <f>New_Finance_Data[[#This Row],[ Profit ]]/New_Finance_Data[[#This Row],[  Sales ]]</f>
        <v>0.71264367816091956</v>
      </c>
      <c r="R607" t="str">
        <f>IF(New_Finance_Data[[#This Row],[  Sales ]]&gt;=100000,"High",IF(New_Finance_Data[[#This Row],[  Sales ]]&gt;=50000,"Medium","Low"))</f>
        <v>Low</v>
      </c>
      <c r="S607" t="str">
        <f>IF(OR(ISBLANK(New_Finance_Data[[#This Row],[  Sales ]]),ISBLANK(New_Finance_Data[[#This Row],[ Profit ]])),"Missing","OK")</f>
        <v>OK</v>
      </c>
      <c r="T607" t="str">
        <f>TEXT(New_Finance_Data[[#This Row],[Date]],"MMM-YYYY")</f>
        <v>Dec-2014</v>
      </c>
      <c r="U607" t="str">
        <f>IF(New_Finance_Data[[#This Row],[ Profit ]]&gt;0,"Profit","Loss")</f>
        <v>Profit</v>
      </c>
      <c r="V607" t="str">
        <f>IF(New_Finance_Data[[#This Row],[  Sales ]]&gt;=50000,"High Sales","Low Sales")</f>
        <v>Low Sales</v>
      </c>
      <c r="W607" t="b">
        <f>ISNUMBER(New_Finance_Data[[#This Row],[Date]])</f>
        <v>1</v>
      </c>
    </row>
    <row r="608" spans="1:23" x14ac:dyDescent="0.2">
      <c r="A608" t="s">
        <v>29</v>
      </c>
      <c r="B608" t="s">
        <v>16</v>
      </c>
      <c r="C608" t="s">
        <v>40</v>
      </c>
      <c r="D608" t="s">
        <v>46</v>
      </c>
      <c r="E608" s="27">
        <v>1583</v>
      </c>
      <c r="F608" s="27">
        <v>250</v>
      </c>
      <c r="G608" s="27">
        <v>125</v>
      </c>
      <c r="H608" s="27">
        <v>197875</v>
      </c>
      <c r="I608" s="5">
        <v>25723.75</v>
      </c>
      <c r="J608" s="27">
        <v>172151.25</v>
      </c>
      <c r="K608" s="27">
        <v>189960</v>
      </c>
      <c r="L608" s="5">
        <v>-17808.75</v>
      </c>
      <c r="M608" s="28">
        <v>41791</v>
      </c>
      <c r="N608" s="3">
        <v>6</v>
      </c>
      <c r="O608" s="29" t="s">
        <v>23</v>
      </c>
      <c r="P608" s="3">
        <v>2014</v>
      </c>
      <c r="Q608" s="6">
        <f>New_Finance_Data[[#This Row],[ Profit ]]/New_Finance_Data[[#This Row],[  Sales ]]</f>
        <v>-0.10344827586206896</v>
      </c>
      <c r="R608" t="str">
        <f>IF(New_Finance_Data[[#This Row],[  Sales ]]&gt;=100000,"High",IF(New_Finance_Data[[#This Row],[  Sales ]]&gt;=50000,"Medium","Low"))</f>
        <v>High</v>
      </c>
      <c r="S608" t="str">
        <f>IF(OR(ISBLANK(New_Finance_Data[[#This Row],[  Sales ]]),ISBLANK(New_Finance_Data[[#This Row],[ Profit ]])),"Missing","OK")</f>
        <v>OK</v>
      </c>
      <c r="T608" t="str">
        <f>TEXT(New_Finance_Data[[#This Row],[Date]],"MMM-YYYY")</f>
        <v>Jun-2014</v>
      </c>
      <c r="U608" t="str">
        <f>IF(New_Finance_Data[[#This Row],[ Profit ]]&gt;0,"Profit","Loss")</f>
        <v>Loss</v>
      </c>
      <c r="V608" t="str">
        <f>IF(New_Finance_Data[[#This Row],[  Sales ]]&gt;=50000,"High Sales","Low Sales")</f>
        <v>High Sales</v>
      </c>
      <c r="W608" t="b">
        <f>ISNUMBER(New_Finance_Data[[#This Row],[Date]])</f>
        <v>1</v>
      </c>
    </row>
    <row r="609" spans="1:23" x14ac:dyDescent="0.2">
      <c r="A609" t="s">
        <v>21</v>
      </c>
      <c r="B609" t="s">
        <v>16</v>
      </c>
      <c r="C609" t="s">
        <v>40</v>
      </c>
      <c r="D609" t="s">
        <v>46</v>
      </c>
      <c r="E609" s="27">
        <v>1565</v>
      </c>
      <c r="F609" s="27">
        <v>250</v>
      </c>
      <c r="G609" s="27">
        <v>15</v>
      </c>
      <c r="H609" s="27">
        <v>23475</v>
      </c>
      <c r="I609" s="5">
        <v>3051.75</v>
      </c>
      <c r="J609" s="27">
        <v>20423.25</v>
      </c>
      <c r="K609" s="27">
        <v>15650</v>
      </c>
      <c r="L609" s="5">
        <v>4773.25</v>
      </c>
      <c r="M609" s="28">
        <v>41913</v>
      </c>
      <c r="N609" s="3">
        <v>10</v>
      </c>
      <c r="O609" s="29" t="s">
        <v>34</v>
      </c>
      <c r="P609" s="3">
        <v>2014</v>
      </c>
      <c r="Q609" s="6">
        <f>New_Finance_Data[[#This Row],[ Profit ]]/New_Finance_Data[[#This Row],[  Sales ]]</f>
        <v>0.23371647509578544</v>
      </c>
      <c r="R609" t="str">
        <f>IF(New_Finance_Data[[#This Row],[  Sales ]]&gt;=100000,"High",IF(New_Finance_Data[[#This Row],[  Sales ]]&gt;=50000,"Medium","Low"))</f>
        <v>Low</v>
      </c>
      <c r="S609" t="str">
        <f>IF(OR(ISBLANK(New_Finance_Data[[#This Row],[  Sales ]]),ISBLANK(New_Finance_Data[[#This Row],[ Profit ]])),"Missing","OK")</f>
        <v>OK</v>
      </c>
      <c r="T609" t="str">
        <f>TEXT(New_Finance_Data[[#This Row],[Date]],"MMM-YYYY")</f>
        <v>Oct-2014</v>
      </c>
      <c r="U609" t="str">
        <f>IF(New_Finance_Data[[#This Row],[ Profit ]]&gt;0,"Profit","Loss")</f>
        <v>Profit</v>
      </c>
      <c r="V609" t="str">
        <f>IF(New_Finance_Data[[#This Row],[  Sales ]]&gt;=50000,"High Sales","Low Sales")</f>
        <v>Low Sales</v>
      </c>
      <c r="W609" t="b">
        <f>ISNUMBER(New_Finance_Data[[#This Row],[Date]])</f>
        <v>1</v>
      </c>
    </row>
    <row r="610" spans="1:23" x14ac:dyDescent="0.2">
      <c r="A610" t="s">
        <v>29</v>
      </c>
      <c r="B610" t="s">
        <v>16</v>
      </c>
      <c r="C610" t="s">
        <v>42</v>
      </c>
      <c r="D610" t="s">
        <v>46</v>
      </c>
      <c r="E610" s="27">
        <v>1659</v>
      </c>
      <c r="F610" s="27">
        <v>260</v>
      </c>
      <c r="G610" s="27">
        <v>125</v>
      </c>
      <c r="H610" s="27">
        <v>207375</v>
      </c>
      <c r="I610" s="5">
        <v>26958.75</v>
      </c>
      <c r="J610" s="27">
        <v>180416.25</v>
      </c>
      <c r="K610" s="27">
        <v>199080</v>
      </c>
      <c r="L610" s="5">
        <v>-18663.75</v>
      </c>
      <c r="M610" s="28">
        <v>41640</v>
      </c>
      <c r="N610" s="3">
        <v>1</v>
      </c>
      <c r="O610" s="29" t="s">
        <v>19</v>
      </c>
      <c r="P610" s="3">
        <v>2014</v>
      </c>
      <c r="Q610" s="6">
        <f>New_Finance_Data[[#This Row],[ Profit ]]/New_Finance_Data[[#This Row],[  Sales ]]</f>
        <v>-0.10344827586206896</v>
      </c>
      <c r="R610" t="str">
        <f>IF(New_Finance_Data[[#This Row],[  Sales ]]&gt;=100000,"High",IF(New_Finance_Data[[#This Row],[  Sales ]]&gt;=50000,"Medium","Low"))</f>
        <v>High</v>
      </c>
      <c r="S610" t="str">
        <f>IF(OR(ISBLANK(New_Finance_Data[[#This Row],[  Sales ]]),ISBLANK(New_Finance_Data[[#This Row],[ Profit ]])),"Missing","OK")</f>
        <v>OK</v>
      </c>
      <c r="T610" t="str">
        <f>TEXT(New_Finance_Data[[#This Row],[Date]],"MMM-YYYY")</f>
        <v>Jan-2014</v>
      </c>
      <c r="U610" t="str">
        <f>IF(New_Finance_Data[[#This Row],[ Profit ]]&gt;0,"Profit","Loss")</f>
        <v>Loss</v>
      </c>
      <c r="V610" t="str">
        <f>IF(New_Finance_Data[[#This Row],[  Sales ]]&gt;=50000,"High Sales","Low Sales")</f>
        <v>High Sales</v>
      </c>
      <c r="W610" t="b">
        <f>ISNUMBER(New_Finance_Data[[#This Row],[Date]])</f>
        <v>1</v>
      </c>
    </row>
    <row r="611" spans="1:23" x14ac:dyDescent="0.2">
      <c r="A611" t="s">
        <v>15</v>
      </c>
      <c r="B611" t="s">
        <v>22</v>
      </c>
      <c r="C611" t="s">
        <v>42</v>
      </c>
      <c r="D611" t="s">
        <v>46</v>
      </c>
      <c r="E611" s="27">
        <v>1190</v>
      </c>
      <c r="F611" s="27">
        <v>260</v>
      </c>
      <c r="G611" s="27">
        <v>7</v>
      </c>
      <c r="H611" s="27">
        <v>8330</v>
      </c>
      <c r="I611" s="5">
        <v>1082.9000000000001</v>
      </c>
      <c r="J611" s="27">
        <v>7247.1</v>
      </c>
      <c r="K611" s="27">
        <v>5950</v>
      </c>
      <c r="L611" s="5">
        <v>1297.0999999999999</v>
      </c>
      <c r="M611" s="28">
        <v>41791</v>
      </c>
      <c r="N611" s="3">
        <v>6</v>
      </c>
      <c r="O611" s="29" t="s">
        <v>23</v>
      </c>
      <c r="P611" s="3">
        <v>2014</v>
      </c>
      <c r="Q611" s="6">
        <f>New_Finance_Data[[#This Row],[ Profit ]]/New_Finance_Data[[#This Row],[  Sales ]]</f>
        <v>0.17898193760262723</v>
      </c>
      <c r="R611" t="str">
        <f>IF(New_Finance_Data[[#This Row],[  Sales ]]&gt;=100000,"High",IF(New_Finance_Data[[#This Row],[  Sales ]]&gt;=50000,"Medium","Low"))</f>
        <v>Low</v>
      </c>
      <c r="S611" t="str">
        <f>IF(OR(ISBLANK(New_Finance_Data[[#This Row],[  Sales ]]),ISBLANK(New_Finance_Data[[#This Row],[ Profit ]])),"Missing","OK")</f>
        <v>OK</v>
      </c>
      <c r="T611" t="str">
        <f>TEXT(New_Finance_Data[[#This Row],[Date]],"MMM-YYYY")</f>
        <v>Jun-2014</v>
      </c>
      <c r="U611" t="str">
        <f>IF(New_Finance_Data[[#This Row],[ Profit ]]&gt;0,"Profit","Loss")</f>
        <v>Profit</v>
      </c>
      <c r="V611" t="str">
        <f>IF(New_Finance_Data[[#This Row],[  Sales ]]&gt;=50000,"High Sales","Low Sales")</f>
        <v>Low Sales</v>
      </c>
      <c r="W611" t="b">
        <f>ISNUMBER(New_Finance_Data[[#This Row],[Date]])</f>
        <v>1</v>
      </c>
    </row>
    <row r="612" spans="1:23" x14ac:dyDescent="0.2">
      <c r="A612" t="s">
        <v>28</v>
      </c>
      <c r="B612" t="s">
        <v>24</v>
      </c>
      <c r="C612" t="s">
        <v>42</v>
      </c>
      <c r="D612" t="s">
        <v>46</v>
      </c>
      <c r="E612" s="27">
        <v>410</v>
      </c>
      <c r="F612" s="27">
        <v>260</v>
      </c>
      <c r="G612" s="27">
        <v>12</v>
      </c>
      <c r="H612" s="27">
        <v>4920</v>
      </c>
      <c r="I612" s="5">
        <v>639.6</v>
      </c>
      <c r="J612" s="27">
        <v>4280.3999999999996</v>
      </c>
      <c r="K612" s="27">
        <v>1230</v>
      </c>
      <c r="L612" s="5">
        <v>3050.4</v>
      </c>
      <c r="M612" s="28">
        <v>41913</v>
      </c>
      <c r="N612" s="3">
        <v>10</v>
      </c>
      <c r="O612" s="29" t="s">
        <v>34</v>
      </c>
      <c r="P612" s="3">
        <v>2014</v>
      </c>
      <c r="Q612" s="6">
        <f>New_Finance_Data[[#This Row],[ Profit ]]/New_Finance_Data[[#This Row],[  Sales ]]</f>
        <v>0.71264367816091967</v>
      </c>
      <c r="R612" t="str">
        <f>IF(New_Finance_Data[[#This Row],[  Sales ]]&gt;=100000,"High",IF(New_Finance_Data[[#This Row],[  Sales ]]&gt;=50000,"Medium","Low"))</f>
        <v>Low</v>
      </c>
      <c r="S612" t="str">
        <f>IF(OR(ISBLANK(New_Finance_Data[[#This Row],[  Sales ]]),ISBLANK(New_Finance_Data[[#This Row],[ Profit ]])),"Missing","OK")</f>
        <v>OK</v>
      </c>
      <c r="T612" t="str">
        <f>TEXT(New_Finance_Data[[#This Row],[Date]],"MMM-YYYY")</f>
        <v>Oct-2014</v>
      </c>
      <c r="U612" t="str">
        <f>IF(New_Finance_Data[[#This Row],[ Profit ]]&gt;0,"Profit","Loss")</f>
        <v>Profit</v>
      </c>
      <c r="V612" t="str">
        <f>IF(New_Finance_Data[[#This Row],[  Sales ]]&gt;=50000,"High Sales","Low Sales")</f>
        <v>Low Sales</v>
      </c>
      <c r="W612" t="b">
        <f>ISNUMBER(New_Finance_Data[[#This Row],[Date]])</f>
        <v>1</v>
      </c>
    </row>
    <row r="613" spans="1:23" x14ac:dyDescent="0.2">
      <c r="A613" t="s">
        <v>28</v>
      </c>
      <c r="B613" t="s">
        <v>20</v>
      </c>
      <c r="C613" t="s">
        <v>42</v>
      </c>
      <c r="D613" t="s">
        <v>46</v>
      </c>
      <c r="E613" s="27">
        <v>1770</v>
      </c>
      <c r="F613" s="27">
        <v>260</v>
      </c>
      <c r="G613" s="27">
        <v>12</v>
      </c>
      <c r="H613" s="27">
        <v>21240</v>
      </c>
      <c r="I613" s="5">
        <v>2761.2</v>
      </c>
      <c r="J613" s="27">
        <v>18478.8</v>
      </c>
      <c r="K613" s="27">
        <v>5310</v>
      </c>
      <c r="L613" s="5">
        <v>13168.8</v>
      </c>
      <c r="M613" s="28">
        <v>41609</v>
      </c>
      <c r="N613" s="3">
        <v>12</v>
      </c>
      <c r="O613" s="29" t="s">
        <v>25</v>
      </c>
      <c r="P613" s="3">
        <v>2013</v>
      </c>
      <c r="Q613" s="6">
        <f>New_Finance_Data[[#This Row],[ Profit ]]/New_Finance_Data[[#This Row],[  Sales ]]</f>
        <v>0.71264367816091956</v>
      </c>
      <c r="R613" t="str">
        <f>IF(New_Finance_Data[[#This Row],[  Sales ]]&gt;=100000,"High",IF(New_Finance_Data[[#This Row],[  Sales ]]&gt;=50000,"Medium","Low"))</f>
        <v>Low</v>
      </c>
      <c r="S613" t="str">
        <f>IF(OR(ISBLANK(New_Finance_Data[[#This Row],[  Sales ]]),ISBLANK(New_Finance_Data[[#This Row],[ Profit ]])),"Missing","OK")</f>
        <v>OK</v>
      </c>
      <c r="T613" t="str">
        <f>TEXT(New_Finance_Data[[#This Row],[Date]],"MMM-YYYY")</f>
        <v>Dec-2013</v>
      </c>
      <c r="U613" t="str">
        <f>IF(New_Finance_Data[[#This Row],[ Profit ]]&gt;0,"Profit","Loss")</f>
        <v>Profit</v>
      </c>
      <c r="V613" t="str">
        <f>IF(New_Finance_Data[[#This Row],[  Sales ]]&gt;=50000,"High Sales","Low Sales")</f>
        <v>Low Sales</v>
      </c>
      <c r="W613" t="b">
        <f>ISNUMBER(New_Finance_Data[[#This Row],[Date]])</f>
        <v>1</v>
      </c>
    </row>
    <row r="614" spans="1:23" x14ac:dyDescent="0.2">
      <c r="A614" t="s">
        <v>15</v>
      </c>
      <c r="B614" t="s">
        <v>24</v>
      </c>
      <c r="C614" t="s">
        <v>17</v>
      </c>
      <c r="D614" t="s">
        <v>46</v>
      </c>
      <c r="E614" s="27">
        <v>2579</v>
      </c>
      <c r="F614" s="27">
        <v>3</v>
      </c>
      <c r="G614" s="27">
        <v>20</v>
      </c>
      <c r="H614" s="27">
        <v>51580</v>
      </c>
      <c r="I614" s="5">
        <v>7221.2</v>
      </c>
      <c r="J614" s="27">
        <v>44358.8</v>
      </c>
      <c r="K614" s="27">
        <v>25790</v>
      </c>
      <c r="L614" s="5">
        <v>18568.8</v>
      </c>
      <c r="M614" s="28">
        <v>41730</v>
      </c>
      <c r="N614" s="3">
        <v>4</v>
      </c>
      <c r="O614" s="29" t="s">
        <v>41</v>
      </c>
      <c r="P614" s="3">
        <v>2014</v>
      </c>
      <c r="Q614" s="6">
        <f>New_Finance_Data[[#This Row],[ Profit ]]/New_Finance_Data[[#This Row],[  Sales ]]</f>
        <v>0.41860465116279066</v>
      </c>
      <c r="R614" t="str">
        <f>IF(New_Finance_Data[[#This Row],[  Sales ]]&gt;=100000,"High",IF(New_Finance_Data[[#This Row],[  Sales ]]&gt;=50000,"Medium","Low"))</f>
        <v>Low</v>
      </c>
      <c r="S614" t="str">
        <f>IF(OR(ISBLANK(New_Finance_Data[[#This Row],[  Sales ]]),ISBLANK(New_Finance_Data[[#This Row],[ Profit ]])),"Missing","OK")</f>
        <v>OK</v>
      </c>
      <c r="T614" t="str">
        <f>TEXT(New_Finance_Data[[#This Row],[Date]],"MMM-YYYY")</f>
        <v>Apr-2014</v>
      </c>
      <c r="U614" t="str">
        <f>IF(New_Finance_Data[[#This Row],[ Profit ]]&gt;0,"Profit","Loss")</f>
        <v>Profit</v>
      </c>
      <c r="V614" t="str">
        <f>IF(New_Finance_Data[[#This Row],[  Sales ]]&gt;=50000,"High Sales","Low Sales")</f>
        <v>Low Sales</v>
      </c>
      <c r="W614" t="b">
        <f>ISNUMBER(New_Finance_Data[[#This Row],[Date]])</f>
        <v>1</v>
      </c>
    </row>
    <row r="615" spans="1:23" x14ac:dyDescent="0.2">
      <c r="A615" t="s">
        <v>15</v>
      </c>
      <c r="B615" t="s">
        <v>35</v>
      </c>
      <c r="C615" t="s">
        <v>17</v>
      </c>
      <c r="D615" t="s">
        <v>46</v>
      </c>
      <c r="E615" s="27">
        <v>1743</v>
      </c>
      <c r="F615" s="27">
        <v>3</v>
      </c>
      <c r="G615" s="27">
        <v>20</v>
      </c>
      <c r="H615" s="27">
        <v>34860</v>
      </c>
      <c r="I615" s="5">
        <v>4880.3999999999996</v>
      </c>
      <c r="J615" s="27">
        <v>29979.599999999999</v>
      </c>
      <c r="K615" s="27">
        <v>17430</v>
      </c>
      <c r="L615" s="5">
        <v>12549.6</v>
      </c>
      <c r="M615" s="28">
        <v>41760</v>
      </c>
      <c r="N615" s="3">
        <v>5</v>
      </c>
      <c r="O615" s="29" t="s">
        <v>44</v>
      </c>
      <c r="P615" s="3">
        <v>2014</v>
      </c>
      <c r="Q615" s="6">
        <f>New_Finance_Data[[#This Row],[ Profit ]]/New_Finance_Data[[#This Row],[  Sales ]]</f>
        <v>0.41860465116279072</v>
      </c>
      <c r="R615" t="str">
        <f>IF(New_Finance_Data[[#This Row],[  Sales ]]&gt;=100000,"High",IF(New_Finance_Data[[#This Row],[  Sales ]]&gt;=50000,"Medium","Low"))</f>
        <v>Low</v>
      </c>
      <c r="S615" t="str">
        <f>IF(OR(ISBLANK(New_Finance_Data[[#This Row],[  Sales ]]),ISBLANK(New_Finance_Data[[#This Row],[ Profit ]])),"Missing","OK")</f>
        <v>OK</v>
      </c>
      <c r="T615" t="str">
        <f>TEXT(New_Finance_Data[[#This Row],[Date]],"MMM-YYYY")</f>
        <v>May-2014</v>
      </c>
      <c r="U615" t="str">
        <f>IF(New_Finance_Data[[#This Row],[ Profit ]]&gt;0,"Profit","Loss")</f>
        <v>Profit</v>
      </c>
      <c r="V615" t="str">
        <f>IF(New_Finance_Data[[#This Row],[  Sales ]]&gt;=50000,"High Sales","Low Sales")</f>
        <v>Low Sales</v>
      </c>
      <c r="W615" t="b">
        <f>ISNUMBER(New_Finance_Data[[#This Row],[Date]])</f>
        <v>1</v>
      </c>
    </row>
    <row r="616" spans="1:23" x14ac:dyDescent="0.2">
      <c r="A616" t="s">
        <v>15</v>
      </c>
      <c r="B616" t="s">
        <v>35</v>
      </c>
      <c r="C616" t="s">
        <v>17</v>
      </c>
      <c r="D616" t="s">
        <v>46</v>
      </c>
      <c r="E616" s="27">
        <v>2996</v>
      </c>
      <c r="F616" s="27">
        <v>3</v>
      </c>
      <c r="G616" s="27">
        <v>7</v>
      </c>
      <c r="H616" s="27">
        <v>20972</v>
      </c>
      <c r="I616" s="5">
        <v>2936.08</v>
      </c>
      <c r="J616" s="27">
        <v>18035.919999999998</v>
      </c>
      <c r="K616" s="27">
        <v>14980</v>
      </c>
      <c r="L616" s="5">
        <v>3055.92</v>
      </c>
      <c r="M616" s="28">
        <v>41548</v>
      </c>
      <c r="N616" s="3">
        <v>10</v>
      </c>
      <c r="O616" s="29" t="s">
        <v>34</v>
      </c>
      <c r="P616" s="3">
        <v>2013</v>
      </c>
      <c r="Q616" s="6">
        <f>New_Finance_Data[[#This Row],[ Profit ]]/New_Finance_Data[[#This Row],[  Sales ]]</f>
        <v>0.16943521594684388</v>
      </c>
      <c r="R616" t="str">
        <f>IF(New_Finance_Data[[#This Row],[  Sales ]]&gt;=100000,"High",IF(New_Finance_Data[[#This Row],[  Sales ]]&gt;=50000,"Medium","Low"))</f>
        <v>Low</v>
      </c>
      <c r="S616" t="str">
        <f>IF(OR(ISBLANK(New_Finance_Data[[#This Row],[  Sales ]]),ISBLANK(New_Finance_Data[[#This Row],[ Profit ]])),"Missing","OK")</f>
        <v>OK</v>
      </c>
      <c r="T616" t="str">
        <f>TEXT(New_Finance_Data[[#This Row],[Date]],"MMM-YYYY")</f>
        <v>Oct-2013</v>
      </c>
      <c r="U616" t="str">
        <f>IF(New_Finance_Data[[#This Row],[ Profit ]]&gt;0,"Profit","Loss")</f>
        <v>Profit</v>
      </c>
      <c r="V616" t="str">
        <f>IF(New_Finance_Data[[#This Row],[  Sales ]]&gt;=50000,"High Sales","Low Sales")</f>
        <v>Low Sales</v>
      </c>
      <c r="W616" t="b">
        <f>ISNUMBER(New_Finance_Data[[#This Row],[Date]])</f>
        <v>1</v>
      </c>
    </row>
    <row r="617" spans="1:23" x14ac:dyDescent="0.2">
      <c r="A617" t="s">
        <v>15</v>
      </c>
      <c r="B617" t="s">
        <v>20</v>
      </c>
      <c r="C617" t="s">
        <v>17</v>
      </c>
      <c r="D617" t="s">
        <v>46</v>
      </c>
      <c r="E617" s="27">
        <v>280</v>
      </c>
      <c r="F617" s="27">
        <v>3</v>
      </c>
      <c r="G617" s="27">
        <v>7</v>
      </c>
      <c r="H617" s="27">
        <v>1960</v>
      </c>
      <c r="I617" s="5">
        <v>274.39999999999998</v>
      </c>
      <c r="J617" s="27">
        <v>1685.6</v>
      </c>
      <c r="K617" s="27">
        <v>1400</v>
      </c>
      <c r="L617" s="5">
        <v>285.60000000000002</v>
      </c>
      <c r="M617" s="28">
        <v>41974</v>
      </c>
      <c r="N617" s="3">
        <v>12</v>
      </c>
      <c r="O617" s="29" t="s">
        <v>25</v>
      </c>
      <c r="P617" s="3">
        <v>2014</v>
      </c>
      <c r="Q617" s="6">
        <f>New_Finance_Data[[#This Row],[ Profit ]]/New_Finance_Data[[#This Row],[  Sales ]]</f>
        <v>0.16943521594684388</v>
      </c>
      <c r="R617" t="str">
        <f>IF(New_Finance_Data[[#This Row],[  Sales ]]&gt;=100000,"High",IF(New_Finance_Data[[#This Row],[  Sales ]]&gt;=50000,"Medium","Low"))</f>
        <v>Low</v>
      </c>
      <c r="S617" t="str">
        <f>IF(OR(ISBLANK(New_Finance_Data[[#This Row],[  Sales ]]),ISBLANK(New_Finance_Data[[#This Row],[ Profit ]])),"Missing","OK")</f>
        <v>OK</v>
      </c>
      <c r="T617" t="str">
        <f>TEXT(New_Finance_Data[[#This Row],[Date]],"MMM-YYYY")</f>
        <v>Dec-2014</v>
      </c>
      <c r="U617" t="str">
        <f>IF(New_Finance_Data[[#This Row],[ Profit ]]&gt;0,"Profit","Loss")</f>
        <v>Profit</v>
      </c>
      <c r="V617" t="str">
        <f>IF(New_Finance_Data[[#This Row],[  Sales ]]&gt;=50000,"High Sales","Low Sales")</f>
        <v>Low Sales</v>
      </c>
      <c r="W617" t="b">
        <f>ISNUMBER(New_Finance_Data[[#This Row],[Date]])</f>
        <v>1</v>
      </c>
    </row>
    <row r="618" spans="1:23" x14ac:dyDescent="0.2">
      <c r="A618" t="s">
        <v>15</v>
      </c>
      <c r="B618" t="s">
        <v>22</v>
      </c>
      <c r="C618" t="s">
        <v>26</v>
      </c>
      <c r="D618" t="s">
        <v>46</v>
      </c>
      <c r="E618" s="27">
        <v>293</v>
      </c>
      <c r="F618" s="27">
        <v>5</v>
      </c>
      <c r="G618" s="27">
        <v>7</v>
      </c>
      <c r="H618" s="27">
        <v>2051</v>
      </c>
      <c r="I618" s="5">
        <v>287.14</v>
      </c>
      <c r="J618" s="27">
        <v>1763.86</v>
      </c>
      <c r="K618" s="27">
        <v>1465</v>
      </c>
      <c r="L618" s="5">
        <v>298.86</v>
      </c>
      <c r="M618" s="28">
        <v>41671</v>
      </c>
      <c r="N618" s="3">
        <v>2</v>
      </c>
      <c r="O618" s="29" t="s">
        <v>37</v>
      </c>
      <c r="P618" s="3">
        <v>2014</v>
      </c>
      <c r="Q618" s="6">
        <f>New_Finance_Data[[#This Row],[ Profit ]]/New_Finance_Data[[#This Row],[  Sales ]]</f>
        <v>0.16943521594684388</v>
      </c>
      <c r="R618" t="str">
        <f>IF(New_Finance_Data[[#This Row],[  Sales ]]&gt;=100000,"High",IF(New_Finance_Data[[#This Row],[  Sales ]]&gt;=50000,"Medium","Low"))</f>
        <v>Low</v>
      </c>
      <c r="S618" t="str">
        <f>IF(OR(ISBLANK(New_Finance_Data[[#This Row],[  Sales ]]),ISBLANK(New_Finance_Data[[#This Row],[ Profit ]])),"Missing","OK")</f>
        <v>OK</v>
      </c>
      <c r="T618" t="str">
        <f>TEXT(New_Finance_Data[[#This Row],[Date]],"MMM-YYYY")</f>
        <v>Feb-2014</v>
      </c>
      <c r="U618" t="str">
        <f>IF(New_Finance_Data[[#This Row],[ Profit ]]&gt;0,"Profit","Loss")</f>
        <v>Profit</v>
      </c>
      <c r="V618" t="str">
        <f>IF(New_Finance_Data[[#This Row],[  Sales ]]&gt;=50000,"High Sales","Low Sales")</f>
        <v>Low Sales</v>
      </c>
      <c r="W618" t="b">
        <f>ISNUMBER(New_Finance_Data[[#This Row],[Date]])</f>
        <v>1</v>
      </c>
    </row>
    <row r="619" spans="1:23" x14ac:dyDescent="0.2">
      <c r="A619" t="s">
        <v>15</v>
      </c>
      <c r="B619" t="s">
        <v>35</v>
      </c>
      <c r="C619" t="s">
        <v>26</v>
      </c>
      <c r="D619" t="s">
        <v>46</v>
      </c>
      <c r="E619" s="27">
        <v>2996</v>
      </c>
      <c r="F619" s="27">
        <v>5</v>
      </c>
      <c r="G619" s="27">
        <v>7</v>
      </c>
      <c r="H619" s="27">
        <v>20972</v>
      </c>
      <c r="I619" s="5">
        <v>2936.08</v>
      </c>
      <c r="J619" s="27">
        <v>18035.919999999998</v>
      </c>
      <c r="K619" s="27">
        <v>14980</v>
      </c>
      <c r="L619" s="5">
        <v>3055.92</v>
      </c>
      <c r="M619" s="28">
        <v>41548</v>
      </c>
      <c r="N619" s="3">
        <v>10</v>
      </c>
      <c r="O619" s="29" t="s">
        <v>34</v>
      </c>
      <c r="P619" s="3">
        <v>2013</v>
      </c>
      <c r="Q619" s="6">
        <f>New_Finance_Data[[#This Row],[ Profit ]]/New_Finance_Data[[#This Row],[  Sales ]]</f>
        <v>0.16943521594684388</v>
      </c>
      <c r="R619" t="str">
        <f>IF(New_Finance_Data[[#This Row],[  Sales ]]&gt;=100000,"High",IF(New_Finance_Data[[#This Row],[  Sales ]]&gt;=50000,"Medium","Low"))</f>
        <v>Low</v>
      </c>
      <c r="S619" t="str">
        <f>IF(OR(ISBLANK(New_Finance_Data[[#This Row],[  Sales ]]),ISBLANK(New_Finance_Data[[#This Row],[ Profit ]])),"Missing","OK")</f>
        <v>OK</v>
      </c>
      <c r="T619" t="str">
        <f>TEXT(New_Finance_Data[[#This Row],[Date]],"MMM-YYYY")</f>
        <v>Oct-2013</v>
      </c>
      <c r="U619" t="str">
        <f>IF(New_Finance_Data[[#This Row],[ Profit ]]&gt;0,"Profit","Loss")</f>
        <v>Profit</v>
      </c>
      <c r="V619" t="str">
        <f>IF(New_Finance_Data[[#This Row],[  Sales ]]&gt;=50000,"High Sales","Low Sales")</f>
        <v>Low Sales</v>
      </c>
      <c r="W619" t="b">
        <f>ISNUMBER(New_Finance_Data[[#This Row],[Date]])</f>
        <v>1</v>
      </c>
    </row>
    <row r="620" spans="1:23" x14ac:dyDescent="0.2">
      <c r="A620" t="s">
        <v>21</v>
      </c>
      <c r="B620" t="s">
        <v>20</v>
      </c>
      <c r="C620" t="s">
        <v>36</v>
      </c>
      <c r="D620" t="s">
        <v>46</v>
      </c>
      <c r="E620" s="27">
        <v>278</v>
      </c>
      <c r="F620" s="27">
        <v>10</v>
      </c>
      <c r="G620" s="27">
        <v>15</v>
      </c>
      <c r="H620" s="27">
        <v>4170</v>
      </c>
      <c r="I620" s="5">
        <v>583.79999999999995</v>
      </c>
      <c r="J620" s="27">
        <v>3586.2</v>
      </c>
      <c r="K620" s="27">
        <v>2780</v>
      </c>
      <c r="L620" s="5">
        <v>806.2</v>
      </c>
      <c r="M620" s="28">
        <v>41671</v>
      </c>
      <c r="N620" s="3">
        <v>2</v>
      </c>
      <c r="O620" s="29" t="s">
        <v>37</v>
      </c>
      <c r="P620" s="3">
        <v>2014</v>
      </c>
      <c r="Q620" s="6">
        <f>New_Finance_Data[[#This Row],[ Profit ]]/New_Finance_Data[[#This Row],[  Sales ]]</f>
        <v>0.22480620155038761</v>
      </c>
      <c r="R620" t="str">
        <f>IF(New_Finance_Data[[#This Row],[  Sales ]]&gt;=100000,"High",IF(New_Finance_Data[[#This Row],[  Sales ]]&gt;=50000,"Medium","Low"))</f>
        <v>Low</v>
      </c>
      <c r="S620" t="str">
        <f>IF(OR(ISBLANK(New_Finance_Data[[#This Row],[  Sales ]]),ISBLANK(New_Finance_Data[[#This Row],[ Profit ]])),"Missing","OK")</f>
        <v>OK</v>
      </c>
      <c r="T620" t="str">
        <f>TEXT(New_Finance_Data[[#This Row],[Date]],"MMM-YYYY")</f>
        <v>Feb-2014</v>
      </c>
      <c r="U620" t="str">
        <f>IF(New_Finance_Data[[#This Row],[ Profit ]]&gt;0,"Profit","Loss")</f>
        <v>Profit</v>
      </c>
      <c r="V620" t="str">
        <f>IF(New_Finance_Data[[#This Row],[  Sales ]]&gt;=50000,"High Sales","Low Sales")</f>
        <v>Low Sales</v>
      </c>
      <c r="W620" t="b">
        <f>ISNUMBER(New_Finance_Data[[#This Row],[Date]])</f>
        <v>1</v>
      </c>
    </row>
    <row r="621" spans="1:23" x14ac:dyDescent="0.2">
      <c r="A621" t="s">
        <v>15</v>
      </c>
      <c r="B621" t="s">
        <v>16</v>
      </c>
      <c r="C621" t="s">
        <v>36</v>
      </c>
      <c r="D621" t="s">
        <v>46</v>
      </c>
      <c r="E621" s="27">
        <v>2428</v>
      </c>
      <c r="F621" s="27">
        <v>10</v>
      </c>
      <c r="G621" s="27">
        <v>20</v>
      </c>
      <c r="H621" s="27">
        <v>48560</v>
      </c>
      <c r="I621" s="5">
        <v>6798.4</v>
      </c>
      <c r="J621" s="27">
        <v>41761.599999999999</v>
      </c>
      <c r="K621" s="27">
        <v>24280</v>
      </c>
      <c r="L621" s="5">
        <v>17481.599999999999</v>
      </c>
      <c r="M621" s="28">
        <v>41699</v>
      </c>
      <c r="N621" s="3">
        <v>3</v>
      </c>
      <c r="O621" s="29" t="s">
        <v>27</v>
      </c>
      <c r="P621" s="3">
        <v>2014</v>
      </c>
      <c r="Q621" s="6">
        <f>New_Finance_Data[[#This Row],[ Profit ]]/New_Finance_Data[[#This Row],[  Sales ]]</f>
        <v>0.41860465116279066</v>
      </c>
      <c r="R621" t="str">
        <f>IF(New_Finance_Data[[#This Row],[  Sales ]]&gt;=100000,"High",IF(New_Finance_Data[[#This Row],[  Sales ]]&gt;=50000,"Medium","Low"))</f>
        <v>Low</v>
      </c>
      <c r="S621" t="str">
        <f>IF(OR(ISBLANK(New_Finance_Data[[#This Row],[  Sales ]]),ISBLANK(New_Finance_Data[[#This Row],[ Profit ]])),"Missing","OK")</f>
        <v>OK</v>
      </c>
      <c r="T621" t="str">
        <f>TEXT(New_Finance_Data[[#This Row],[Date]],"MMM-YYYY")</f>
        <v>Mar-2014</v>
      </c>
      <c r="U621" t="str">
        <f>IF(New_Finance_Data[[#This Row],[ Profit ]]&gt;0,"Profit","Loss")</f>
        <v>Profit</v>
      </c>
      <c r="V621" t="str">
        <f>IF(New_Finance_Data[[#This Row],[  Sales ]]&gt;=50000,"High Sales","Low Sales")</f>
        <v>Low Sales</v>
      </c>
      <c r="W621" t="b">
        <f>ISNUMBER(New_Finance_Data[[#This Row],[Date]])</f>
        <v>1</v>
      </c>
    </row>
    <row r="622" spans="1:23" x14ac:dyDescent="0.2">
      <c r="A622" t="s">
        <v>21</v>
      </c>
      <c r="B622" t="s">
        <v>35</v>
      </c>
      <c r="C622" t="s">
        <v>36</v>
      </c>
      <c r="D622" t="s">
        <v>46</v>
      </c>
      <c r="E622" s="27">
        <v>1767</v>
      </c>
      <c r="F622" s="27">
        <v>10</v>
      </c>
      <c r="G622" s="27">
        <v>15</v>
      </c>
      <c r="H622" s="27">
        <v>26505</v>
      </c>
      <c r="I622" s="5">
        <v>3710.7</v>
      </c>
      <c r="J622" s="27">
        <v>22794.3</v>
      </c>
      <c r="K622" s="27">
        <v>17670</v>
      </c>
      <c r="L622" s="5">
        <v>5124.3</v>
      </c>
      <c r="M622" s="28">
        <v>41883</v>
      </c>
      <c r="N622" s="3">
        <v>9</v>
      </c>
      <c r="O622" s="29" t="s">
        <v>33</v>
      </c>
      <c r="P622" s="3">
        <v>2014</v>
      </c>
      <c r="Q622" s="6">
        <f>New_Finance_Data[[#This Row],[ Profit ]]/New_Finance_Data[[#This Row],[  Sales ]]</f>
        <v>0.22480620155038761</v>
      </c>
      <c r="R622" t="str">
        <f>IF(New_Finance_Data[[#This Row],[  Sales ]]&gt;=100000,"High",IF(New_Finance_Data[[#This Row],[  Sales ]]&gt;=50000,"Medium","Low"))</f>
        <v>Low</v>
      </c>
      <c r="S622" t="str">
        <f>IF(OR(ISBLANK(New_Finance_Data[[#This Row],[  Sales ]]),ISBLANK(New_Finance_Data[[#This Row],[ Profit ]])),"Missing","OK")</f>
        <v>OK</v>
      </c>
      <c r="T622" t="str">
        <f>TEXT(New_Finance_Data[[#This Row],[Date]],"MMM-YYYY")</f>
        <v>Sep-2014</v>
      </c>
      <c r="U622" t="str">
        <f>IF(New_Finance_Data[[#This Row],[ Profit ]]&gt;0,"Profit","Loss")</f>
        <v>Profit</v>
      </c>
      <c r="V622" t="str">
        <f>IF(New_Finance_Data[[#This Row],[  Sales ]]&gt;=50000,"High Sales","Low Sales")</f>
        <v>Low Sales</v>
      </c>
      <c r="W622" t="b">
        <f>ISNUMBER(New_Finance_Data[[#This Row],[Date]])</f>
        <v>1</v>
      </c>
    </row>
    <row r="623" spans="1:23" x14ac:dyDescent="0.2">
      <c r="A623" t="s">
        <v>28</v>
      </c>
      <c r="B623" t="s">
        <v>22</v>
      </c>
      <c r="C623" t="s">
        <v>36</v>
      </c>
      <c r="D623" t="s">
        <v>46</v>
      </c>
      <c r="E623" s="27">
        <v>1393</v>
      </c>
      <c r="F623" s="27">
        <v>10</v>
      </c>
      <c r="G623" s="27">
        <v>12</v>
      </c>
      <c r="H623" s="27">
        <v>16716</v>
      </c>
      <c r="I623" s="5">
        <v>2340.2399999999998</v>
      </c>
      <c r="J623" s="27">
        <v>14375.76</v>
      </c>
      <c r="K623" s="27">
        <v>4179</v>
      </c>
      <c r="L623" s="5">
        <v>10196.76</v>
      </c>
      <c r="M623" s="28">
        <v>41913</v>
      </c>
      <c r="N623" s="3">
        <v>10</v>
      </c>
      <c r="O623" s="29" t="s">
        <v>34</v>
      </c>
      <c r="P623" s="3">
        <v>2014</v>
      </c>
      <c r="Q623" s="6">
        <f>New_Finance_Data[[#This Row],[ Profit ]]/New_Finance_Data[[#This Row],[  Sales ]]</f>
        <v>0.70930232558139539</v>
      </c>
      <c r="R623" t="str">
        <f>IF(New_Finance_Data[[#This Row],[  Sales ]]&gt;=100000,"High",IF(New_Finance_Data[[#This Row],[  Sales ]]&gt;=50000,"Medium","Low"))</f>
        <v>Low</v>
      </c>
      <c r="S623" t="str">
        <f>IF(OR(ISBLANK(New_Finance_Data[[#This Row],[  Sales ]]),ISBLANK(New_Finance_Data[[#This Row],[ Profit ]])),"Missing","OK")</f>
        <v>OK</v>
      </c>
      <c r="T623" t="str">
        <f>TEXT(New_Finance_Data[[#This Row],[Date]],"MMM-YYYY")</f>
        <v>Oct-2014</v>
      </c>
      <c r="U623" t="str">
        <f>IF(New_Finance_Data[[#This Row],[ Profit ]]&gt;0,"Profit","Loss")</f>
        <v>Profit</v>
      </c>
      <c r="V623" t="str">
        <f>IF(New_Finance_Data[[#This Row],[  Sales ]]&gt;=50000,"High Sales","Low Sales")</f>
        <v>Low Sales</v>
      </c>
      <c r="W623" t="b">
        <f>ISNUMBER(New_Finance_Data[[#This Row],[Date]])</f>
        <v>1</v>
      </c>
    </row>
    <row r="624" spans="1:23" x14ac:dyDescent="0.2">
      <c r="A624" t="s">
        <v>15</v>
      </c>
      <c r="B624" t="s">
        <v>20</v>
      </c>
      <c r="C624" t="s">
        <v>40</v>
      </c>
      <c r="D624" t="s">
        <v>46</v>
      </c>
      <c r="E624" s="27">
        <v>280</v>
      </c>
      <c r="F624" s="27">
        <v>250</v>
      </c>
      <c r="G624" s="27">
        <v>7</v>
      </c>
      <c r="H624" s="27">
        <v>1960</v>
      </c>
      <c r="I624" s="5">
        <v>274.39999999999998</v>
      </c>
      <c r="J624" s="27">
        <v>1685.6</v>
      </c>
      <c r="K624" s="27">
        <v>1400</v>
      </c>
      <c r="L624" s="5">
        <v>285.60000000000002</v>
      </c>
      <c r="M624" s="28">
        <v>41974</v>
      </c>
      <c r="N624" s="3">
        <v>12</v>
      </c>
      <c r="O624" s="29" t="s">
        <v>25</v>
      </c>
      <c r="P624" s="3">
        <v>2014</v>
      </c>
      <c r="Q624" s="6">
        <f>New_Finance_Data[[#This Row],[ Profit ]]/New_Finance_Data[[#This Row],[  Sales ]]</f>
        <v>0.16943521594684388</v>
      </c>
      <c r="R624" t="str">
        <f>IF(New_Finance_Data[[#This Row],[  Sales ]]&gt;=100000,"High",IF(New_Finance_Data[[#This Row],[  Sales ]]&gt;=50000,"Medium","Low"))</f>
        <v>Low</v>
      </c>
      <c r="S624" t="str">
        <f>IF(OR(ISBLANK(New_Finance_Data[[#This Row],[  Sales ]]),ISBLANK(New_Finance_Data[[#This Row],[ Profit ]])),"Missing","OK")</f>
        <v>OK</v>
      </c>
      <c r="T624" t="str">
        <f>TEXT(New_Finance_Data[[#This Row],[Date]],"MMM-YYYY")</f>
        <v>Dec-2014</v>
      </c>
      <c r="U624" t="str">
        <f>IF(New_Finance_Data[[#This Row],[ Profit ]]&gt;0,"Profit","Loss")</f>
        <v>Profit</v>
      </c>
      <c r="V624" t="str">
        <f>IF(New_Finance_Data[[#This Row],[  Sales ]]&gt;=50000,"High Sales","Low Sales")</f>
        <v>Low Sales</v>
      </c>
      <c r="W624" t="b">
        <f>ISNUMBER(New_Finance_Data[[#This Row],[Date]])</f>
        <v>1</v>
      </c>
    </row>
    <row r="625" spans="1:23" x14ac:dyDescent="0.2">
      <c r="A625" t="s">
        <v>28</v>
      </c>
      <c r="B625" t="s">
        <v>22</v>
      </c>
      <c r="C625" t="s">
        <v>42</v>
      </c>
      <c r="D625" t="s">
        <v>46</v>
      </c>
      <c r="E625" s="27">
        <v>1393</v>
      </c>
      <c r="F625" s="27">
        <v>260</v>
      </c>
      <c r="G625" s="27">
        <v>12</v>
      </c>
      <c r="H625" s="27">
        <v>16716</v>
      </c>
      <c r="I625" s="5">
        <v>2340.2399999999998</v>
      </c>
      <c r="J625" s="27">
        <v>14375.76</v>
      </c>
      <c r="K625" s="27">
        <v>4179</v>
      </c>
      <c r="L625" s="5">
        <v>10196.76</v>
      </c>
      <c r="M625" s="28">
        <v>41913</v>
      </c>
      <c r="N625" s="3">
        <v>10</v>
      </c>
      <c r="O625" s="29" t="s">
        <v>34</v>
      </c>
      <c r="P625" s="3">
        <v>2014</v>
      </c>
      <c r="Q625" s="6">
        <f>New_Finance_Data[[#This Row],[ Profit ]]/New_Finance_Data[[#This Row],[  Sales ]]</f>
        <v>0.70930232558139539</v>
      </c>
      <c r="R625" t="str">
        <f>IF(New_Finance_Data[[#This Row],[  Sales ]]&gt;=100000,"High",IF(New_Finance_Data[[#This Row],[  Sales ]]&gt;=50000,"Medium","Low"))</f>
        <v>Low</v>
      </c>
      <c r="S625" t="str">
        <f>IF(OR(ISBLANK(New_Finance_Data[[#This Row],[  Sales ]]),ISBLANK(New_Finance_Data[[#This Row],[ Profit ]])),"Missing","OK")</f>
        <v>OK</v>
      </c>
      <c r="T625" t="str">
        <f>TEXT(New_Finance_Data[[#This Row],[Date]],"MMM-YYYY")</f>
        <v>Oct-2014</v>
      </c>
      <c r="U625" t="str">
        <f>IF(New_Finance_Data[[#This Row],[ Profit ]]&gt;0,"Profit","Loss")</f>
        <v>Profit</v>
      </c>
      <c r="V625" t="str">
        <f>IF(New_Finance_Data[[#This Row],[  Sales ]]&gt;=50000,"High Sales","Low Sales")</f>
        <v>Low Sales</v>
      </c>
      <c r="W625" t="b">
        <f>ISNUMBER(New_Finance_Data[[#This Row],[Date]])</f>
        <v>1</v>
      </c>
    </row>
    <row r="626" spans="1:23" x14ac:dyDescent="0.2">
      <c r="A626" t="s">
        <v>28</v>
      </c>
      <c r="B626" t="s">
        <v>35</v>
      </c>
      <c r="C626" t="s">
        <v>42</v>
      </c>
      <c r="D626" t="s">
        <v>46</v>
      </c>
      <c r="E626" s="27">
        <v>2015</v>
      </c>
      <c r="F626" s="27">
        <v>260</v>
      </c>
      <c r="G626" s="27">
        <v>12</v>
      </c>
      <c r="H626" s="27">
        <v>24180</v>
      </c>
      <c r="I626" s="5">
        <v>3385.2</v>
      </c>
      <c r="J626" s="27">
        <v>20794.8</v>
      </c>
      <c r="K626" s="27">
        <v>6045</v>
      </c>
      <c r="L626" s="5">
        <v>14749.8</v>
      </c>
      <c r="M626" s="28">
        <v>41609</v>
      </c>
      <c r="N626" s="3">
        <v>12</v>
      </c>
      <c r="O626" s="29" t="s">
        <v>25</v>
      </c>
      <c r="P626" s="3">
        <v>2013</v>
      </c>
      <c r="Q626" s="6">
        <f>New_Finance_Data[[#This Row],[ Profit ]]/New_Finance_Data[[#This Row],[  Sales ]]</f>
        <v>0.70930232558139539</v>
      </c>
      <c r="R626" t="str">
        <f>IF(New_Finance_Data[[#This Row],[  Sales ]]&gt;=100000,"High",IF(New_Finance_Data[[#This Row],[  Sales ]]&gt;=50000,"Medium","Low"))</f>
        <v>Low</v>
      </c>
      <c r="S626" t="str">
        <f>IF(OR(ISBLANK(New_Finance_Data[[#This Row],[  Sales ]]),ISBLANK(New_Finance_Data[[#This Row],[ Profit ]])),"Missing","OK")</f>
        <v>OK</v>
      </c>
      <c r="T626" t="str">
        <f>TEXT(New_Finance_Data[[#This Row],[Date]],"MMM-YYYY")</f>
        <v>Dec-2013</v>
      </c>
      <c r="U626" t="str">
        <f>IF(New_Finance_Data[[#This Row],[ Profit ]]&gt;0,"Profit","Loss")</f>
        <v>Profit</v>
      </c>
      <c r="V626" t="str">
        <f>IF(New_Finance_Data[[#This Row],[  Sales ]]&gt;=50000,"High Sales","Low Sales")</f>
        <v>Low Sales</v>
      </c>
      <c r="W626" t="b">
        <f>ISNUMBER(New_Finance_Data[[#This Row],[Date]])</f>
        <v>1</v>
      </c>
    </row>
    <row r="627" spans="1:23" x14ac:dyDescent="0.2">
      <c r="A627" t="s">
        <v>31</v>
      </c>
      <c r="B627" t="s">
        <v>24</v>
      </c>
      <c r="C627" t="s">
        <v>17</v>
      </c>
      <c r="D627" t="s">
        <v>46</v>
      </c>
      <c r="E627" s="27">
        <v>801</v>
      </c>
      <c r="F627" s="27">
        <v>3</v>
      </c>
      <c r="G627" s="27">
        <v>300</v>
      </c>
      <c r="H627" s="27">
        <v>240300</v>
      </c>
      <c r="I627" s="5">
        <v>33642</v>
      </c>
      <c r="J627" s="27">
        <v>206658</v>
      </c>
      <c r="K627" s="27">
        <v>200250</v>
      </c>
      <c r="L627" s="5">
        <v>6408</v>
      </c>
      <c r="M627" s="28">
        <v>41821</v>
      </c>
      <c r="N627" s="3">
        <v>7</v>
      </c>
      <c r="O627" s="29" t="s">
        <v>30</v>
      </c>
      <c r="P627" s="3">
        <v>2014</v>
      </c>
      <c r="Q627" s="6">
        <f>New_Finance_Data[[#This Row],[ Profit ]]/New_Finance_Data[[#This Row],[  Sales ]]</f>
        <v>3.1007751937984496E-2</v>
      </c>
      <c r="R627" t="str">
        <f>IF(New_Finance_Data[[#This Row],[  Sales ]]&gt;=100000,"High",IF(New_Finance_Data[[#This Row],[  Sales ]]&gt;=50000,"Medium","Low"))</f>
        <v>High</v>
      </c>
      <c r="S627" t="str">
        <f>IF(OR(ISBLANK(New_Finance_Data[[#This Row],[  Sales ]]),ISBLANK(New_Finance_Data[[#This Row],[ Profit ]])),"Missing","OK")</f>
        <v>OK</v>
      </c>
      <c r="T627" t="str">
        <f>TEXT(New_Finance_Data[[#This Row],[Date]],"MMM-YYYY")</f>
        <v>Jul-2014</v>
      </c>
      <c r="U627" t="str">
        <f>IF(New_Finance_Data[[#This Row],[ Profit ]]&gt;0,"Profit","Loss")</f>
        <v>Profit</v>
      </c>
      <c r="V627" t="str">
        <f>IF(New_Finance_Data[[#This Row],[  Sales ]]&gt;=50000,"High Sales","Low Sales")</f>
        <v>High Sales</v>
      </c>
      <c r="W627" t="b">
        <f>ISNUMBER(New_Finance_Data[[#This Row],[Date]])</f>
        <v>1</v>
      </c>
    </row>
    <row r="628" spans="1:23" x14ac:dyDescent="0.2">
      <c r="A628" t="s">
        <v>29</v>
      </c>
      <c r="B628" t="s">
        <v>22</v>
      </c>
      <c r="C628" t="s">
        <v>17</v>
      </c>
      <c r="D628" t="s">
        <v>46</v>
      </c>
      <c r="E628" s="27">
        <v>1023</v>
      </c>
      <c r="F628" s="27">
        <v>3</v>
      </c>
      <c r="G628" s="27">
        <v>125</v>
      </c>
      <c r="H628" s="27">
        <v>127875</v>
      </c>
      <c r="I628" s="5">
        <v>17902.5</v>
      </c>
      <c r="J628" s="27">
        <v>109972.5</v>
      </c>
      <c r="K628" s="27">
        <v>122760</v>
      </c>
      <c r="L628" s="5">
        <v>-12787.5</v>
      </c>
      <c r="M628" s="28">
        <v>41518</v>
      </c>
      <c r="N628" s="3">
        <v>9</v>
      </c>
      <c r="O628" s="29" t="s">
        <v>33</v>
      </c>
      <c r="P628" s="3">
        <v>2013</v>
      </c>
      <c r="Q628" s="6">
        <f>New_Finance_Data[[#This Row],[ Profit ]]/New_Finance_Data[[#This Row],[  Sales ]]</f>
        <v>-0.11627906976744186</v>
      </c>
      <c r="R628" t="str">
        <f>IF(New_Finance_Data[[#This Row],[  Sales ]]&gt;=100000,"High",IF(New_Finance_Data[[#This Row],[  Sales ]]&gt;=50000,"Medium","Low"))</f>
        <v>High</v>
      </c>
      <c r="S628" t="str">
        <f>IF(OR(ISBLANK(New_Finance_Data[[#This Row],[  Sales ]]),ISBLANK(New_Finance_Data[[#This Row],[ Profit ]])),"Missing","OK")</f>
        <v>OK</v>
      </c>
      <c r="T628" t="str">
        <f>TEXT(New_Finance_Data[[#This Row],[Date]],"MMM-YYYY")</f>
        <v>Sep-2013</v>
      </c>
      <c r="U628" t="str">
        <f>IF(New_Finance_Data[[#This Row],[ Profit ]]&gt;0,"Profit","Loss")</f>
        <v>Loss</v>
      </c>
      <c r="V628" t="str">
        <f>IF(New_Finance_Data[[#This Row],[  Sales ]]&gt;=50000,"High Sales","Low Sales")</f>
        <v>High Sales</v>
      </c>
      <c r="W628" t="b">
        <f>ISNUMBER(New_Finance_Data[[#This Row],[Date]])</f>
        <v>1</v>
      </c>
    </row>
    <row r="629" spans="1:23" x14ac:dyDescent="0.2">
      <c r="A629" t="s">
        <v>31</v>
      </c>
      <c r="B629" t="s">
        <v>16</v>
      </c>
      <c r="C629" t="s">
        <v>17</v>
      </c>
      <c r="D629" t="s">
        <v>46</v>
      </c>
      <c r="E629" s="27">
        <v>1496</v>
      </c>
      <c r="F629" s="27">
        <v>3</v>
      </c>
      <c r="G629" s="27">
        <v>300</v>
      </c>
      <c r="H629" s="27">
        <v>448800</v>
      </c>
      <c r="I629" s="5">
        <v>62832</v>
      </c>
      <c r="J629" s="27">
        <v>385968</v>
      </c>
      <c r="K629" s="27">
        <v>374000</v>
      </c>
      <c r="L629" s="5">
        <v>11968</v>
      </c>
      <c r="M629" s="28">
        <v>41913</v>
      </c>
      <c r="N629" s="3">
        <v>10</v>
      </c>
      <c r="O629" s="29" t="s">
        <v>34</v>
      </c>
      <c r="P629" s="3">
        <v>2014</v>
      </c>
      <c r="Q629" s="6">
        <f>New_Finance_Data[[#This Row],[ Profit ]]/New_Finance_Data[[#This Row],[  Sales ]]</f>
        <v>3.1007751937984496E-2</v>
      </c>
      <c r="R629" t="str">
        <f>IF(New_Finance_Data[[#This Row],[  Sales ]]&gt;=100000,"High",IF(New_Finance_Data[[#This Row],[  Sales ]]&gt;=50000,"Medium","Low"))</f>
        <v>High</v>
      </c>
      <c r="S629" t="str">
        <f>IF(OR(ISBLANK(New_Finance_Data[[#This Row],[  Sales ]]),ISBLANK(New_Finance_Data[[#This Row],[ Profit ]])),"Missing","OK")</f>
        <v>OK</v>
      </c>
      <c r="T629" t="str">
        <f>TEXT(New_Finance_Data[[#This Row],[Date]],"MMM-YYYY")</f>
        <v>Oct-2014</v>
      </c>
      <c r="U629" t="str">
        <f>IF(New_Finance_Data[[#This Row],[ Profit ]]&gt;0,"Profit","Loss")</f>
        <v>Profit</v>
      </c>
      <c r="V629" t="str">
        <f>IF(New_Finance_Data[[#This Row],[  Sales ]]&gt;=50000,"High Sales","Low Sales")</f>
        <v>High Sales</v>
      </c>
      <c r="W629" t="b">
        <f>ISNUMBER(New_Finance_Data[[#This Row],[Date]])</f>
        <v>1</v>
      </c>
    </row>
    <row r="630" spans="1:23" x14ac:dyDescent="0.2">
      <c r="A630" t="s">
        <v>31</v>
      </c>
      <c r="B630" t="s">
        <v>35</v>
      </c>
      <c r="C630" t="s">
        <v>17</v>
      </c>
      <c r="D630" t="s">
        <v>46</v>
      </c>
      <c r="E630" s="27">
        <v>1010</v>
      </c>
      <c r="F630" s="27">
        <v>3</v>
      </c>
      <c r="G630" s="27">
        <v>300</v>
      </c>
      <c r="H630" s="27">
        <v>303000</v>
      </c>
      <c r="I630" s="5">
        <v>42420</v>
      </c>
      <c r="J630" s="27">
        <v>260580</v>
      </c>
      <c r="K630" s="27">
        <v>252500</v>
      </c>
      <c r="L630" s="5">
        <v>8080</v>
      </c>
      <c r="M630" s="28">
        <v>41913</v>
      </c>
      <c r="N630" s="3">
        <v>10</v>
      </c>
      <c r="O630" s="29" t="s">
        <v>34</v>
      </c>
      <c r="P630" s="3">
        <v>2014</v>
      </c>
      <c r="Q630" s="6">
        <f>New_Finance_Data[[#This Row],[ Profit ]]/New_Finance_Data[[#This Row],[  Sales ]]</f>
        <v>3.1007751937984496E-2</v>
      </c>
      <c r="R630" t="str">
        <f>IF(New_Finance_Data[[#This Row],[  Sales ]]&gt;=100000,"High",IF(New_Finance_Data[[#This Row],[  Sales ]]&gt;=50000,"Medium","Low"))</f>
        <v>High</v>
      </c>
      <c r="S630" t="str">
        <f>IF(OR(ISBLANK(New_Finance_Data[[#This Row],[  Sales ]]),ISBLANK(New_Finance_Data[[#This Row],[ Profit ]])),"Missing","OK")</f>
        <v>OK</v>
      </c>
      <c r="T630" t="str">
        <f>TEXT(New_Finance_Data[[#This Row],[Date]],"MMM-YYYY")</f>
        <v>Oct-2014</v>
      </c>
      <c r="U630" t="str">
        <f>IF(New_Finance_Data[[#This Row],[ Profit ]]&gt;0,"Profit","Loss")</f>
        <v>Profit</v>
      </c>
      <c r="V630" t="str">
        <f>IF(New_Finance_Data[[#This Row],[  Sales ]]&gt;=50000,"High Sales","Low Sales")</f>
        <v>High Sales</v>
      </c>
      <c r="W630" t="b">
        <f>ISNUMBER(New_Finance_Data[[#This Row],[Date]])</f>
        <v>1</v>
      </c>
    </row>
    <row r="631" spans="1:23" x14ac:dyDescent="0.2">
      <c r="A631" t="s">
        <v>21</v>
      </c>
      <c r="B631" t="s">
        <v>20</v>
      </c>
      <c r="C631" t="s">
        <v>17</v>
      </c>
      <c r="D631" t="s">
        <v>46</v>
      </c>
      <c r="E631" s="27">
        <v>1513</v>
      </c>
      <c r="F631" s="27">
        <v>3</v>
      </c>
      <c r="G631" s="27">
        <v>15</v>
      </c>
      <c r="H631" s="27">
        <v>22695</v>
      </c>
      <c r="I631" s="5">
        <v>3177.3</v>
      </c>
      <c r="J631" s="27">
        <v>19517.7</v>
      </c>
      <c r="K631" s="27">
        <v>15130</v>
      </c>
      <c r="L631" s="5">
        <v>4387.7</v>
      </c>
      <c r="M631" s="28">
        <v>41944</v>
      </c>
      <c r="N631" s="3">
        <v>11</v>
      </c>
      <c r="O631" s="29" t="s">
        <v>38</v>
      </c>
      <c r="P631" s="3">
        <v>2014</v>
      </c>
      <c r="Q631" s="6">
        <f>New_Finance_Data[[#This Row],[ Profit ]]/New_Finance_Data[[#This Row],[  Sales ]]</f>
        <v>0.22480620155038758</v>
      </c>
      <c r="R631" t="str">
        <f>IF(New_Finance_Data[[#This Row],[  Sales ]]&gt;=100000,"High",IF(New_Finance_Data[[#This Row],[  Sales ]]&gt;=50000,"Medium","Low"))</f>
        <v>Low</v>
      </c>
      <c r="S631" t="str">
        <f>IF(OR(ISBLANK(New_Finance_Data[[#This Row],[  Sales ]]),ISBLANK(New_Finance_Data[[#This Row],[ Profit ]])),"Missing","OK")</f>
        <v>OK</v>
      </c>
      <c r="T631" t="str">
        <f>TEXT(New_Finance_Data[[#This Row],[Date]],"MMM-YYYY")</f>
        <v>Nov-2014</v>
      </c>
      <c r="U631" t="str">
        <f>IF(New_Finance_Data[[#This Row],[ Profit ]]&gt;0,"Profit","Loss")</f>
        <v>Profit</v>
      </c>
      <c r="V631" t="str">
        <f>IF(New_Finance_Data[[#This Row],[  Sales ]]&gt;=50000,"High Sales","Low Sales")</f>
        <v>Low Sales</v>
      </c>
      <c r="W631" t="b">
        <f>ISNUMBER(New_Finance_Data[[#This Row],[Date]])</f>
        <v>1</v>
      </c>
    </row>
    <row r="632" spans="1:23" x14ac:dyDescent="0.2">
      <c r="A632" t="s">
        <v>21</v>
      </c>
      <c r="B632" t="s">
        <v>16</v>
      </c>
      <c r="C632" t="s">
        <v>17</v>
      </c>
      <c r="D632" t="s">
        <v>46</v>
      </c>
      <c r="E632" s="27">
        <v>2300</v>
      </c>
      <c r="F632" s="27">
        <v>3</v>
      </c>
      <c r="G632" s="27">
        <v>15</v>
      </c>
      <c r="H632" s="27">
        <v>34500</v>
      </c>
      <c r="I632" s="5">
        <v>4830</v>
      </c>
      <c r="J632" s="27">
        <v>29670</v>
      </c>
      <c r="K632" s="27">
        <v>23000</v>
      </c>
      <c r="L632" s="5">
        <v>6670</v>
      </c>
      <c r="M632" s="28">
        <v>41974</v>
      </c>
      <c r="N632" s="3">
        <v>12</v>
      </c>
      <c r="O632" s="29" t="s">
        <v>25</v>
      </c>
      <c r="P632" s="3">
        <v>2014</v>
      </c>
      <c r="Q632" s="6">
        <f>New_Finance_Data[[#This Row],[ Profit ]]/New_Finance_Data[[#This Row],[  Sales ]]</f>
        <v>0.22480620155038761</v>
      </c>
      <c r="R632" t="str">
        <f>IF(New_Finance_Data[[#This Row],[  Sales ]]&gt;=100000,"High",IF(New_Finance_Data[[#This Row],[  Sales ]]&gt;=50000,"Medium","Low"))</f>
        <v>Low</v>
      </c>
      <c r="S632" t="str">
        <f>IF(OR(ISBLANK(New_Finance_Data[[#This Row],[  Sales ]]),ISBLANK(New_Finance_Data[[#This Row],[ Profit ]])),"Missing","OK")</f>
        <v>OK</v>
      </c>
      <c r="T632" t="str">
        <f>TEXT(New_Finance_Data[[#This Row],[Date]],"MMM-YYYY")</f>
        <v>Dec-2014</v>
      </c>
      <c r="U632" t="str">
        <f>IF(New_Finance_Data[[#This Row],[ Profit ]]&gt;0,"Profit","Loss")</f>
        <v>Profit</v>
      </c>
      <c r="V632" t="str">
        <f>IF(New_Finance_Data[[#This Row],[  Sales ]]&gt;=50000,"High Sales","Low Sales")</f>
        <v>Low Sales</v>
      </c>
      <c r="W632" t="b">
        <f>ISNUMBER(New_Finance_Data[[#This Row],[Date]])</f>
        <v>1</v>
      </c>
    </row>
    <row r="633" spans="1:23" x14ac:dyDescent="0.2">
      <c r="A633" t="s">
        <v>29</v>
      </c>
      <c r="B633" t="s">
        <v>24</v>
      </c>
      <c r="C633" t="s">
        <v>17</v>
      </c>
      <c r="D633" t="s">
        <v>46</v>
      </c>
      <c r="E633" s="27">
        <v>2821</v>
      </c>
      <c r="F633" s="27">
        <v>3</v>
      </c>
      <c r="G633" s="27">
        <v>125</v>
      </c>
      <c r="H633" s="27">
        <v>352625</v>
      </c>
      <c r="I633" s="5">
        <v>49367.5</v>
      </c>
      <c r="J633" s="27">
        <v>303257.5</v>
      </c>
      <c r="K633" s="27">
        <v>338520</v>
      </c>
      <c r="L633" s="5">
        <v>-35262.5</v>
      </c>
      <c r="M633" s="28">
        <v>41609</v>
      </c>
      <c r="N633" s="3">
        <v>12</v>
      </c>
      <c r="O633" s="29" t="s">
        <v>25</v>
      </c>
      <c r="P633" s="3">
        <v>2013</v>
      </c>
      <c r="Q633" s="6">
        <f>New_Finance_Data[[#This Row],[ Profit ]]/New_Finance_Data[[#This Row],[  Sales ]]</f>
        <v>-0.11627906976744186</v>
      </c>
      <c r="R633" t="str">
        <f>IF(New_Finance_Data[[#This Row],[  Sales ]]&gt;=100000,"High",IF(New_Finance_Data[[#This Row],[  Sales ]]&gt;=50000,"Medium","Low"))</f>
        <v>High</v>
      </c>
      <c r="S633" t="str">
        <f>IF(OR(ISBLANK(New_Finance_Data[[#This Row],[  Sales ]]),ISBLANK(New_Finance_Data[[#This Row],[ Profit ]])),"Missing","OK")</f>
        <v>OK</v>
      </c>
      <c r="T633" t="str">
        <f>TEXT(New_Finance_Data[[#This Row],[Date]],"MMM-YYYY")</f>
        <v>Dec-2013</v>
      </c>
      <c r="U633" t="str">
        <f>IF(New_Finance_Data[[#This Row],[ Profit ]]&gt;0,"Profit","Loss")</f>
        <v>Loss</v>
      </c>
      <c r="V633" t="str">
        <f>IF(New_Finance_Data[[#This Row],[  Sales ]]&gt;=50000,"High Sales","Low Sales")</f>
        <v>High Sales</v>
      </c>
      <c r="W633" t="b">
        <f>ISNUMBER(New_Finance_Data[[#This Row],[Date]])</f>
        <v>1</v>
      </c>
    </row>
    <row r="634" spans="1:23" x14ac:dyDescent="0.2">
      <c r="A634" t="s">
        <v>15</v>
      </c>
      <c r="B634" t="s">
        <v>16</v>
      </c>
      <c r="C634" t="s">
        <v>26</v>
      </c>
      <c r="D634" t="s">
        <v>46</v>
      </c>
      <c r="E634" s="27">
        <v>2227.5</v>
      </c>
      <c r="F634" s="27">
        <v>5</v>
      </c>
      <c r="G634" s="27">
        <v>350</v>
      </c>
      <c r="H634" s="27">
        <v>779625</v>
      </c>
      <c r="I634" s="5">
        <v>109147.5</v>
      </c>
      <c r="J634" s="27">
        <v>670477.5</v>
      </c>
      <c r="K634" s="27">
        <v>579150</v>
      </c>
      <c r="L634" s="5">
        <v>91327.5</v>
      </c>
      <c r="M634" s="28">
        <v>41640</v>
      </c>
      <c r="N634" s="3">
        <v>1</v>
      </c>
      <c r="O634" s="29" t="s">
        <v>19</v>
      </c>
      <c r="P634" s="3">
        <v>2014</v>
      </c>
      <c r="Q634" s="6">
        <f>New_Finance_Data[[#This Row],[ Profit ]]/New_Finance_Data[[#This Row],[  Sales ]]</f>
        <v>0.13621262458471761</v>
      </c>
      <c r="R634" t="str">
        <f>IF(New_Finance_Data[[#This Row],[  Sales ]]&gt;=100000,"High",IF(New_Finance_Data[[#This Row],[  Sales ]]&gt;=50000,"Medium","Low"))</f>
        <v>High</v>
      </c>
      <c r="S634" t="str">
        <f>IF(OR(ISBLANK(New_Finance_Data[[#This Row],[  Sales ]]),ISBLANK(New_Finance_Data[[#This Row],[ Profit ]])),"Missing","OK")</f>
        <v>OK</v>
      </c>
      <c r="T634" t="str">
        <f>TEXT(New_Finance_Data[[#This Row],[Date]],"MMM-YYYY")</f>
        <v>Jan-2014</v>
      </c>
      <c r="U634" t="str">
        <f>IF(New_Finance_Data[[#This Row],[ Profit ]]&gt;0,"Profit","Loss")</f>
        <v>Profit</v>
      </c>
      <c r="V634" t="str">
        <f>IF(New_Finance_Data[[#This Row],[  Sales ]]&gt;=50000,"High Sales","Low Sales")</f>
        <v>High Sales</v>
      </c>
      <c r="W634" t="b">
        <f>ISNUMBER(New_Finance_Data[[#This Row],[Date]])</f>
        <v>1</v>
      </c>
    </row>
    <row r="635" spans="1:23" x14ac:dyDescent="0.2">
      <c r="A635" t="s">
        <v>15</v>
      </c>
      <c r="B635" t="s">
        <v>20</v>
      </c>
      <c r="C635" t="s">
        <v>26</v>
      </c>
      <c r="D635" t="s">
        <v>46</v>
      </c>
      <c r="E635" s="27">
        <v>1199</v>
      </c>
      <c r="F635" s="27">
        <v>5</v>
      </c>
      <c r="G635" s="27">
        <v>350</v>
      </c>
      <c r="H635" s="27">
        <v>419650</v>
      </c>
      <c r="I635" s="5">
        <v>58751</v>
      </c>
      <c r="J635" s="27">
        <v>360899</v>
      </c>
      <c r="K635" s="27">
        <v>311740</v>
      </c>
      <c r="L635" s="5">
        <v>49159</v>
      </c>
      <c r="M635" s="28">
        <v>41730</v>
      </c>
      <c r="N635" s="3">
        <v>4</v>
      </c>
      <c r="O635" s="29" t="s">
        <v>41</v>
      </c>
      <c r="P635" s="3">
        <v>2014</v>
      </c>
      <c r="Q635" s="6">
        <f>New_Finance_Data[[#This Row],[ Profit ]]/New_Finance_Data[[#This Row],[  Sales ]]</f>
        <v>0.13621262458471761</v>
      </c>
      <c r="R635" t="str">
        <f>IF(New_Finance_Data[[#This Row],[  Sales ]]&gt;=100000,"High",IF(New_Finance_Data[[#This Row],[  Sales ]]&gt;=50000,"Medium","Low"))</f>
        <v>High</v>
      </c>
      <c r="S635" t="str">
        <f>IF(OR(ISBLANK(New_Finance_Data[[#This Row],[  Sales ]]),ISBLANK(New_Finance_Data[[#This Row],[ Profit ]])),"Missing","OK")</f>
        <v>OK</v>
      </c>
      <c r="T635" t="str">
        <f>TEXT(New_Finance_Data[[#This Row],[Date]],"MMM-YYYY")</f>
        <v>Apr-2014</v>
      </c>
      <c r="U635" t="str">
        <f>IF(New_Finance_Data[[#This Row],[ Profit ]]&gt;0,"Profit","Loss")</f>
        <v>Profit</v>
      </c>
      <c r="V635" t="str">
        <f>IF(New_Finance_Data[[#This Row],[  Sales ]]&gt;=50000,"High Sales","Low Sales")</f>
        <v>High Sales</v>
      </c>
      <c r="W635" t="b">
        <f>ISNUMBER(New_Finance_Data[[#This Row],[Date]])</f>
        <v>1</v>
      </c>
    </row>
    <row r="636" spans="1:23" x14ac:dyDescent="0.2">
      <c r="A636" t="s">
        <v>15</v>
      </c>
      <c r="B636" t="s">
        <v>16</v>
      </c>
      <c r="C636" t="s">
        <v>26</v>
      </c>
      <c r="D636" t="s">
        <v>46</v>
      </c>
      <c r="E636" s="27">
        <v>200</v>
      </c>
      <c r="F636" s="27">
        <v>5</v>
      </c>
      <c r="G636" s="27">
        <v>350</v>
      </c>
      <c r="H636" s="27">
        <v>70000</v>
      </c>
      <c r="I636" s="5">
        <v>9800</v>
      </c>
      <c r="J636" s="27">
        <v>60200</v>
      </c>
      <c r="K636" s="27">
        <v>52000</v>
      </c>
      <c r="L636" s="5">
        <v>8200</v>
      </c>
      <c r="M636" s="28">
        <v>41760</v>
      </c>
      <c r="N636" s="3">
        <v>5</v>
      </c>
      <c r="O636" s="29" t="s">
        <v>44</v>
      </c>
      <c r="P636" s="3">
        <v>2014</v>
      </c>
      <c r="Q636" s="6">
        <f>New_Finance_Data[[#This Row],[ Profit ]]/New_Finance_Data[[#This Row],[  Sales ]]</f>
        <v>0.13621262458471761</v>
      </c>
      <c r="R636" t="str">
        <f>IF(New_Finance_Data[[#This Row],[  Sales ]]&gt;=100000,"High",IF(New_Finance_Data[[#This Row],[  Sales ]]&gt;=50000,"Medium","Low"))</f>
        <v>Medium</v>
      </c>
      <c r="S636" t="str">
        <f>IF(OR(ISBLANK(New_Finance_Data[[#This Row],[  Sales ]]),ISBLANK(New_Finance_Data[[#This Row],[ Profit ]])),"Missing","OK")</f>
        <v>OK</v>
      </c>
      <c r="T636" t="str">
        <f>TEXT(New_Finance_Data[[#This Row],[Date]],"MMM-YYYY")</f>
        <v>May-2014</v>
      </c>
      <c r="U636" t="str">
        <f>IF(New_Finance_Data[[#This Row],[ Profit ]]&gt;0,"Profit","Loss")</f>
        <v>Profit</v>
      </c>
      <c r="V636" t="str">
        <f>IF(New_Finance_Data[[#This Row],[  Sales ]]&gt;=50000,"High Sales","Low Sales")</f>
        <v>High Sales</v>
      </c>
      <c r="W636" t="b">
        <f>ISNUMBER(New_Finance_Data[[#This Row],[Date]])</f>
        <v>1</v>
      </c>
    </row>
    <row r="637" spans="1:23" x14ac:dyDescent="0.2">
      <c r="A637" t="s">
        <v>15</v>
      </c>
      <c r="B637" t="s">
        <v>16</v>
      </c>
      <c r="C637" t="s">
        <v>26</v>
      </c>
      <c r="D637" t="s">
        <v>46</v>
      </c>
      <c r="E637" s="27">
        <v>388</v>
      </c>
      <c r="F637" s="27">
        <v>5</v>
      </c>
      <c r="G637" s="27">
        <v>7</v>
      </c>
      <c r="H637" s="27">
        <v>2716</v>
      </c>
      <c r="I637" s="5">
        <v>380.24</v>
      </c>
      <c r="J637" s="27">
        <v>2335.7600000000002</v>
      </c>
      <c r="K637" s="27">
        <v>1940</v>
      </c>
      <c r="L637" s="5">
        <v>395.76</v>
      </c>
      <c r="M637" s="28">
        <v>41883</v>
      </c>
      <c r="N637" s="3">
        <v>9</v>
      </c>
      <c r="O637" s="29" t="s">
        <v>33</v>
      </c>
      <c r="P637" s="3">
        <v>2014</v>
      </c>
      <c r="Q637" s="6">
        <f>New_Finance_Data[[#This Row],[ Profit ]]/New_Finance_Data[[#This Row],[  Sales ]]</f>
        <v>0.16943521594684383</v>
      </c>
      <c r="R637" t="str">
        <f>IF(New_Finance_Data[[#This Row],[  Sales ]]&gt;=100000,"High",IF(New_Finance_Data[[#This Row],[  Sales ]]&gt;=50000,"Medium","Low"))</f>
        <v>Low</v>
      </c>
      <c r="S637" t="str">
        <f>IF(OR(ISBLANK(New_Finance_Data[[#This Row],[  Sales ]]),ISBLANK(New_Finance_Data[[#This Row],[ Profit ]])),"Missing","OK")</f>
        <v>OK</v>
      </c>
      <c r="T637" t="str">
        <f>TEXT(New_Finance_Data[[#This Row],[Date]],"MMM-YYYY")</f>
        <v>Sep-2014</v>
      </c>
      <c r="U637" t="str">
        <f>IF(New_Finance_Data[[#This Row],[ Profit ]]&gt;0,"Profit","Loss")</f>
        <v>Profit</v>
      </c>
      <c r="V637" t="str">
        <f>IF(New_Finance_Data[[#This Row],[  Sales ]]&gt;=50000,"High Sales","Low Sales")</f>
        <v>Low Sales</v>
      </c>
      <c r="W637" t="b">
        <f>ISNUMBER(New_Finance_Data[[#This Row],[Date]])</f>
        <v>1</v>
      </c>
    </row>
    <row r="638" spans="1:23" x14ac:dyDescent="0.2">
      <c r="A638" t="s">
        <v>15</v>
      </c>
      <c r="B638" t="s">
        <v>24</v>
      </c>
      <c r="C638" t="s">
        <v>26</v>
      </c>
      <c r="D638" t="s">
        <v>46</v>
      </c>
      <c r="E638" s="27">
        <v>1727</v>
      </c>
      <c r="F638" s="27">
        <v>5</v>
      </c>
      <c r="G638" s="27">
        <v>7</v>
      </c>
      <c r="H638" s="27">
        <v>12089</v>
      </c>
      <c r="I638" s="5">
        <v>1692.46</v>
      </c>
      <c r="J638" s="27">
        <v>10396.540000000001</v>
      </c>
      <c r="K638" s="27">
        <v>8635</v>
      </c>
      <c r="L638" s="5">
        <v>1761.54</v>
      </c>
      <c r="M638" s="28">
        <v>41548</v>
      </c>
      <c r="N638" s="3">
        <v>10</v>
      </c>
      <c r="O638" s="29" t="s">
        <v>34</v>
      </c>
      <c r="P638" s="3">
        <v>2013</v>
      </c>
      <c r="Q638" s="6">
        <f>New_Finance_Data[[#This Row],[ Profit ]]/New_Finance_Data[[#This Row],[  Sales ]]</f>
        <v>0.16943521594684383</v>
      </c>
      <c r="R638" t="str">
        <f>IF(New_Finance_Data[[#This Row],[  Sales ]]&gt;=100000,"High",IF(New_Finance_Data[[#This Row],[  Sales ]]&gt;=50000,"Medium","Low"))</f>
        <v>Low</v>
      </c>
      <c r="S638" t="str">
        <f>IF(OR(ISBLANK(New_Finance_Data[[#This Row],[  Sales ]]),ISBLANK(New_Finance_Data[[#This Row],[ Profit ]])),"Missing","OK")</f>
        <v>OK</v>
      </c>
      <c r="T638" t="str">
        <f>TEXT(New_Finance_Data[[#This Row],[Date]],"MMM-YYYY")</f>
        <v>Oct-2013</v>
      </c>
      <c r="U638" t="str">
        <f>IF(New_Finance_Data[[#This Row],[ Profit ]]&gt;0,"Profit","Loss")</f>
        <v>Profit</v>
      </c>
      <c r="V638" t="str">
        <f>IF(New_Finance_Data[[#This Row],[  Sales ]]&gt;=50000,"High Sales","Low Sales")</f>
        <v>Low Sales</v>
      </c>
      <c r="W638" t="b">
        <f>ISNUMBER(New_Finance_Data[[#This Row],[Date]])</f>
        <v>1</v>
      </c>
    </row>
    <row r="639" spans="1:23" x14ac:dyDescent="0.2">
      <c r="A639" t="s">
        <v>21</v>
      </c>
      <c r="B639" t="s">
        <v>16</v>
      </c>
      <c r="C639" t="s">
        <v>26</v>
      </c>
      <c r="D639" t="s">
        <v>46</v>
      </c>
      <c r="E639" s="27">
        <v>2300</v>
      </c>
      <c r="F639" s="27">
        <v>5</v>
      </c>
      <c r="G639" s="27">
        <v>15</v>
      </c>
      <c r="H639" s="27">
        <v>34500</v>
      </c>
      <c r="I639" s="5">
        <v>4830</v>
      </c>
      <c r="J639" s="27">
        <v>29670</v>
      </c>
      <c r="K639" s="27">
        <v>23000</v>
      </c>
      <c r="L639" s="5">
        <v>6670</v>
      </c>
      <c r="M639" s="28">
        <v>41974</v>
      </c>
      <c r="N639" s="3">
        <v>12</v>
      </c>
      <c r="O639" s="29" t="s">
        <v>25</v>
      </c>
      <c r="P639" s="3">
        <v>2014</v>
      </c>
      <c r="Q639" s="6">
        <f>New_Finance_Data[[#This Row],[ Profit ]]/New_Finance_Data[[#This Row],[  Sales ]]</f>
        <v>0.22480620155038761</v>
      </c>
      <c r="R639" t="str">
        <f>IF(New_Finance_Data[[#This Row],[  Sales ]]&gt;=100000,"High",IF(New_Finance_Data[[#This Row],[  Sales ]]&gt;=50000,"Medium","Low"))</f>
        <v>Low</v>
      </c>
      <c r="S639" t="str">
        <f>IF(OR(ISBLANK(New_Finance_Data[[#This Row],[  Sales ]]),ISBLANK(New_Finance_Data[[#This Row],[ Profit ]])),"Missing","OK")</f>
        <v>OK</v>
      </c>
      <c r="T639" t="str">
        <f>TEXT(New_Finance_Data[[#This Row],[Date]],"MMM-YYYY")</f>
        <v>Dec-2014</v>
      </c>
      <c r="U639" t="str">
        <f>IF(New_Finance_Data[[#This Row],[ Profit ]]&gt;0,"Profit","Loss")</f>
        <v>Profit</v>
      </c>
      <c r="V639" t="str">
        <f>IF(New_Finance_Data[[#This Row],[  Sales ]]&gt;=50000,"High Sales","Low Sales")</f>
        <v>Low Sales</v>
      </c>
      <c r="W639" t="b">
        <f>ISNUMBER(New_Finance_Data[[#This Row],[Date]])</f>
        <v>1</v>
      </c>
    </row>
    <row r="640" spans="1:23" x14ac:dyDescent="0.2">
      <c r="A640" t="s">
        <v>15</v>
      </c>
      <c r="B640" t="s">
        <v>24</v>
      </c>
      <c r="C640" t="s">
        <v>36</v>
      </c>
      <c r="D640" t="s">
        <v>46</v>
      </c>
      <c r="E640" s="27">
        <v>260</v>
      </c>
      <c r="F640" s="27">
        <v>10</v>
      </c>
      <c r="G640" s="27">
        <v>20</v>
      </c>
      <c r="H640" s="27">
        <v>5200</v>
      </c>
      <c r="I640" s="5">
        <v>728</v>
      </c>
      <c r="J640" s="27">
        <v>4472</v>
      </c>
      <c r="K640" s="27">
        <v>2600</v>
      </c>
      <c r="L640" s="5">
        <v>1872</v>
      </c>
      <c r="M640" s="28">
        <v>41671</v>
      </c>
      <c r="N640" s="3">
        <v>2</v>
      </c>
      <c r="O640" s="29" t="s">
        <v>37</v>
      </c>
      <c r="P640" s="3">
        <v>2014</v>
      </c>
      <c r="Q640" s="6">
        <f>New_Finance_Data[[#This Row],[ Profit ]]/New_Finance_Data[[#This Row],[  Sales ]]</f>
        <v>0.41860465116279072</v>
      </c>
      <c r="R640" t="str">
        <f>IF(New_Finance_Data[[#This Row],[  Sales ]]&gt;=100000,"High",IF(New_Finance_Data[[#This Row],[  Sales ]]&gt;=50000,"Medium","Low"))</f>
        <v>Low</v>
      </c>
      <c r="S640" t="str">
        <f>IF(OR(ISBLANK(New_Finance_Data[[#This Row],[  Sales ]]),ISBLANK(New_Finance_Data[[#This Row],[ Profit ]])),"Missing","OK")</f>
        <v>OK</v>
      </c>
      <c r="T640" t="str">
        <f>TEXT(New_Finance_Data[[#This Row],[Date]],"MMM-YYYY")</f>
        <v>Feb-2014</v>
      </c>
      <c r="U640" t="str">
        <f>IF(New_Finance_Data[[#This Row],[ Profit ]]&gt;0,"Profit","Loss")</f>
        <v>Profit</v>
      </c>
      <c r="V640" t="str">
        <f>IF(New_Finance_Data[[#This Row],[  Sales ]]&gt;=50000,"High Sales","Low Sales")</f>
        <v>Low Sales</v>
      </c>
      <c r="W640" t="b">
        <f>ISNUMBER(New_Finance_Data[[#This Row],[Date]])</f>
        <v>1</v>
      </c>
    </row>
    <row r="641" spans="1:23" x14ac:dyDescent="0.2">
      <c r="A641" t="s">
        <v>21</v>
      </c>
      <c r="B641" t="s">
        <v>16</v>
      </c>
      <c r="C641" t="s">
        <v>36</v>
      </c>
      <c r="D641" t="s">
        <v>46</v>
      </c>
      <c r="E641" s="27">
        <v>2470</v>
      </c>
      <c r="F641" s="27">
        <v>10</v>
      </c>
      <c r="G641" s="27">
        <v>15</v>
      </c>
      <c r="H641" s="27">
        <v>37050</v>
      </c>
      <c r="I641" s="5">
        <v>5187</v>
      </c>
      <c r="J641" s="27">
        <v>31863</v>
      </c>
      <c r="K641" s="27">
        <v>24700</v>
      </c>
      <c r="L641" s="5">
        <v>7163</v>
      </c>
      <c r="M641" s="28">
        <v>41518</v>
      </c>
      <c r="N641" s="3">
        <v>9</v>
      </c>
      <c r="O641" s="29" t="s">
        <v>33</v>
      </c>
      <c r="P641" s="3">
        <v>2013</v>
      </c>
      <c r="Q641" s="6">
        <f>New_Finance_Data[[#This Row],[ Profit ]]/New_Finance_Data[[#This Row],[  Sales ]]</f>
        <v>0.22480620155038761</v>
      </c>
      <c r="R641" t="str">
        <f>IF(New_Finance_Data[[#This Row],[  Sales ]]&gt;=100000,"High",IF(New_Finance_Data[[#This Row],[  Sales ]]&gt;=50000,"Medium","Low"))</f>
        <v>Low</v>
      </c>
      <c r="S641" t="str">
        <f>IF(OR(ISBLANK(New_Finance_Data[[#This Row],[  Sales ]]),ISBLANK(New_Finance_Data[[#This Row],[ Profit ]])),"Missing","OK")</f>
        <v>OK</v>
      </c>
      <c r="T641" t="str">
        <f>TEXT(New_Finance_Data[[#This Row],[Date]],"MMM-YYYY")</f>
        <v>Sep-2013</v>
      </c>
      <c r="U641" t="str">
        <f>IF(New_Finance_Data[[#This Row],[ Profit ]]&gt;0,"Profit","Loss")</f>
        <v>Profit</v>
      </c>
      <c r="V641" t="str">
        <f>IF(New_Finance_Data[[#This Row],[  Sales ]]&gt;=50000,"High Sales","Low Sales")</f>
        <v>Low Sales</v>
      </c>
      <c r="W641" t="b">
        <f>ISNUMBER(New_Finance_Data[[#This Row],[Date]])</f>
        <v>1</v>
      </c>
    </row>
    <row r="642" spans="1:23" x14ac:dyDescent="0.2">
      <c r="A642" t="s">
        <v>21</v>
      </c>
      <c r="B642" t="s">
        <v>16</v>
      </c>
      <c r="C642" t="s">
        <v>36</v>
      </c>
      <c r="D642" t="s">
        <v>46</v>
      </c>
      <c r="E642" s="27">
        <v>1743</v>
      </c>
      <c r="F642" s="27">
        <v>10</v>
      </c>
      <c r="G642" s="27">
        <v>15</v>
      </c>
      <c r="H642" s="27">
        <v>26145</v>
      </c>
      <c r="I642" s="5">
        <v>3660.3</v>
      </c>
      <c r="J642" s="27">
        <v>22484.7</v>
      </c>
      <c r="K642" s="27">
        <v>17430</v>
      </c>
      <c r="L642" s="5">
        <v>5054.7</v>
      </c>
      <c r="M642" s="28">
        <v>41548</v>
      </c>
      <c r="N642" s="3">
        <v>10</v>
      </c>
      <c r="O642" s="29" t="s">
        <v>34</v>
      </c>
      <c r="P642" s="3">
        <v>2013</v>
      </c>
      <c r="Q642" s="6">
        <f>New_Finance_Data[[#This Row],[ Profit ]]/New_Finance_Data[[#This Row],[  Sales ]]</f>
        <v>0.22480620155038758</v>
      </c>
      <c r="R642" t="str">
        <f>IF(New_Finance_Data[[#This Row],[  Sales ]]&gt;=100000,"High",IF(New_Finance_Data[[#This Row],[  Sales ]]&gt;=50000,"Medium","Low"))</f>
        <v>Low</v>
      </c>
      <c r="S642" t="str">
        <f>IF(OR(ISBLANK(New_Finance_Data[[#This Row],[  Sales ]]),ISBLANK(New_Finance_Data[[#This Row],[ Profit ]])),"Missing","OK")</f>
        <v>OK</v>
      </c>
      <c r="T642" t="str">
        <f>TEXT(New_Finance_Data[[#This Row],[Date]],"MMM-YYYY")</f>
        <v>Oct-2013</v>
      </c>
      <c r="U642" t="str">
        <f>IF(New_Finance_Data[[#This Row],[ Profit ]]&gt;0,"Profit","Loss")</f>
        <v>Profit</v>
      </c>
      <c r="V642" t="str">
        <f>IF(New_Finance_Data[[#This Row],[  Sales ]]&gt;=50000,"High Sales","Low Sales")</f>
        <v>Low Sales</v>
      </c>
      <c r="W642" t="b">
        <f>ISNUMBER(New_Finance_Data[[#This Row],[Date]])</f>
        <v>1</v>
      </c>
    </row>
    <row r="643" spans="1:23" x14ac:dyDescent="0.2">
      <c r="A643" t="s">
        <v>28</v>
      </c>
      <c r="B643" t="s">
        <v>35</v>
      </c>
      <c r="C643" t="s">
        <v>36</v>
      </c>
      <c r="D643" t="s">
        <v>46</v>
      </c>
      <c r="E643" s="27">
        <v>2914</v>
      </c>
      <c r="F643" s="27">
        <v>10</v>
      </c>
      <c r="G643" s="27">
        <v>12</v>
      </c>
      <c r="H643" s="27">
        <v>34968</v>
      </c>
      <c r="I643" s="5">
        <v>4895.5200000000004</v>
      </c>
      <c r="J643" s="27">
        <v>30072.48</v>
      </c>
      <c r="K643" s="27">
        <v>8742</v>
      </c>
      <c r="L643" s="5">
        <v>21330.48</v>
      </c>
      <c r="M643" s="28">
        <v>41913</v>
      </c>
      <c r="N643" s="3">
        <v>10</v>
      </c>
      <c r="O643" s="29" t="s">
        <v>34</v>
      </c>
      <c r="P643" s="3">
        <v>2014</v>
      </c>
      <c r="Q643" s="6">
        <f>New_Finance_Data[[#This Row],[ Profit ]]/New_Finance_Data[[#This Row],[  Sales ]]</f>
        <v>0.70930232558139539</v>
      </c>
      <c r="R643" t="str">
        <f>IF(New_Finance_Data[[#This Row],[  Sales ]]&gt;=100000,"High",IF(New_Finance_Data[[#This Row],[  Sales ]]&gt;=50000,"Medium","Low"))</f>
        <v>Low</v>
      </c>
      <c r="S643" t="str">
        <f>IF(OR(ISBLANK(New_Finance_Data[[#This Row],[  Sales ]]),ISBLANK(New_Finance_Data[[#This Row],[ Profit ]])),"Missing","OK")</f>
        <v>OK</v>
      </c>
      <c r="T643" t="str">
        <f>TEXT(New_Finance_Data[[#This Row],[Date]],"MMM-YYYY")</f>
        <v>Oct-2014</v>
      </c>
      <c r="U643" t="str">
        <f>IF(New_Finance_Data[[#This Row],[ Profit ]]&gt;0,"Profit","Loss")</f>
        <v>Profit</v>
      </c>
      <c r="V643" t="str">
        <f>IF(New_Finance_Data[[#This Row],[  Sales ]]&gt;=50000,"High Sales","Low Sales")</f>
        <v>Low Sales</v>
      </c>
      <c r="W643" t="b">
        <f>ISNUMBER(New_Finance_Data[[#This Row],[Date]])</f>
        <v>1</v>
      </c>
    </row>
    <row r="644" spans="1:23" x14ac:dyDescent="0.2">
      <c r="A644" t="s">
        <v>15</v>
      </c>
      <c r="B644" t="s">
        <v>22</v>
      </c>
      <c r="C644" t="s">
        <v>36</v>
      </c>
      <c r="D644" t="s">
        <v>46</v>
      </c>
      <c r="E644" s="27">
        <v>1731</v>
      </c>
      <c r="F644" s="27">
        <v>10</v>
      </c>
      <c r="G644" s="27">
        <v>7</v>
      </c>
      <c r="H644" s="27">
        <v>12117</v>
      </c>
      <c r="I644" s="5">
        <v>1696.38</v>
      </c>
      <c r="J644" s="27">
        <v>10420.620000000001</v>
      </c>
      <c r="K644" s="27">
        <v>8655</v>
      </c>
      <c r="L644" s="5">
        <v>1765.62</v>
      </c>
      <c r="M644" s="28">
        <v>41913</v>
      </c>
      <c r="N644" s="3">
        <v>10</v>
      </c>
      <c r="O644" s="29" t="s">
        <v>34</v>
      </c>
      <c r="P644" s="3">
        <v>2014</v>
      </c>
      <c r="Q644" s="6">
        <f>New_Finance_Data[[#This Row],[ Profit ]]/New_Finance_Data[[#This Row],[  Sales ]]</f>
        <v>0.16943521594684383</v>
      </c>
      <c r="R644" t="str">
        <f>IF(New_Finance_Data[[#This Row],[  Sales ]]&gt;=100000,"High",IF(New_Finance_Data[[#This Row],[  Sales ]]&gt;=50000,"Medium","Low"))</f>
        <v>Low</v>
      </c>
      <c r="S644" t="str">
        <f>IF(OR(ISBLANK(New_Finance_Data[[#This Row],[  Sales ]]),ISBLANK(New_Finance_Data[[#This Row],[ Profit ]])),"Missing","OK")</f>
        <v>OK</v>
      </c>
      <c r="T644" t="str">
        <f>TEXT(New_Finance_Data[[#This Row],[Date]],"MMM-YYYY")</f>
        <v>Oct-2014</v>
      </c>
      <c r="U644" t="str">
        <f>IF(New_Finance_Data[[#This Row],[ Profit ]]&gt;0,"Profit","Loss")</f>
        <v>Profit</v>
      </c>
      <c r="V644" t="str">
        <f>IF(New_Finance_Data[[#This Row],[  Sales ]]&gt;=50000,"High Sales","Low Sales")</f>
        <v>Low Sales</v>
      </c>
      <c r="W644" t="b">
        <f>ISNUMBER(New_Finance_Data[[#This Row],[Date]])</f>
        <v>1</v>
      </c>
    </row>
    <row r="645" spans="1:23" x14ac:dyDescent="0.2">
      <c r="A645" t="s">
        <v>15</v>
      </c>
      <c r="B645" t="s">
        <v>16</v>
      </c>
      <c r="C645" t="s">
        <v>36</v>
      </c>
      <c r="D645" t="s">
        <v>46</v>
      </c>
      <c r="E645" s="27">
        <v>700</v>
      </c>
      <c r="F645" s="27">
        <v>10</v>
      </c>
      <c r="G645" s="27">
        <v>350</v>
      </c>
      <c r="H645" s="27">
        <v>245000</v>
      </c>
      <c r="I645" s="5">
        <v>34300</v>
      </c>
      <c r="J645" s="27">
        <v>210700</v>
      </c>
      <c r="K645" s="27">
        <v>182000</v>
      </c>
      <c r="L645" s="5">
        <v>28700</v>
      </c>
      <c r="M645" s="28">
        <v>41944</v>
      </c>
      <c r="N645" s="3">
        <v>11</v>
      </c>
      <c r="O645" s="29" t="s">
        <v>38</v>
      </c>
      <c r="P645" s="3">
        <v>2014</v>
      </c>
      <c r="Q645" s="6">
        <f>New_Finance_Data[[#This Row],[ Profit ]]/New_Finance_Data[[#This Row],[  Sales ]]</f>
        <v>0.13621262458471761</v>
      </c>
      <c r="R645" t="str">
        <f>IF(New_Finance_Data[[#This Row],[  Sales ]]&gt;=100000,"High",IF(New_Finance_Data[[#This Row],[  Sales ]]&gt;=50000,"Medium","Low"))</f>
        <v>High</v>
      </c>
      <c r="S645" t="str">
        <f>IF(OR(ISBLANK(New_Finance_Data[[#This Row],[  Sales ]]),ISBLANK(New_Finance_Data[[#This Row],[ Profit ]])),"Missing","OK")</f>
        <v>OK</v>
      </c>
      <c r="T645" t="str">
        <f>TEXT(New_Finance_Data[[#This Row],[Date]],"MMM-YYYY")</f>
        <v>Nov-2014</v>
      </c>
      <c r="U645" t="str">
        <f>IF(New_Finance_Data[[#This Row],[ Profit ]]&gt;0,"Profit","Loss")</f>
        <v>Profit</v>
      </c>
      <c r="V645" t="str">
        <f>IF(New_Finance_Data[[#This Row],[  Sales ]]&gt;=50000,"High Sales","Low Sales")</f>
        <v>High Sales</v>
      </c>
      <c r="W645" t="b">
        <f>ISNUMBER(New_Finance_Data[[#This Row],[Date]])</f>
        <v>1</v>
      </c>
    </row>
    <row r="646" spans="1:23" x14ac:dyDescent="0.2">
      <c r="A646" t="s">
        <v>28</v>
      </c>
      <c r="B646" t="s">
        <v>16</v>
      </c>
      <c r="C646" t="s">
        <v>36</v>
      </c>
      <c r="D646" t="s">
        <v>46</v>
      </c>
      <c r="E646" s="27">
        <v>2222</v>
      </c>
      <c r="F646" s="27">
        <v>10</v>
      </c>
      <c r="G646" s="27">
        <v>12</v>
      </c>
      <c r="H646" s="27">
        <v>26664</v>
      </c>
      <c r="I646" s="5">
        <v>3732.96</v>
      </c>
      <c r="J646" s="27">
        <v>22931.040000000001</v>
      </c>
      <c r="K646" s="27">
        <v>6666</v>
      </c>
      <c r="L646" s="5">
        <v>16265.04</v>
      </c>
      <c r="M646" s="28">
        <v>41579</v>
      </c>
      <c r="N646" s="3">
        <v>11</v>
      </c>
      <c r="O646" s="29" t="s">
        <v>38</v>
      </c>
      <c r="P646" s="3">
        <v>2013</v>
      </c>
      <c r="Q646" s="6">
        <f>New_Finance_Data[[#This Row],[ Profit ]]/New_Finance_Data[[#This Row],[  Sales ]]</f>
        <v>0.70930232558139539</v>
      </c>
      <c r="R646" t="str">
        <f>IF(New_Finance_Data[[#This Row],[  Sales ]]&gt;=100000,"High",IF(New_Finance_Data[[#This Row],[  Sales ]]&gt;=50000,"Medium","Low"))</f>
        <v>Low</v>
      </c>
      <c r="S646" t="str">
        <f>IF(OR(ISBLANK(New_Finance_Data[[#This Row],[  Sales ]]),ISBLANK(New_Finance_Data[[#This Row],[ Profit ]])),"Missing","OK")</f>
        <v>OK</v>
      </c>
      <c r="T646" t="str">
        <f>TEXT(New_Finance_Data[[#This Row],[Date]],"MMM-YYYY")</f>
        <v>Nov-2013</v>
      </c>
      <c r="U646" t="str">
        <f>IF(New_Finance_Data[[#This Row],[ Profit ]]&gt;0,"Profit","Loss")</f>
        <v>Profit</v>
      </c>
      <c r="V646" t="str">
        <f>IF(New_Finance_Data[[#This Row],[  Sales ]]&gt;=50000,"High Sales","Low Sales")</f>
        <v>Low Sales</v>
      </c>
      <c r="W646" t="b">
        <f>ISNUMBER(New_Finance_Data[[#This Row],[Date]])</f>
        <v>1</v>
      </c>
    </row>
    <row r="647" spans="1:23" x14ac:dyDescent="0.2">
      <c r="A647" t="s">
        <v>15</v>
      </c>
      <c r="B647" t="s">
        <v>35</v>
      </c>
      <c r="C647" t="s">
        <v>36</v>
      </c>
      <c r="D647" t="s">
        <v>46</v>
      </c>
      <c r="E647" s="27">
        <v>1177</v>
      </c>
      <c r="F647" s="27">
        <v>10</v>
      </c>
      <c r="G647" s="27">
        <v>350</v>
      </c>
      <c r="H647" s="27">
        <v>411950</v>
      </c>
      <c r="I647" s="5">
        <v>57673</v>
      </c>
      <c r="J647" s="27">
        <v>354277</v>
      </c>
      <c r="K647" s="27">
        <v>306020</v>
      </c>
      <c r="L647" s="5">
        <v>48257</v>
      </c>
      <c r="M647" s="28">
        <v>41944</v>
      </c>
      <c r="N647" s="3">
        <v>11</v>
      </c>
      <c r="O647" s="29" t="s">
        <v>38</v>
      </c>
      <c r="P647" s="3">
        <v>2014</v>
      </c>
      <c r="Q647" s="6">
        <f>New_Finance_Data[[#This Row],[ Profit ]]/New_Finance_Data[[#This Row],[  Sales ]]</f>
        <v>0.13621262458471761</v>
      </c>
      <c r="R647" t="str">
        <f>IF(New_Finance_Data[[#This Row],[  Sales ]]&gt;=100000,"High",IF(New_Finance_Data[[#This Row],[  Sales ]]&gt;=50000,"Medium","Low"))</f>
        <v>High</v>
      </c>
      <c r="S647" t="str">
        <f>IF(OR(ISBLANK(New_Finance_Data[[#This Row],[  Sales ]]),ISBLANK(New_Finance_Data[[#This Row],[ Profit ]])),"Missing","OK")</f>
        <v>OK</v>
      </c>
      <c r="T647" t="str">
        <f>TEXT(New_Finance_Data[[#This Row],[Date]],"MMM-YYYY")</f>
        <v>Nov-2014</v>
      </c>
      <c r="U647" t="str">
        <f>IF(New_Finance_Data[[#This Row],[ Profit ]]&gt;0,"Profit","Loss")</f>
        <v>Profit</v>
      </c>
      <c r="V647" t="str">
        <f>IF(New_Finance_Data[[#This Row],[  Sales ]]&gt;=50000,"High Sales","Low Sales")</f>
        <v>High Sales</v>
      </c>
      <c r="W647" t="b">
        <f>ISNUMBER(New_Finance_Data[[#This Row],[Date]])</f>
        <v>1</v>
      </c>
    </row>
    <row r="648" spans="1:23" x14ac:dyDescent="0.2">
      <c r="A648" t="s">
        <v>15</v>
      </c>
      <c r="B648" t="s">
        <v>22</v>
      </c>
      <c r="C648" t="s">
        <v>36</v>
      </c>
      <c r="D648" t="s">
        <v>46</v>
      </c>
      <c r="E648" s="27">
        <v>1922</v>
      </c>
      <c r="F648" s="27">
        <v>10</v>
      </c>
      <c r="G648" s="27">
        <v>350</v>
      </c>
      <c r="H648" s="27">
        <v>672700</v>
      </c>
      <c r="I648" s="5">
        <v>94178</v>
      </c>
      <c r="J648" s="27">
        <v>578522</v>
      </c>
      <c r="K648" s="27">
        <v>499720</v>
      </c>
      <c r="L648" s="5">
        <v>78802</v>
      </c>
      <c r="M648" s="28">
        <v>41579</v>
      </c>
      <c r="N648" s="3">
        <v>11</v>
      </c>
      <c r="O648" s="29" t="s">
        <v>38</v>
      </c>
      <c r="P648" s="3">
        <v>2013</v>
      </c>
      <c r="Q648" s="6">
        <f>New_Finance_Data[[#This Row],[ Profit ]]/New_Finance_Data[[#This Row],[  Sales ]]</f>
        <v>0.13621262458471761</v>
      </c>
      <c r="R648" t="str">
        <f>IF(New_Finance_Data[[#This Row],[  Sales ]]&gt;=100000,"High",IF(New_Finance_Data[[#This Row],[  Sales ]]&gt;=50000,"Medium","Low"))</f>
        <v>High</v>
      </c>
      <c r="S648" t="str">
        <f>IF(OR(ISBLANK(New_Finance_Data[[#This Row],[  Sales ]]),ISBLANK(New_Finance_Data[[#This Row],[ Profit ]])),"Missing","OK")</f>
        <v>OK</v>
      </c>
      <c r="T648" t="str">
        <f>TEXT(New_Finance_Data[[#This Row],[Date]],"MMM-YYYY")</f>
        <v>Nov-2013</v>
      </c>
      <c r="U648" t="str">
        <f>IF(New_Finance_Data[[#This Row],[ Profit ]]&gt;0,"Profit","Loss")</f>
        <v>Profit</v>
      </c>
      <c r="V648" t="str">
        <f>IF(New_Finance_Data[[#This Row],[  Sales ]]&gt;=50000,"High Sales","Low Sales")</f>
        <v>High Sales</v>
      </c>
      <c r="W648" t="b">
        <f>ISNUMBER(New_Finance_Data[[#This Row],[Date]])</f>
        <v>1</v>
      </c>
    </row>
    <row r="649" spans="1:23" x14ac:dyDescent="0.2">
      <c r="A649" t="s">
        <v>29</v>
      </c>
      <c r="B649" t="s">
        <v>24</v>
      </c>
      <c r="C649" t="s">
        <v>39</v>
      </c>
      <c r="D649" t="s">
        <v>46</v>
      </c>
      <c r="E649" s="27">
        <v>1575</v>
      </c>
      <c r="F649" s="27">
        <v>120</v>
      </c>
      <c r="G649" s="27">
        <v>125</v>
      </c>
      <c r="H649" s="27">
        <v>196875</v>
      </c>
      <c r="I649" s="5">
        <v>27562.5</v>
      </c>
      <c r="J649" s="27">
        <v>169312.5</v>
      </c>
      <c r="K649" s="27">
        <v>189000</v>
      </c>
      <c r="L649" s="5">
        <v>-19687.5</v>
      </c>
      <c r="M649" s="28">
        <v>41671</v>
      </c>
      <c r="N649" s="3">
        <v>2</v>
      </c>
      <c r="O649" s="29" t="s">
        <v>37</v>
      </c>
      <c r="P649" s="3">
        <v>2014</v>
      </c>
      <c r="Q649" s="6">
        <f>New_Finance_Data[[#This Row],[ Profit ]]/New_Finance_Data[[#This Row],[  Sales ]]</f>
        <v>-0.11627906976744186</v>
      </c>
      <c r="R649" t="str">
        <f>IF(New_Finance_Data[[#This Row],[  Sales ]]&gt;=100000,"High",IF(New_Finance_Data[[#This Row],[  Sales ]]&gt;=50000,"Medium","Low"))</f>
        <v>High</v>
      </c>
      <c r="S649" t="str">
        <f>IF(OR(ISBLANK(New_Finance_Data[[#This Row],[  Sales ]]),ISBLANK(New_Finance_Data[[#This Row],[ Profit ]])),"Missing","OK")</f>
        <v>OK</v>
      </c>
      <c r="T649" t="str">
        <f>TEXT(New_Finance_Data[[#This Row],[Date]],"MMM-YYYY")</f>
        <v>Feb-2014</v>
      </c>
      <c r="U649" t="str">
        <f>IF(New_Finance_Data[[#This Row],[ Profit ]]&gt;0,"Profit","Loss")</f>
        <v>Loss</v>
      </c>
      <c r="V649" t="str">
        <f>IF(New_Finance_Data[[#This Row],[  Sales ]]&gt;=50000,"High Sales","Low Sales")</f>
        <v>High Sales</v>
      </c>
      <c r="W649" t="b">
        <f>ISNUMBER(New_Finance_Data[[#This Row],[Date]])</f>
        <v>1</v>
      </c>
    </row>
    <row r="650" spans="1:23" x14ac:dyDescent="0.2">
      <c r="A650" t="s">
        <v>15</v>
      </c>
      <c r="B650" t="s">
        <v>35</v>
      </c>
      <c r="C650" t="s">
        <v>39</v>
      </c>
      <c r="D650" t="s">
        <v>46</v>
      </c>
      <c r="E650" s="27">
        <v>606</v>
      </c>
      <c r="F650" s="27">
        <v>120</v>
      </c>
      <c r="G650" s="27">
        <v>20</v>
      </c>
      <c r="H650" s="27">
        <v>12120</v>
      </c>
      <c r="I650" s="5">
        <v>1696.8</v>
      </c>
      <c r="J650" s="27">
        <v>10423.200000000001</v>
      </c>
      <c r="K650" s="27">
        <v>6060</v>
      </c>
      <c r="L650" s="5">
        <v>4363.2</v>
      </c>
      <c r="M650" s="28">
        <v>41730</v>
      </c>
      <c r="N650" s="3">
        <v>4</v>
      </c>
      <c r="O650" s="29" t="s">
        <v>41</v>
      </c>
      <c r="P650" s="3">
        <v>2014</v>
      </c>
      <c r="Q650" s="6">
        <f>New_Finance_Data[[#This Row],[ Profit ]]/New_Finance_Data[[#This Row],[  Sales ]]</f>
        <v>0.41860465116279066</v>
      </c>
      <c r="R650" t="str">
        <f>IF(New_Finance_Data[[#This Row],[  Sales ]]&gt;=100000,"High",IF(New_Finance_Data[[#This Row],[  Sales ]]&gt;=50000,"Medium","Low"))</f>
        <v>Low</v>
      </c>
      <c r="S650" t="str">
        <f>IF(OR(ISBLANK(New_Finance_Data[[#This Row],[  Sales ]]),ISBLANK(New_Finance_Data[[#This Row],[ Profit ]])),"Missing","OK")</f>
        <v>OK</v>
      </c>
      <c r="T650" t="str">
        <f>TEXT(New_Finance_Data[[#This Row],[Date]],"MMM-YYYY")</f>
        <v>Apr-2014</v>
      </c>
      <c r="U650" t="str">
        <f>IF(New_Finance_Data[[#This Row],[ Profit ]]&gt;0,"Profit","Loss")</f>
        <v>Profit</v>
      </c>
      <c r="V650" t="str">
        <f>IF(New_Finance_Data[[#This Row],[  Sales ]]&gt;=50000,"High Sales","Low Sales")</f>
        <v>Low Sales</v>
      </c>
      <c r="W650" t="b">
        <f>ISNUMBER(New_Finance_Data[[#This Row],[Date]])</f>
        <v>1</v>
      </c>
    </row>
    <row r="651" spans="1:23" x14ac:dyDescent="0.2">
      <c r="A651" t="s">
        <v>31</v>
      </c>
      <c r="B651" t="s">
        <v>35</v>
      </c>
      <c r="C651" t="s">
        <v>39</v>
      </c>
      <c r="D651" t="s">
        <v>46</v>
      </c>
      <c r="E651" s="27">
        <v>2460</v>
      </c>
      <c r="F651" s="27">
        <v>120</v>
      </c>
      <c r="G651" s="27">
        <v>300</v>
      </c>
      <c r="H651" s="27">
        <v>738000</v>
      </c>
      <c r="I651" s="5">
        <v>103320</v>
      </c>
      <c r="J651" s="27">
        <v>634680</v>
      </c>
      <c r="K651" s="27">
        <v>615000</v>
      </c>
      <c r="L651" s="5">
        <v>19680</v>
      </c>
      <c r="M651" s="28">
        <v>41821</v>
      </c>
      <c r="N651" s="3">
        <v>7</v>
      </c>
      <c r="O651" s="29" t="s">
        <v>30</v>
      </c>
      <c r="P651" s="3">
        <v>2014</v>
      </c>
      <c r="Q651" s="6">
        <f>New_Finance_Data[[#This Row],[ Profit ]]/New_Finance_Data[[#This Row],[  Sales ]]</f>
        <v>3.1007751937984496E-2</v>
      </c>
      <c r="R651" t="str">
        <f>IF(New_Finance_Data[[#This Row],[  Sales ]]&gt;=100000,"High",IF(New_Finance_Data[[#This Row],[  Sales ]]&gt;=50000,"Medium","Low"))</f>
        <v>High</v>
      </c>
      <c r="S651" t="str">
        <f>IF(OR(ISBLANK(New_Finance_Data[[#This Row],[  Sales ]]),ISBLANK(New_Finance_Data[[#This Row],[ Profit ]])),"Missing","OK")</f>
        <v>OK</v>
      </c>
      <c r="T651" t="str">
        <f>TEXT(New_Finance_Data[[#This Row],[Date]],"MMM-YYYY")</f>
        <v>Jul-2014</v>
      </c>
      <c r="U651" t="str">
        <f>IF(New_Finance_Data[[#This Row],[ Profit ]]&gt;0,"Profit","Loss")</f>
        <v>Profit</v>
      </c>
      <c r="V651" t="str">
        <f>IF(New_Finance_Data[[#This Row],[  Sales ]]&gt;=50000,"High Sales","Low Sales")</f>
        <v>High Sales</v>
      </c>
      <c r="W651" t="b">
        <f>ISNUMBER(New_Finance_Data[[#This Row],[Date]])</f>
        <v>1</v>
      </c>
    </row>
    <row r="652" spans="1:23" x14ac:dyDescent="0.2">
      <c r="A652" t="s">
        <v>31</v>
      </c>
      <c r="B652" t="s">
        <v>16</v>
      </c>
      <c r="C652" t="s">
        <v>39</v>
      </c>
      <c r="D652" t="s">
        <v>46</v>
      </c>
      <c r="E652" s="27">
        <v>269</v>
      </c>
      <c r="F652" s="27">
        <v>120</v>
      </c>
      <c r="G652" s="27">
        <v>300</v>
      </c>
      <c r="H652" s="27">
        <v>80700</v>
      </c>
      <c r="I652" s="5">
        <v>11298</v>
      </c>
      <c r="J652" s="27">
        <v>69402</v>
      </c>
      <c r="K652" s="27">
        <v>67250</v>
      </c>
      <c r="L652" s="5">
        <v>2152</v>
      </c>
      <c r="M652" s="28">
        <v>41548</v>
      </c>
      <c r="N652" s="3">
        <v>10</v>
      </c>
      <c r="O652" s="29" t="s">
        <v>34</v>
      </c>
      <c r="P652" s="3">
        <v>2013</v>
      </c>
      <c r="Q652" s="6">
        <f>New_Finance_Data[[#This Row],[ Profit ]]/New_Finance_Data[[#This Row],[  Sales ]]</f>
        <v>3.1007751937984496E-2</v>
      </c>
      <c r="R652" t="str">
        <f>IF(New_Finance_Data[[#This Row],[  Sales ]]&gt;=100000,"High",IF(New_Finance_Data[[#This Row],[  Sales ]]&gt;=50000,"Medium","Low"))</f>
        <v>Medium</v>
      </c>
      <c r="S652" t="str">
        <f>IF(OR(ISBLANK(New_Finance_Data[[#This Row],[  Sales ]]),ISBLANK(New_Finance_Data[[#This Row],[ Profit ]])),"Missing","OK")</f>
        <v>OK</v>
      </c>
      <c r="T652" t="str">
        <f>TEXT(New_Finance_Data[[#This Row],[Date]],"MMM-YYYY")</f>
        <v>Oct-2013</v>
      </c>
      <c r="U652" t="str">
        <f>IF(New_Finance_Data[[#This Row],[ Profit ]]&gt;0,"Profit","Loss")</f>
        <v>Profit</v>
      </c>
      <c r="V652" t="str">
        <f>IF(New_Finance_Data[[#This Row],[  Sales ]]&gt;=50000,"High Sales","Low Sales")</f>
        <v>High Sales</v>
      </c>
      <c r="W652" t="b">
        <f>ISNUMBER(New_Finance_Data[[#This Row],[Date]])</f>
        <v>1</v>
      </c>
    </row>
    <row r="653" spans="1:23" x14ac:dyDescent="0.2">
      <c r="A653" t="s">
        <v>31</v>
      </c>
      <c r="B653" t="s">
        <v>20</v>
      </c>
      <c r="C653" t="s">
        <v>39</v>
      </c>
      <c r="D653" t="s">
        <v>46</v>
      </c>
      <c r="E653" s="27">
        <v>2536</v>
      </c>
      <c r="F653" s="27">
        <v>120</v>
      </c>
      <c r="G653" s="27">
        <v>300</v>
      </c>
      <c r="H653" s="27">
        <v>760800</v>
      </c>
      <c r="I653" s="5">
        <v>106512</v>
      </c>
      <c r="J653" s="27">
        <v>654288</v>
      </c>
      <c r="K653" s="27">
        <v>634000</v>
      </c>
      <c r="L653" s="5">
        <v>20288</v>
      </c>
      <c r="M653" s="28">
        <v>41579</v>
      </c>
      <c r="N653" s="3">
        <v>11</v>
      </c>
      <c r="O653" s="29" t="s">
        <v>38</v>
      </c>
      <c r="P653" s="3">
        <v>2013</v>
      </c>
      <c r="Q653" s="6">
        <f>New_Finance_Data[[#This Row],[ Profit ]]/New_Finance_Data[[#This Row],[  Sales ]]</f>
        <v>3.1007751937984496E-2</v>
      </c>
      <c r="R653" t="str">
        <f>IF(New_Finance_Data[[#This Row],[  Sales ]]&gt;=100000,"High",IF(New_Finance_Data[[#This Row],[  Sales ]]&gt;=50000,"Medium","Low"))</f>
        <v>High</v>
      </c>
      <c r="S653" t="str">
        <f>IF(OR(ISBLANK(New_Finance_Data[[#This Row],[  Sales ]]),ISBLANK(New_Finance_Data[[#This Row],[ Profit ]])),"Missing","OK")</f>
        <v>OK</v>
      </c>
      <c r="T653" t="str">
        <f>TEXT(New_Finance_Data[[#This Row],[Date]],"MMM-YYYY")</f>
        <v>Nov-2013</v>
      </c>
      <c r="U653" t="str">
        <f>IF(New_Finance_Data[[#This Row],[ Profit ]]&gt;0,"Profit","Loss")</f>
        <v>Profit</v>
      </c>
      <c r="V653" t="str">
        <f>IF(New_Finance_Data[[#This Row],[  Sales ]]&gt;=50000,"High Sales","Low Sales")</f>
        <v>High Sales</v>
      </c>
      <c r="W653" t="b">
        <f>ISNUMBER(New_Finance_Data[[#This Row],[Date]])</f>
        <v>1</v>
      </c>
    </row>
    <row r="654" spans="1:23" x14ac:dyDescent="0.2">
      <c r="A654" t="s">
        <v>15</v>
      </c>
      <c r="B654" t="s">
        <v>24</v>
      </c>
      <c r="C654" t="s">
        <v>40</v>
      </c>
      <c r="D654" t="s">
        <v>46</v>
      </c>
      <c r="E654" s="27">
        <v>2903</v>
      </c>
      <c r="F654" s="27">
        <v>250</v>
      </c>
      <c r="G654" s="27">
        <v>7</v>
      </c>
      <c r="H654" s="27">
        <v>20321</v>
      </c>
      <c r="I654" s="5">
        <v>2844.94</v>
      </c>
      <c r="J654" s="27">
        <v>17476.060000000001</v>
      </c>
      <c r="K654" s="27">
        <v>14515</v>
      </c>
      <c r="L654" s="5">
        <v>2961.06</v>
      </c>
      <c r="M654" s="28">
        <v>41699</v>
      </c>
      <c r="N654" s="3">
        <v>3</v>
      </c>
      <c r="O654" s="29" t="s">
        <v>27</v>
      </c>
      <c r="P654" s="3">
        <v>2014</v>
      </c>
      <c r="Q654" s="6">
        <f>New_Finance_Data[[#This Row],[ Profit ]]/New_Finance_Data[[#This Row],[  Sales ]]</f>
        <v>0.16943521594684383</v>
      </c>
      <c r="R654" t="str">
        <f>IF(New_Finance_Data[[#This Row],[  Sales ]]&gt;=100000,"High",IF(New_Finance_Data[[#This Row],[  Sales ]]&gt;=50000,"Medium","Low"))</f>
        <v>Low</v>
      </c>
      <c r="S654" t="str">
        <f>IF(OR(ISBLANK(New_Finance_Data[[#This Row],[  Sales ]]),ISBLANK(New_Finance_Data[[#This Row],[ Profit ]])),"Missing","OK")</f>
        <v>OK</v>
      </c>
      <c r="T654" t="str">
        <f>TEXT(New_Finance_Data[[#This Row],[Date]],"MMM-YYYY")</f>
        <v>Mar-2014</v>
      </c>
      <c r="U654" t="str">
        <f>IF(New_Finance_Data[[#This Row],[ Profit ]]&gt;0,"Profit","Loss")</f>
        <v>Profit</v>
      </c>
      <c r="V654" t="str">
        <f>IF(New_Finance_Data[[#This Row],[  Sales ]]&gt;=50000,"High Sales","Low Sales")</f>
        <v>Low Sales</v>
      </c>
      <c r="W654" t="b">
        <f>ISNUMBER(New_Finance_Data[[#This Row],[Date]])</f>
        <v>1</v>
      </c>
    </row>
    <row r="655" spans="1:23" x14ac:dyDescent="0.2">
      <c r="A655" t="s">
        <v>31</v>
      </c>
      <c r="B655" t="s">
        <v>35</v>
      </c>
      <c r="C655" t="s">
        <v>40</v>
      </c>
      <c r="D655" t="s">
        <v>46</v>
      </c>
      <c r="E655" s="27">
        <v>2541</v>
      </c>
      <c r="F655" s="27">
        <v>250</v>
      </c>
      <c r="G655" s="27">
        <v>300</v>
      </c>
      <c r="H655" s="27">
        <v>762300</v>
      </c>
      <c r="I655" s="5">
        <v>106722</v>
      </c>
      <c r="J655" s="27">
        <v>655578</v>
      </c>
      <c r="K655" s="27">
        <v>635250</v>
      </c>
      <c r="L655" s="5">
        <v>20328</v>
      </c>
      <c r="M655" s="28">
        <v>41852</v>
      </c>
      <c r="N655" s="3">
        <v>8</v>
      </c>
      <c r="O655" s="29" t="s">
        <v>32</v>
      </c>
      <c r="P655" s="3">
        <v>2014</v>
      </c>
      <c r="Q655" s="6">
        <f>New_Finance_Data[[#This Row],[ Profit ]]/New_Finance_Data[[#This Row],[  Sales ]]</f>
        <v>3.1007751937984496E-2</v>
      </c>
      <c r="R655" t="str">
        <f>IF(New_Finance_Data[[#This Row],[  Sales ]]&gt;=100000,"High",IF(New_Finance_Data[[#This Row],[  Sales ]]&gt;=50000,"Medium","Low"))</f>
        <v>High</v>
      </c>
      <c r="S655" t="str">
        <f>IF(OR(ISBLANK(New_Finance_Data[[#This Row],[  Sales ]]),ISBLANK(New_Finance_Data[[#This Row],[ Profit ]])),"Missing","OK")</f>
        <v>OK</v>
      </c>
      <c r="T655" t="str">
        <f>TEXT(New_Finance_Data[[#This Row],[Date]],"MMM-YYYY")</f>
        <v>Aug-2014</v>
      </c>
      <c r="U655" t="str">
        <f>IF(New_Finance_Data[[#This Row],[ Profit ]]&gt;0,"Profit","Loss")</f>
        <v>Profit</v>
      </c>
      <c r="V655" t="str">
        <f>IF(New_Finance_Data[[#This Row],[  Sales ]]&gt;=50000,"High Sales","Low Sales")</f>
        <v>High Sales</v>
      </c>
      <c r="W655" t="b">
        <f>ISNUMBER(New_Finance_Data[[#This Row],[Date]])</f>
        <v>1</v>
      </c>
    </row>
    <row r="656" spans="1:23" x14ac:dyDescent="0.2">
      <c r="A656" t="s">
        <v>31</v>
      </c>
      <c r="B656" t="s">
        <v>16</v>
      </c>
      <c r="C656" t="s">
        <v>40</v>
      </c>
      <c r="D656" t="s">
        <v>46</v>
      </c>
      <c r="E656" s="27">
        <v>269</v>
      </c>
      <c r="F656" s="27">
        <v>250</v>
      </c>
      <c r="G656" s="27">
        <v>300</v>
      </c>
      <c r="H656" s="27">
        <v>80700</v>
      </c>
      <c r="I656" s="5">
        <v>11298</v>
      </c>
      <c r="J656" s="27">
        <v>69402</v>
      </c>
      <c r="K656" s="27">
        <v>67250</v>
      </c>
      <c r="L656" s="5">
        <v>2152</v>
      </c>
      <c r="M656" s="28">
        <v>41548</v>
      </c>
      <c r="N656" s="3">
        <v>10</v>
      </c>
      <c r="O656" s="29" t="s">
        <v>34</v>
      </c>
      <c r="P656" s="3">
        <v>2013</v>
      </c>
      <c r="Q656" s="6">
        <f>New_Finance_Data[[#This Row],[ Profit ]]/New_Finance_Data[[#This Row],[  Sales ]]</f>
        <v>3.1007751937984496E-2</v>
      </c>
      <c r="R656" t="str">
        <f>IF(New_Finance_Data[[#This Row],[  Sales ]]&gt;=100000,"High",IF(New_Finance_Data[[#This Row],[  Sales ]]&gt;=50000,"Medium","Low"))</f>
        <v>Medium</v>
      </c>
      <c r="S656" t="str">
        <f>IF(OR(ISBLANK(New_Finance_Data[[#This Row],[  Sales ]]),ISBLANK(New_Finance_Data[[#This Row],[ Profit ]])),"Missing","OK")</f>
        <v>OK</v>
      </c>
      <c r="T656" t="str">
        <f>TEXT(New_Finance_Data[[#This Row],[Date]],"MMM-YYYY")</f>
        <v>Oct-2013</v>
      </c>
      <c r="U656" t="str">
        <f>IF(New_Finance_Data[[#This Row],[ Profit ]]&gt;0,"Profit","Loss")</f>
        <v>Profit</v>
      </c>
      <c r="V656" t="str">
        <f>IF(New_Finance_Data[[#This Row],[  Sales ]]&gt;=50000,"High Sales","Low Sales")</f>
        <v>High Sales</v>
      </c>
      <c r="W656" t="b">
        <f>ISNUMBER(New_Finance_Data[[#This Row],[Date]])</f>
        <v>1</v>
      </c>
    </row>
    <row r="657" spans="1:23" x14ac:dyDescent="0.2">
      <c r="A657" t="s">
        <v>31</v>
      </c>
      <c r="B657" t="s">
        <v>16</v>
      </c>
      <c r="C657" t="s">
        <v>40</v>
      </c>
      <c r="D657" t="s">
        <v>46</v>
      </c>
      <c r="E657" s="27">
        <v>1496</v>
      </c>
      <c r="F657" s="27">
        <v>250</v>
      </c>
      <c r="G657" s="27">
        <v>300</v>
      </c>
      <c r="H657" s="27">
        <v>448800</v>
      </c>
      <c r="I657" s="5">
        <v>62832</v>
      </c>
      <c r="J657" s="27">
        <v>385968</v>
      </c>
      <c r="K657" s="27">
        <v>374000</v>
      </c>
      <c r="L657" s="5">
        <v>11968</v>
      </c>
      <c r="M657" s="28">
        <v>41913</v>
      </c>
      <c r="N657" s="3">
        <v>10</v>
      </c>
      <c r="O657" s="29" t="s">
        <v>34</v>
      </c>
      <c r="P657" s="3">
        <v>2014</v>
      </c>
      <c r="Q657" s="6">
        <f>New_Finance_Data[[#This Row],[ Profit ]]/New_Finance_Data[[#This Row],[  Sales ]]</f>
        <v>3.1007751937984496E-2</v>
      </c>
      <c r="R657" t="str">
        <f>IF(New_Finance_Data[[#This Row],[  Sales ]]&gt;=100000,"High",IF(New_Finance_Data[[#This Row],[  Sales ]]&gt;=50000,"Medium","Low"))</f>
        <v>High</v>
      </c>
      <c r="S657" t="str">
        <f>IF(OR(ISBLANK(New_Finance_Data[[#This Row],[  Sales ]]),ISBLANK(New_Finance_Data[[#This Row],[ Profit ]])),"Missing","OK")</f>
        <v>OK</v>
      </c>
      <c r="T657" t="str">
        <f>TEXT(New_Finance_Data[[#This Row],[Date]],"MMM-YYYY")</f>
        <v>Oct-2014</v>
      </c>
      <c r="U657" t="str">
        <f>IF(New_Finance_Data[[#This Row],[ Profit ]]&gt;0,"Profit","Loss")</f>
        <v>Profit</v>
      </c>
      <c r="V657" t="str">
        <f>IF(New_Finance_Data[[#This Row],[  Sales ]]&gt;=50000,"High Sales","Low Sales")</f>
        <v>High Sales</v>
      </c>
      <c r="W657" t="b">
        <f>ISNUMBER(New_Finance_Data[[#This Row],[Date]])</f>
        <v>1</v>
      </c>
    </row>
    <row r="658" spans="1:23" x14ac:dyDescent="0.2">
      <c r="A658" t="s">
        <v>31</v>
      </c>
      <c r="B658" t="s">
        <v>35</v>
      </c>
      <c r="C658" t="s">
        <v>40</v>
      </c>
      <c r="D658" t="s">
        <v>46</v>
      </c>
      <c r="E658" s="27">
        <v>1010</v>
      </c>
      <c r="F658" s="27">
        <v>250</v>
      </c>
      <c r="G658" s="27">
        <v>300</v>
      </c>
      <c r="H658" s="27">
        <v>303000</v>
      </c>
      <c r="I658" s="5">
        <v>42420</v>
      </c>
      <c r="J658" s="27">
        <v>260580</v>
      </c>
      <c r="K658" s="27">
        <v>252500</v>
      </c>
      <c r="L658" s="5">
        <v>8080</v>
      </c>
      <c r="M658" s="28">
        <v>41913</v>
      </c>
      <c r="N658" s="3">
        <v>10</v>
      </c>
      <c r="O658" s="29" t="s">
        <v>34</v>
      </c>
      <c r="P658" s="3">
        <v>2014</v>
      </c>
      <c r="Q658" s="6">
        <f>New_Finance_Data[[#This Row],[ Profit ]]/New_Finance_Data[[#This Row],[  Sales ]]</f>
        <v>3.1007751937984496E-2</v>
      </c>
      <c r="R658" t="str">
        <f>IF(New_Finance_Data[[#This Row],[  Sales ]]&gt;=100000,"High",IF(New_Finance_Data[[#This Row],[  Sales ]]&gt;=50000,"Medium","Low"))</f>
        <v>High</v>
      </c>
      <c r="S658" t="str">
        <f>IF(OR(ISBLANK(New_Finance_Data[[#This Row],[  Sales ]]),ISBLANK(New_Finance_Data[[#This Row],[ Profit ]])),"Missing","OK")</f>
        <v>OK</v>
      </c>
      <c r="T658" t="str">
        <f>TEXT(New_Finance_Data[[#This Row],[Date]],"MMM-YYYY")</f>
        <v>Oct-2014</v>
      </c>
      <c r="U658" t="str">
        <f>IF(New_Finance_Data[[#This Row],[ Profit ]]&gt;0,"Profit","Loss")</f>
        <v>Profit</v>
      </c>
      <c r="V658" t="str">
        <f>IF(New_Finance_Data[[#This Row],[  Sales ]]&gt;=50000,"High Sales","Low Sales")</f>
        <v>High Sales</v>
      </c>
      <c r="W658" t="b">
        <f>ISNUMBER(New_Finance_Data[[#This Row],[Date]])</f>
        <v>1</v>
      </c>
    </row>
    <row r="659" spans="1:23" x14ac:dyDescent="0.2">
      <c r="A659" t="s">
        <v>15</v>
      </c>
      <c r="B659" t="s">
        <v>22</v>
      </c>
      <c r="C659" t="s">
        <v>40</v>
      </c>
      <c r="D659" t="s">
        <v>46</v>
      </c>
      <c r="E659" s="27">
        <v>1281</v>
      </c>
      <c r="F659" s="27">
        <v>250</v>
      </c>
      <c r="G659" s="27">
        <v>350</v>
      </c>
      <c r="H659" s="27">
        <v>448350</v>
      </c>
      <c r="I659" s="5">
        <v>62769</v>
      </c>
      <c r="J659" s="27">
        <v>385581</v>
      </c>
      <c r="K659" s="27">
        <v>333060</v>
      </c>
      <c r="L659" s="5">
        <v>52521</v>
      </c>
      <c r="M659" s="28">
        <v>41609</v>
      </c>
      <c r="N659" s="3">
        <v>12</v>
      </c>
      <c r="O659" s="29" t="s">
        <v>25</v>
      </c>
      <c r="P659" s="3">
        <v>2013</v>
      </c>
      <c r="Q659" s="6">
        <f>New_Finance_Data[[#This Row],[ Profit ]]/New_Finance_Data[[#This Row],[  Sales ]]</f>
        <v>0.13621262458471761</v>
      </c>
      <c r="R659" t="str">
        <f>IF(New_Finance_Data[[#This Row],[  Sales ]]&gt;=100000,"High",IF(New_Finance_Data[[#This Row],[  Sales ]]&gt;=50000,"Medium","Low"))</f>
        <v>High</v>
      </c>
      <c r="S659" t="str">
        <f>IF(OR(ISBLANK(New_Finance_Data[[#This Row],[  Sales ]]),ISBLANK(New_Finance_Data[[#This Row],[ Profit ]])),"Missing","OK")</f>
        <v>OK</v>
      </c>
      <c r="T659" t="str">
        <f>TEXT(New_Finance_Data[[#This Row],[Date]],"MMM-YYYY")</f>
        <v>Dec-2013</v>
      </c>
      <c r="U659" t="str">
        <f>IF(New_Finance_Data[[#This Row],[ Profit ]]&gt;0,"Profit","Loss")</f>
        <v>Profit</v>
      </c>
      <c r="V659" t="str">
        <f>IF(New_Finance_Data[[#This Row],[  Sales ]]&gt;=50000,"High Sales","Low Sales")</f>
        <v>High Sales</v>
      </c>
      <c r="W659" t="b">
        <f>ISNUMBER(New_Finance_Data[[#This Row],[Date]])</f>
        <v>1</v>
      </c>
    </row>
    <row r="660" spans="1:23" x14ac:dyDescent="0.2">
      <c r="A660" t="s">
        <v>31</v>
      </c>
      <c r="B660" t="s">
        <v>16</v>
      </c>
      <c r="C660" t="s">
        <v>42</v>
      </c>
      <c r="D660" t="s">
        <v>46</v>
      </c>
      <c r="E660" s="27">
        <v>888</v>
      </c>
      <c r="F660" s="27">
        <v>260</v>
      </c>
      <c r="G660" s="27">
        <v>300</v>
      </c>
      <c r="H660" s="27">
        <v>266400</v>
      </c>
      <c r="I660" s="5">
        <v>37296</v>
      </c>
      <c r="J660" s="27">
        <v>229104</v>
      </c>
      <c r="K660" s="27">
        <v>222000</v>
      </c>
      <c r="L660" s="5">
        <v>7104</v>
      </c>
      <c r="M660" s="28">
        <v>41699</v>
      </c>
      <c r="N660" s="3">
        <v>3</v>
      </c>
      <c r="O660" s="29" t="s">
        <v>27</v>
      </c>
      <c r="P660" s="3">
        <v>2014</v>
      </c>
      <c r="Q660" s="6">
        <f>New_Finance_Data[[#This Row],[ Profit ]]/New_Finance_Data[[#This Row],[  Sales ]]</f>
        <v>3.1007751937984496E-2</v>
      </c>
      <c r="R660" t="str">
        <f>IF(New_Finance_Data[[#This Row],[  Sales ]]&gt;=100000,"High",IF(New_Finance_Data[[#This Row],[  Sales ]]&gt;=50000,"Medium","Low"))</f>
        <v>High</v>
      </c>
      <c r="S660" t="str">
        <f>IF(OR(ISBLANK(New_Finance_Data[[#This Row],[  Sales ]]),ISBLANK(New_Finance_Data[[#This Row],[ Profit ]])),"Missing","OK")</f>
        <v>OK</v>
      </c>
      <c r="T660" t="str">
        <f>TEXT(New_Finance_Data[[#This Row],[Date]],"MMM-YYYY")</f>
        <v>Mar-2014</v>
      </c>
      <c r="U660" t="str">
        <f>IF(New_Finance_Data[[#This Row],[ Profit ]]&gt;0,"Profit","Loss")</f>
        <v>Profit</v>
      </c>
      <c r="V660" t="str">
        <f>IF(New_Finance_Data[[#This Row],[  Sales ]]&gt;=50000,"High Sales","Low Sales")</f>
        <v>High Sales</v>
      </c>
      <c r="W660" t="b">
        <f>ISNUMBER(New_Finance_Data[[#This Row],[Date]])</f>
        <v>1</v>
      </c>
    </row>
    <row r="661" spans="1:23" x14ac:dyDescent="0.2">
      <c r="A661" t="s">
        <v>29</v>
      </c>
      <c r="B661" t="s">
        <v>35</v>
      </c>
      <c r="C661" t="s">
        <v>42</v>
      </c>
      <c r="D661" t="s">
        <v>46</v>
      </c>
      <c r="E661" s="27">
        <v>2844</v>
      </c>
      <c r="F661" s="27">
        <v>260</v>
      </c>
      <c r="G661" s="27">
        <v>125</v>
      </c>
      <c r="H661" s="27">
        <v>355500</v>
      </c>
      <c r="I661" s="5">
        <v>49770</v>
      </c>
      <c r="J661" s="27">
        <v>305730</v>
      </c>
      <c r="K661" s="27">
        <v>341280</v>
      </c>
      <c r="L661" s="5">
        <v>-35550</v>
      </c>
      <c r="M661" s="28">
        <v>41760</v>
      </c>
      <c r="N661" s="3">
        <v>5</v>
      </c>
      <c r="O661" s="29" t="s">
        <v>44</v>
      </c>
      <c r="P661" s="3">
        <v>2014</v>
      </c>
      <c r="Q661" s="6">
        <f>New_Finance_Data[[#This Row],[ Profit ]]/New_Finance_Data[[#This Row],[  Sales ]]</f>
        <v>-0.11627906976744186</v>
      </c>
      <c r="R661" t="str">
        <f>IF(New_Finance_Data[[#This Row],[  Sales ]]&gt;=100000,"High",IF(New_Finance_Data[[#This Row],[  Sales ]]&gt;=50000,"Medium","Low"))</f>
        <v>High</v>
      </c>
      <c r="S661" t="str">
        <f>IF(OR(ISBLANK(New_Finance_Data[[#This Row],[  Sales ]]),ISBLANK(New_Finance_Data[[#This Row],[ Profit ]])),"Missing","OK")</f>
        <v>OK</v>
      </c>
      <c r="T661" t="str">
        <f>TEXT(New_Finance_Data[[#This Row],[Date]],"MMM-YYYY")</f>
        <v>May-2014</v>
      </c>
      <c r="U661" t="str">
        <f>IF(New_Finance_Data[[#This Row],[ Profit ]]&gt;0,"Profit","Loss")</f>
        <v>Loss</v>
      </c>
      <c r="V661" t="str">
        <f>IF(New_Finance_Data[[#This Row],[  Sales ]]&gt;=50000,"High Sales","Low Sales")</f>
        <v>High Sales</v>
      </c>
      <c r="W661" t="b">
        <f>ISNUMBER(New_Finance_Data[[#This Row],[Date]])</f>
        <v>1</v>
      </c>
    </row>
    <row r="662" spans="1:23" x14ac:dyDescent="0.2">
      <c r="A662" t="s">
        <v>28</v>
      </c>
      <c r="B662" t="s">
        <v>22</v>
      </c>
      <c r="C662" t="s">
        <v>42</v>
      </c>
      <c r="D662" t="s">
        <v>46</v>
      </c>
      <c r="E662" s="27">
        <v>2475</v>
      </c>
      <c r="F662" s="27">
        <v>260</v>
      </c>
      <c r="G662" s="27">
        <v>12</v>
      </c>
      <c r="H662" s="27">
        <v>29700</v>
      </c>
      <c r="I662" s="5">
        <v>4158</v>
      </c>
      <c r="J662" s="27">
        <v>25542</v>
      </c>
      <c r="K662" s="27">
        <v>7425</v>
      </c>
      <c r="L662" s="5">
        <v>18117</v>
      </c>
      <c r="M662" s="28">
        <v>41852</v>
      </c>
      <c r="N662" s="3">
        <v>8</v>
      </c>
      <c r="O662" s="29" t="s">
        <v>32</v>
      </c>
      <c r="P662" s="3">
        <v>2014</v>
      </c>
      <c r="Q662" s="6">
        <f>New_Finance_Data[[#This Row],[ Profit ]]/New_Finance_Data[[#This Row],[  Sales ]]</f>
        <v>0.70930232558139539</v>
      </c>
      <c r="R662" t="str">
        <f>IF(New_Finance_Data[[#This Row],[  Sales ]]&gt;=100000,"High",IF(New_Finance_Data[[#This Row],[  Sales ]]&gt;=50000,"Medium","Low"))</f>
        <v>Low</v>
      </c>
      <c r="S662" t="str">
        <f>IF(OR(ISBLANK(New_Finance_Data[[#This Row],[  Sales ]]),ISBLANK(New_Finance_Data[[#This Row],[ Profit ]])),"Missing","OK")</f>
        <v>OK</v>
      </c>
      <c r="T662" t="str">
        <f>TEXT(New_Finance_Data[[#This Row],[Date]],"MMM-YYYY")</f>
        <v>Aug-2014</v>
      </c>
      <c r="U662" t="str">
        <f>IF(New_Finance_Data[[#This Row],[ Profit ]]&gt;0,"Profit","Loss")</f>
        <v>Profit</v>
      </c>
      <c r="V662" t="str">
        <f>IF(New_Finance_Data[[#This Row],[  Sales ]]&gt;=50000,"High Sales","Low Sales")</f>
        <v>Low Sales</v>
      </c>
      <c r="W662" t="b">
        <f>ISNUMBER(New_Finance_Data[[#This Row],[Date]])</f>
        <v>1</v>
      </c>
    </row>
    <row r="663" spans="1:23" x14ac:dyDescent="0.2">
      <c r="A663" t="s">
        <v>21</v>
      </c>
      <c r="B663" t="s">
        <v>16</v>
      </c>
      <c r="C663" t="s">
        <v>42</v>
      </c>
      <c r="D663" t="s">
        <v>46</v>
      </c>
      <c r="E663" s="27">
        <v>1743</v>
      </c>
      <c r="F663" s="27">
        <v>260</v>
      </c>
      <c r="G663" s="27">
        <v>15</v>
      </c>
      <c r="H663" s="27">
        <v>26145</v>
      </c>
      <c r="I663" s="5">
        <v>3660.3</v>
      </c>
      <c r="J663" s="27">
        <v>22484.7</v>
      </c>
      <c r="K663" s="27">
        <v>17430</v>
      </c>
      <c r="L663" s="5">
        <v>5054.7</v>
      </c>
      <c r="M663" s="28">
        <v>41548</v>
      </c>
      <c r="N663" s="3">
        <v>10</v>
      </c>
      <c r="O663" s="29" t="s">
        <v>34</v>
      </c>
      <c r="P663" s="3">
        <v>2013</v>
      </c>
      <c r="Q663" s="6">
        <f>New_Finance_Data[[#This Row],[ Profit ]]/New_Finance_Data[[#This Row],[  Sales ]]</f>
        <v>0.22480620155038758</v>
      </c>
      <c r="R663" t="str">
        <f>IF(New_Finance_Data[[#This Row],[  Sales ]]&gt;=100000,"High",IF(New_Finance_Data[[#This Row],[  Sales ]]&gt;=50000,"Medium","Low"))</f>
        <v>Low</v>
      </c>
      <c r="S663" t="str">
        <f>IF(OR(ISBLANK(New_Finance_Data[[#This Row],[  Sales ]]),ISBLANK(New_Finance_Data[[#This Row],[ Profit ]])),"Missing","OK")</f>
        <v>OK</v>
      </c>
      <c r="T663" t="str">
        <f>TEXT(New_Finance_Data[[#This Row],[Date]],"MMM-YYYY")</f>
        <v>Oct-2013</v>
      </c>
      <c r="U663" t="str">
        <f>IF(New_Finance_Data[[#This Row],[ Profit ]]&gt;0,"Profit","Loss")</f>
        <v>Profit</v>
      </c>
      <c r="V663" t="str">
        <f>IF(New_Finance_Data[[#This Row],[  Sales ]]&gt;=50000,"High Sales","Low Sales")</f>
        <v>Low Sales</v>
      </c>
      <c r="W663" t="b">
        <f>ISNUMBER(New_Finance_Data[[#This Row],[Date]])</f>
        <v>1</v>
      </c>
    </row>
    <row r="664" spans="1:23" x14ac:dyDescent="0.2">
      <c r="A664" t="s">
        <v>28</v>
      </c>
      <c r="B664" t="s">
        <v>35</v>
      </c>
      <c r="C664" t="s">
        <v>42</v>
      </c>
      <c r="D664" t="s">
        <v>46</v>
      </c>
      <c r="E664" s="27">
        <v>2914</v>
      </c>
      <c r="F664" s="27">
        <v>260</v>
      </c>
      <c r="G664" s="27">
        <v>12</v>
      </c>
      <c r="H664" s="27">
        <v>34968</v>
      </c>
      <c r="I664" s="5">
        <v>4895.5200000000004</v>
      </c>
      <c r="J664" s="27">
        <v>30072.48</v>
      </c>
      <c r="K664" s="27">
        <v>8742</v>
      </c>
      <c r="L664" s="5">
        <v>21330.48</v>
      </c>
      <c r="M664" s="28">
        <v>41913</v>
      </c>
      <c r="N664" s="3">
        <v>10</v>
      </c>
      <c r="O664" s="29" t="s">
        <v>34</v>
      </c>
      <c r="P664" s="3">
        <v>2014</v>
      </c>
      <c r="Q664" s="6">
        <f>New_Finance_Data[[#This Row],[ Profit ]]/New_Finance_Data[[#This Row],[  Sales ]]</f>
        <v>0.70930232558139539</v>
      </c>
      <c r="R664" t="str">
        <f>IF(New_Finance_Data[[#This Row],[  Sales ]]&gt;=100000,"High",IF(New_Finance_Data[[#This Row],[  Sales ]]&gt;=50000,"Medium","Low"))</f>
        <v>Low</v>
      </c>
      <c r="S664" t="str">
        <f>IF(OR(ISBLANK(New_Finance_Data[[#This Row],[  Sales ]]),ISBLANK(New_Finance_Data[[#This Row],[ Profit ]])),"Missing","OK")</f>
        <v>OK</v>
      </c>
      <c r="T664" t="str">
        <f>TEXT(New_Finance_Data[[#This Row],[Date]],"MMM-YYYY")</f>
        <v>Oct-2014</v>
      </c>
      <c r="U664" t="str">
        <f>IF(New_Finance_Data[[#This Row],[ Profit ]]&gt;0,"Profit","Loss")</f>
        <v>Profit</v>
      </c>
      <c r="V664" t="str">
        <f>IF(New_Finance_Data[[#This Row],[  Sales ]]&gt;=50000,"High Sales","Low Sales")</f>
        <v>Low Sales</v>
      </c>
      <c r="W664" t="b">
        <f>ISNUMBER(New_Finance_Data[[#This Row],[Date]])</f>
        <v>1</v>
      </c>
    </row>
    <row r="665" spans="1:23" x14ac:dyDescent="0.2">
      <c r="A665" t="s">
        <v>15</v>
      </c>
      <c r="B665" t="s">
        <v>22</v>
      </c>
      <c r="C665" t="s">
        <v>42</v>
      </c>
      <c r="D665" t="s">
        <v>46</v>
      </c>
      <c r="E665" s="27">
        <v>1731</v>
      </c>
      <c r="F665" s="27">
        <v>260</v>
      </c>
      <c r="G665" s="27">
        <v>7</v>
      </c>
      <c r="H665" s="27">
        <v>12117</v>
      </c>
      <c r="I665" s="5">
        <v>1696.38</v>
      </c>
      <c r="J665" s="27">
        <v>10420.620000000001</v>
      </c>
      <c r="K665" s="27">
        <v>8655</v>
      </c>
      <c r="L665" s="5">
        <v>1765.62</v>
      </c>
      <c r="M665" s="28">
        <v>41913</v>
      </c>
      <c r="N665" s="3">
        <v>10</v>
      </c>
      <c r="O665" s="29" t="s">
        <v>34</v>
      </c>
      <c r="P665" s="3">
        <v>2014</v>
      </c>
      <c r="Q665" s="6">
        <f>New_Finance_Data[[#This Row],[ Profit ]]/New_Finance_Data[[#This Row],[  Sales ]]</f>
        <v>0.16943521594684383</v>
      </c>
      <c r="R665" t="str">
        <f>IF(New_Finance_Data[[#This Row],[  Sales ]]&gt;=100000,"High",IF(New_Finance_Data[[#This Row],[  Sales ]]&gt;=50000,"Medium","Low"))</f>
        <v>Low</v>
      </c>
      <c r="S665" t="str">
        <f>IF(OR(ISBLANK(New_Finance_Data[[#This Row],[  Sales ]]),ISBLANK(New_Finance_Data[[#This Row],[ Profit ]])),"Missing","OK")</f>
        <v>OK</v>
      </c>
      <c r="T665" t="str">
        <f>TEXT(New_Finance_Data[[#This Row],[Date]],"MMM-YYYY")</f>
        <v>Oct-2014</v>
      </c>
      <c r="U665" t="str">
        <f>IF(New_Finance_Data[[#This Row],[ Profit ]]&gt;0,"Profit","Loss")</f>
        <v>Profit</v>
      </c>
      <c r="V665" t="str">
        <f>IF(New_Finance_Data[[#This Row],[  Sales ]]&gt;=50000,"High Sales","Low Sales")</f>
        <v>Low Sales</v>
      </c>
      <c r="W665" t="b">
        <f>ISNUMBER(New_Finance_Data[[#This Row],[Date]])</f>
        <v>1</v>
      </c>
    </row>
    <row r="666" spans="1:23" x14ac:dyDescent="0.2">
      <c r="A666" t="s">
        <v>15</v>
      </c>
      <c r="B666" t="s">
        <v>24</v>
      </c>
      <c r="C666" t="s">
        <v>42</v>
      </c>
      <c r="D666" t="s">
        <v>46</v>
      </c>
      <c r="E666" s="27">
        <v>1727</v>
      </c>
      <c r="F666" s="27">
        <v>260</v>
      </c>
      <c r="G666" s="27">
        <v>7</v>
      </c>
      <c r="H666" s="27">
        <v>12089</v>
      </c>
      <c r="I666" s="5">
        <v>1692.46</v>
      </c>
      <c r="J666" s="27">
        <v>10396.540000000001</v>
      </c>
      <c r="K666" s="27">
        <v>8635</v>
      </c>
      <c r="L666" s="5">
        <v>1761.54</v>
      </c>
      <c r="M666" s="28">
        <v>41548</v>
      </c>
      <c r="N666" s="3">
        <v>10</v>
      </c>
      <c r="O666" s="29" t="s">
        <v>34</v>
      </c>
      <c r="P666" s="3">
        <v>2013</v>
      </c>
      <c r="Q666" s="6">
        <f>New_Finance_Data[[#This Row],[ Profit ]]/New_Finance_Data[[#This Row],[  Sales ]]</f>
        <v>0.16943521594684383</v>
      </c>
      <c r="R666" t="str">
        <f>IF(New_Finance_Data[[#This Row],[  Sales ]]&gt;=100000,"High",IF(New_Finance_Data[[#This Row],[  Sales ]]&gt;=50000,"Medium","Low"))</f>
        <v>Low</v>
      </c>
      <c r="S666" t="str">
        <f>IF(OR(ISBLANK(New_Finance_Data[[#This Row],[  Sales ]]),ISBLANK(New_Finance_Data[[#This Row],[ Profit ]])),"Missing","OK")</f>
        <v>OK</v>
      </c>
      <c r="T666" t="str">
        <f>TEXT(New_Finance_Data[[#This Row],[Date]],"MMM-YYYY")</f>
        <v>Oct-2013</v>
      </c>
      <c r="U666" t="str">
        <f>IF(New_Finance_Data[[#This Row],[ Profit ]]&gt;0,"Profit","Loss")</f>
        <v>Profit</v>
      </c>
      <c r="V666" t="str">
        <f>IF(New_Finance_Data[[#This Row],[  Sales ]]&gt;=50000,"High Sales","Low Sales")</f>
        <v>Low Sales</v>
      </c>
      <c r="W666" t="b">
        <f>ISNUMBER(New_Finance_Data[[#This Row],[Date]])</f>
        <v>1</v>
      </c>
    </row>
    <row r="667" spans="1:23" x14ac:dyDescent="0.2">
      <c r="A667" t="s">
        <v>21</v>
      </c>
      <c r="B667" t="s">
        <v>24</v>
      </c>
      <c r="C667" t="s">
        <v>42</v>
      </c>
      <c r="D667" t="s">
        <v>46</v>
      </c>
      <c r="E667" s="27">
        <v>1870</v>
      </c>
      <c r="F667" s="27">
        <v>260</v>
      </c>
      <c r="G667" s="27">
        <v>15</v>
      </c>
      <c r="H667" s="27">
        <v>28050</v>
      </c>
      <c r="I667" s="5">
        <v>3927</v>
      </c>
      <c r="J667" s="27">
        <v>24123</v>
      </c>
      <c r="K667" s="27">
        <v>18700</v>
      </c>
      <c r="L667" s="5">
        <v>5423</v>
      </c>
      <c r="M667" s="28">
        <v>41579</v>
      </c>
      <c r="N667" s="3">
        <v>11</v>
      </c>
      <c r="O667" s="29" t="s">
        <v>38</v>
      </c>
      <c r="P667" s="3">
        <v>2013</v>
      </c>
      <c r="Q667" s="6">
        <f>New_Finance_Data[[#This Row],[ Profit ]]/New_Finance_Data[[#This Row],[  Sales ]]</f>
        <v>0.22480620155038761</v>
      </c>
      <c r="R667" t="str">
        <f>IF(New_Finance_Data[[#This Row],[  Sales ]]&gt;=100000,"High",IF(New_Finance_Data[[#This Row],[  Sales ]]&gt;=50000,"Medium","Low"))</f>
        <v>Low</v>
      </c>
      <c r="S667" t="str">
        <f>IF(OR(ISBLANK(New_Finance_Data[[#This Row],[  Sales ]]),ISBLANK(New_Finance_Data[[#This Row],[ Profit ]])),"Missing","OK")</f>
        <v>OK</v>
      </c>
      <c r="T667" t="str">
        <f>TEXT(New_Finance_Data[[#This Row],[Date]],"MMM-YYYY")</f>
        <v>Nov-2013</v>
      </c>
      <c r="U667" t="str">
        <f>IF(New_Finance_Data[[#This Row],[ Profit ]]&gt;0,"Profit","Loss")</f>
        <v>Profit</v>
      </c>
      <c r="V667" t="str">
        <f>IF(New_Finance_Data[[#This Row],[  Sales ]]&gt;=50000,"High Sales","Low Sales")</f>
        <v>Low Sales</v>
      </c>
      <c r="W667" t="b">
        <f>ISNUMBER(New_Finance_Data[[#This Row],[Date]])</f>
        <v>1</v>
      </c>
    </row>
    <row r="668" spans="1:23" x14ac:dyDescent="0.2">
      <c r="A668" t="s">
        <v>29</v>
      </c>
      <c r="B668" t="s">
        <v>22</v>
      </c>
      <c r="C668" t="s">
        <v>17</v>
      </c>
      <c r="D668" t="s">
        <v>46</v>
      </c>
      <c r="E668" s="27">
        <v>1174</v>
      </c>
      <c r="F668" s="27">
        <v>3</v>
      </c>
      <c r="G668" s="27">
        <v>125</v>
      </c>
      <c r="H668" s="27">
        <v>146750</v>
      </c>
      <c r="I668" s="5">
        <v>22012.5</v>
      </c>
      <c r="J668" s="27">
        <v>124737.5</v>
      </c>
      <c r="K668" s="27">
        <v>140880</v>
      </c>
      <c r="L668" s="5">
        <v>-16142.5</v>
      </c>
      <c r="M668" s="28">
        <v>41852</v>
      </c>
      <c r="N668" s="3">
        <v>8</v>
      </c>
      <c r="O668" s="29" t="s">
        <v>32</v>
      </c>
      <c r="P668" s="3">
        <v>2014</v>
      </c>
      <c r="Q668" s="6">
        <f>New_Finance_Data[[#This Row],[ Profit ]]/New_Finance_Data[[#This Row],[  Sales ]]</f>
        <v>-0.12941176470588237</v>
      </c>
      <c r="R668" t="str">
        <f>IF(New_Finance_Data[[#This Row],[  Sales ]]&gt;=100000,"High",IF(New_Finance_Data[[#This Row],[  Sales ]]&gt;=50000,"Medium","Low"))</f>
        <v>High</v>
      </c>
      <c r="S668" t="str">
        <f>IF(OR(ISBLANK(New_Finance_Data[[#This Row],[  Sales ]]),ISBLANK(New_Finance_Data[[#This Row],[ Profit ]])),"Missing","OK")</f>
        <v>OK</v>
      </c>
      <c r="T668" t="str">
        <f>TEXT(New_Finance_Data[[#This Row],[Date]],"MMM-YYYY")</f>
        <v>Aug-2014</v>
      </c>
      <c r="U668" t="str">
        <f>IF(New_Finance_Data[[#This Row],[ Profit ]]&gt;0,"Profit","Loss")</f>
        <v>Loss</v>
      </c>
      <c r="V668" t="str">
        <f>IF(New_Finance_Data[[#This Row],[  Sales ]]&gt;=50000,"High Sales","Low Sales")</f>
        <v>High Sales</v>
      </c>
      <c r="W668" t="b">
        <f>ISNUMBER(New_Finance_Data[[#This Row],[Date]])</f>
        <v>1</v>
      </c>
    </row>
    <row r="669" spans="1:23" x14ac:dyDescent="0.2">
      <c r="A669" t="s">
        <v>29</v>
      </c>
      <c r="B669" t="s">
        <v>20</v>
      </c>
      <c r="C669" t="s">
        <v>17</v>
      </c>
      <c r="D669" t="s">
        <v>46</v>
      </c>
      <c r="E669" s="27">
        <v>2767</v>
      </c>
      <c r="F669" s="27">
        <v>3</v>
      </c>
      <c r="G669" s="27">
        <v>125</v>
      </c>
      <c r="H669" s="27">
        <v>345875</v>
      </c>
      <c r="I669" s="5">
        <v>51881.25</v>
      </c>
      <c r="J669" s="27">
        <v>293993.75</v>
      </c>
      <c r="K669" s="27">
        <v>332040</v>
      </c>
      <c r="L669" s="5">
        <v>-38046.25</v>
      </c>
      <c r="M669" s="28">
        <v>41852</v>
      </c>
      <c r="N669" s="3">
        <v>8</v>
      </c>
      <c r="O669" s="29" t="s">
        <v>32</v>
      </c>
      <c r="P669" s="3">
        <v>2014</v>
      </c>
      <c r="Q669" s="6">
        <f>New_Finance_Data[[#This Row],[ Profit ]]/New_Finance_Data[[#This Row],[  Sales ]]</f>
        <v>-0.12941176470588237</v>
      </c>
      <c r="R669" t="str">
        <f>IF(New_Finance_Data[[#This Row],[  Sales ]]&gt;=100000,"High",IF(New_Finance_Data[[#This Row],[  Sales ]]&gt;=50000,"Medium","Low"))</f>
        <v>High</v>
      </c>
      <c r="S669" t="str">
        <f>IF(OR(ISBLANK(New_Finance_Data[[#This Row],[  Sales ]]),ISBLANK(New_Finance_Data[[#This Row],[ Profit ]])),"Missing","OK")</f>
        <v>OK</v>
      </c>
      <c r="T669" t="str">
        <f>TEXT(New_Finance_Data[[#This Row],[Date]],"MMM-YYYY")</f>
        <v>Aug-2014</v>
      </c>
      <c r="U669" t="str">
        <f>IF(New_Finance_Data[[#This Row],[ Profit ]]&gt;0,"Profit","Loss")</f>
        <v>Loss</v>
      </c>
      <c r="V669" t="str">
        <f>IF(New_Finance_Data[[#This Row],[  Sales ]]&gt;=50000,"High Sales","Low Sales")</f>
        <v>High Sales</v>
      </c>
      <c r="W669" t="b">
        <f>ISNUMBER(New_Finance_Data[[#This Row],[Date]])</f>
        <v>1</v>
      </c>
    </row>
    <row r="670" spans="1:23" x14ac:dyDescent="0.2">
      <c r="A670" t="s">
        <v>29</v>
      </c>
      <c r="B670" t="s">
        <v>20</v>
      </c>
      <c r="C670" t="s">
        <v>17</v>
      </c>
      <c r="D670" t="s">
        <v>46</v>
      </c>
      <c r="E670" s="27">
        <v>1085</v>
      </c>
      <c r="F670" s="27">
        <v>3</v>
      </c>
      <c r="G670" s="27">
        <v>125</v>
      </c>
      <c r="H670" s="27">
        <v>135625</v>
      </c>
      <c r="I670" s="5">
        <v>20343.75</v>
      </c>
      <c r="J670" s="27">
        <v>115281.25</v>
      </c>
      <c r="K670" s="27">
        <v>130200</v>
      </c>
      <c r="L670" s="5">
        <v>-14918.75</v>
      </c>
      <c r="M670" s="28">
        <v>41913</v>
      </c>
      <c r="N670" s="3">
        <v>10</v>
      </c>
      <c r="O670" s="29" t="s">
        <v>34</v>
      </c>
      <c r="P670" s="3">
        <v>2014</v>
      </c>
      <c r="Q670" s="6">
        <f>New_Finance_Data[[#This Row],[ Profit ]]/New_Finance_Data[[#This Row],[  Sales ]]</f>
        <v>-0.12941176470588237</v>
      </c>
      <c r="R670" t="str">
        <f>IF(New_Finance_Data[[#This Row],[  Sales ]]&gt;=100000,"High",IF(New_Finance_Data[[#This Row],[  Sales ]]&gt;=50000,"Medium","Low"))</f>
        <v>High</v>
      </c>
      <c r="S670" t="str">
        <f>IF(OR(ISBLANK(New_Finance_Data[[#This Row],[  Sales ]]),ISBLANK(New_Finance_Data[[#This Row],[ Profit ]])),"Missing","OK")</f>
        <v>OK</v>
      </c>
      <c r="T670" t="str">
        <f>TEXT(New_Finance_Data[[#This Row],[Date]],"MMM-YYYY")</f>
        <v>Oct-2014</v>
      </c>
      <c r="U670" t="str">
        <f>IF(New_Finance_Data[[#This Row],[ Profit ]]&gt;0,"Profit","Loss")</f>
        <v>Loss</v>
      </c>
      <c r="V670" t="str">
        <f>IF(New_Finance_Data[[#This Row],[  Sales ]]&gt;=50000,"High Sales","Low Sales")</f>
        <v>High Sales</v>
      </c>
      <c r="W670" t="b">
        <f>ISNUMBER(New_Finance_Data[[#This Row],[Date]])</f>
        <v>1</v>
      </c>
    </row>
    <row r="671" spans="1:23" x14ac:dyDescent="0.2">
      <c r="A671" t="s">
        <v>31</v>
      </c>
      <c r="B671" t="s">
        <v>24</v>
      </c>
      <c r="C671" t="s">
        <v>26</v>
      </c>
      <c r="D671" t="s">
        <v>46</v>
      </c>
      <c r="E671" s="27">
        <v>546</v>
      </c>
      <c r="F671" s="27">
        <v>5</v>
      </c>
      <c r="G671" s="27">
        <v>300</v>
      </c>
      <c r="H671" s="27">
        <v>163800</v>
      </c>
      <c r="I671" s="5">
        <v>24570</v>
      </c>
      <c r="J671" s="27">
        <v>139230</v>
      </c>
      <c r="K671" s="27">
        <v>136500</v>
      </c>
      <c r="L671" s="5">
        <v>2730</v>
      </c>
      <c r="M671" s="28">
        <v>41913</v>
      </c>
      <c r="N671" s="3">
        <v>10</v>
      </c>
      <c r="O671" s="29" t="s">
        <v>34</v>
      </c>
      <c r="P671" s="3">
        <v>2014</v>
      </c>
      <c r="Q671" s="6">
        <f>New_Finance_Data[[#This Row],[ Profit ]]/New_Finance_Data[[#This Row],[  Sales ]]</f>
        <v>1.9607843137254902E-2</v>
      </c>
      <c r="R671" t="str">
        <f>IF(New_Finance_Data[[#This Row],[  Sales ]]&gt;=100000,"High",IF(New_Finance_Data[[#This Row],[  Sales ]]&gt;=50000,"Medium","Low"))</f>
        <v>High</v>
      </c>
      <c r="S671" t="str">
        <f>IF(OR(ISBLANK(New_Finance_Data[[#This Row],[  Sales ]]),ISBLANK(New_Finance_Data[[#This Row],[ Profit ]])),"Missing","OK")</f>
        <v>OK</v>
      </c>
      <c r="T671" t="str">
        <f>TEXT(New_Finance_Data[[#This Row],[Date]],"MMM-YYYY")</f>
        <v>Oct-2014</v>
      </c>
      <c r="U671" t="str">
        <f>IF(New_Finance_Data[[#This Row],[ Profit ]]&gt;0,"Profit","Loss")</f>
        <v>Profit</v>
      </c>
      <c r="V671" t="str">
        <f>IF(New_Finance_Data[[#This Row],[  Sales ]]&gt;=50000,"High Sales","Low Sales")</f>
        <v>High Sales</v>
      </c>
      <c r="W671" t="b">
        <f>ISNUMBER(New_Finance_Data[[#This Row],[Date]])</f>
        <v>1</v>
      </c>
    </row>
    <row r="672" spans="1:23" x14ac:dyDescent="0.2">
      <c r="A672" t="s">
        <v>15</v>
      </c>
      <c r="B672" t="s">
        <v>20</v>
      </c>
      <c r="C672" t="s">
        <v>36</v>
      </c>
      <c r="D672" t="s">
        <v>46</v>
      </c>
      <c r="E672" s="27">
        <v>1158</v>
      </c>
      <c r="F672" s="27">
        <v>10</v>
      </c>
      <c r="G672" s="27">
        <v>20</v>
      </c>
      <c r="H672" s="27">
        <v>23160</v>
      </c>
      <c r="I672" s="5">
        <v>3474</v>
      </c>
      <c r="J672" s="27">
        <v>19686</v>
      </c>
      <c r="K672" s="27">
        <v>11580</v>
      </c>
      <c r="L672" s="5">
        <v>8106</v>
      </c>
      <c r="M672" s="28">
        <v>41699</v>
      </c>
      <c r="N672" s="3">
        <v>3</v>
      </c>
      <c r="O672" s="29" t="s">
        <v>27</v>
      </c>
      <c r="P672" s="3">
        <v>2014</v>
      </c>
      <c r="Q672" s="6">
        <f>New_Finance_Data[[#This Row],[ Profit ]]/New_Finance_Data[[#This Row],[  Sales ]]</f>
        <v>0.41176470588235292</v>
      </c>
      <c r="R672" t="str">
        <f>IF(New_Finance_Data[[#This Row],[  Sales ]]&gt;=100000,"High",IF(New_Finance_Data[[#This Row],[  Sales ]]&gt;=50000,"Medium","Low"))</f>
        <v>Low</v>
      </c>
      <c r="S672" t="str">
        <f>IF(OR(ISBLANK(New_Finance_Data[[#This Row],[  Sales ]]),ISBLANK(New_Finance_Data[[#This Row],[ Profit ]])),"Missing","OK")</f>
        <v>OK</v>
      </c>
      <c r="T672" t="str">
        <f>TEXT(New_Finance_Data[[#This Row],[Date]],"MMM-YYYY")</f>
        <v>Mar-2014</v>
      </c>
      <c r="U672" t="str">
        <f>IF(New_Finance_Data[[#This Row],[ Profit ]]&gt;0,"Profit","Loss")</f>
        <v>Profit</v>
      </c>
      <c r="V672" t="str">
        <f>IF(New_Finance_Data[[#This Row],[  Sales ]]&gt;=50000,"High Sales","Low Sales")</f>
        <v>Low Sales</v>
      </c>
      <c r="W672" t="b">
        <f>ISNUMBER(New_Finance_Data[[#This Row],[Date]])</f>
        <v>1</v>
      </c>
    </row>
    <row r="673" spans="1:23" x14ac:dyDescent="0.2">
      <c r="A673" t="s">
        <v>21</v>
      </c>
      <c r="B673" t="s">
        <v>16</v>
      </c>
      <c r="C673" t="s">
        <v>36</v>
      </c>
      <c r="D673" t="s">
        <v>46</v>
      </c>
      <c r="E673" s="27">
        <v>1614</v>
      </c>
      <c r="F673" s="27">
        <v>10</v>
      </c>
      <c r="G673" s="27">
        <v>15</v>
      </c>
      <c r="H673" s="27">
        <v>24210</v>
      </c>
      <c r="I673" s="5">
        <v>3631.5</v>
      </c>
      <c r="J673" s="27">
        <v>20578.5</v>
      </c>
      <c r="K673" s="27">
        <v>16140</v>
      </c>
      <c r="L673" s="5">
        <v>4438.5</v>
      </c>
      <c r="M673" s="28">
        <v>41730</v>
      </c>
      <c r="N673" s="3">
        <v>4</v>
      </c>
      <c r="O673" s="29" t="s">
        <v>41</v>
      </c>
      <c r="P673" s="3">
        <v>2014</v>
      </c>
      <c r="Q673" s="6">
        <f>New_Finance_Data[[#This Row],[ Profit ]]/New_Finance_Data[[#This Row],[  Sales ]]</f>
        <v>0.21568627450980393</v>
      </c>
      <c r="R673" t="str">
        <f>IF(New_Finance_Data[[#This Row],[  Sales ]]&gt;=100000,"High",IF(New_Finance_Data[[#This Row],[  Sales ]]&gt;=50000,"Medium","Low"))</f>
        <v>Low</v>
      </c>
      <c r="S673" t="str">
        <f>IF(OR(ISBLANK(New_Finance_Data[[#This Row],[  Sales ]]),ISBLANK(New_Finance_Data[[#This Row],[ Profit ]])),"Missing","OK")</f>
        <v>OK</v>
      </c>
      <c r="T673" t="str">
        <f>TEXT(New_Finance_Data[[#This Row],[Date]],"MMM-YYYY")</f>
        <v>Apr-2014</v>
      </c>
      <c r="U673" t="str">
        <f>IF(New_Finance_Data[[#This Row],[ Profit ]]&gt;0,"Profit","Loss")</f>
        <v>Profit</v>
      </c>
      <c r="V673" t="str">
        <f>IF(New_Finance_Data[[#This Row],[  Sales ]]&gt;=50000,"High Sales","Low Sales")</f>
        <v>Low Sales</v>
      </c>
      <c r="W673" t="b">
        <f>ISNUMBER(New_Finance_Data[[#This Row],[Date]])</f>
        <v>1</v>
      </c>
    </row>
    <row r="674" spans="1:23" x14ac:dyDescent="0.2">
      <c r="A674" t="s">
        <v>15</v>
      </c>
      <c r="B674" t="s">
        <v>24</v>
      </c>
      <c r="C674" t="s">
        <v>36</v>
      </c>
      <c r="D674" t="s">
        <v>46</v>
      </c>
      <c r="E674" s="27">
        <v>2535</v>
      </c>
      <c r="F674" s="27">
        <v>10</v>
      </c>
      <c r="G674" s="27">
        <v>7</v>
      </c>
      <c r="H674" s="27">
        <v>17745</v>
      </c>
      <c r="I674" s="5">
        <v>2661.75</v>
      </c>
      <c r="J674" s="27">
        <v>15083.25</v>
      </c>
      <c r="K674" s="27">
        <v>12675</v>
      </c>
      <c r="L674" s="5">
        <v>2408.25</v>
      </c>
      <c r="M674" s="28">
        <v>41730</v>
      </c>
      <c r="N674" s="3">
        <v>4</v>
      </c>
      <c r="O674" s="29" t="s">
        <v>41</v>
      </c>
      <c r="P674" s="3">
        <v>2014</v>
      </c>
      <c r="Q674" s="6">
        <f>New_Finance_Data[[#This Row],[ Profit ]]/New_Finance_Data[[#This Row],[  Sales ]]</f>
        <v>0.15966386554621848</v>
      </c>
      <c r="R674" t="str">
        <f>IF(New_Finance_Data[[#This Row],[  Sales ]]&gt;=100000,"High",IF(New_Finance_Data[[#This Row],[  Sales ]]&gt;=50000,"Medium","Low"))</f>
        <v>Low</v>
      </c>
      <c r="S674" t="str">
        <f>IF(OR(ISBLANK(New_Finance_Data[[#This Row],[  Sales ]]),ISBLANK(New_Finance_Data[[#This Row],[ Profit ]])),"Missing","OK")</f>
        <v>OK</v>
      </c>
      <c r="T674" t="str">
        <f>TEXT(New_Finance_Data[[#This Row],[Date]],"MMM-YYYY")</f>
        <v>Apr-2014</v>
      </c>
      <c r="U674" t="str">
        <f>IF(New_Finance_Data[[#This Row],[ Profit ]]&gt;0,"Profit","Loss")</f>
        <v>Profit</v>
      </c>
      <c r="V674" t="str">
        <f>IF(New_Finance_Data[[#This Row],[  Sales ]]&gt;=50000,"High Sales","Low Sales")</f>
        <v>Low Sales</v>
      </c>
      <c r="W674" t="b">
        <f>ISNUMBER(New_Finance_Data[[#This Row],[Date]])</f>
        <v>1</v>
      </c>
    </row>
    <row r="675" spans="1:23" x14ac:dyDescent="0.2">
      <c r="A675" t="s">
        <v>15</v>
      </c>
      <c r="B675" t="s">
        <v>24</v>
      </c>
      <c r="C675" t="s">
        <v>36</v>
      </c>
      <c r="D675" t="s">
        <v>46</v>
      </c>
      <c r="E675" s="27">
        <v>2851</v>
      </c>
      <c r="F675" s="27">
        <v>10</v>
      </c>
      <c r="G675" s="27">
        <v>350</v>
      </c>
      <c r="H675" s="27">
        <v>997850</v>
      </c>
      <c r="I675" s="5">
        <v>149677.5</v>
      </c>
      <c r="J675" s="27">
        <v>848172.5</v>
      </c>
      <c r="K675" s="27">
        <v>741260</v>
      </c>
      <c r="L675" s="5">
        <v>106912.5</v>
      </c>
      <c r="M675" s="28">
        <v>41760</v>
      </c>
      <c r="N675" s="3">
        <v>5</v>
      </c>
      <c r="O675" s="29" t="s">
        <v>44</v>
      </c>
      <c r="P675" s="3">
        <v>2014</v>
      </c>
      <c r="Q675" s="6">
        <f>New_Finance_Data[[#This Row],[ Profit ]]/New_Finance_Data[[#This Row],[  Sales ]]</f>
        <v>0.12605042016806722</v>
      </c>
      <c r="R675" t="str">
        <f>IF(New_Finance_Data[[#This Row],[  Sales ]]&gt;=100000,"High",IF(New_Finance_Data[[#This Row],[  Sales ]]&gt;=50000,"Medium","Low"))</f>
        <v>High</v>
      </c>
      <c r="S675" t="str">
        <f>IF(OR(ISBLANK(New_Finance_Data[[#This Row],[  Sales ]]),ISBLANK(New_Finance_Data[[#This Row],[ Profit ]])),"Missing","OK")</f>
        <v>OK</v>
      </c>
      <c r="T675" t="str">
        <f>TEXT(New_Finance_Data[[#This Row],[Date]],"MMM-YYYY")</f>
        <v>May-2014</v>
      </c>
      <c r="U675" t="str">
        <f>IF(New_Finance_Data[[#This Row],[ Profit ]]&gt;0,"Profit","Loss")</f>
        <v>Profit</v>
      </c>
      <c r="V675" t="str">
        <f>IF(New_Finance_Data[[#This Row],[  Sales ]]&gt;=50000,"High Sales","Low Sales")</f>
        <v>High Sales</v>
      </c>
      <c r="W675" t="b">
        <f>ISNUMBER(New_Finance_Data[[#This Row],[Date]])</f>
        <v>1</v>
      </c>
    </row>
    <row r="676" spans="1:23" x14ac:dyDescent="0.2">
      <c r="A676" t="s">
        <v>21</v>
      </c>
      <c r="B676" t="s">
        <v>16</v>
      </c>
      <c r="C676" t="s">
        <v>36</v>
      </c>
      <c r="D676" t="s">
        <v>46</v>
      </c>
      <c r="E676" s="27">
        <v>2559</v>
      </c>
      <c r="F676" s="27">
        <v>10</v>
      </c>
      <c r="G676" s="27">
        <v>15</v>
      </c>
      <c r="H676" s="27">
        <v>38385</v>
      </c>
      <c r="I676" s="5">
        <v>5757.75</v>
      </c>
      <c r="J676" s="27">
        <v>32627.25</v>
      </c>
      <c r="K676" s="27">
        <v>25590</v>
      </c>
      <c r="L676" s="5">
        <v>7037.25</v>
      </c>
      <c r="M676" s="28">
        <v>41852</v>
      </c>
      <c r="N676" s="3">
        <v>8</v>
      </c>
      <c r="O676" s="29" t="s">
        <v>32</v>
      </c>
      <c r="P676" s="3">
        <v>2014</v>
      </c>
      <c r="Q676" s="6">
        <f>New_Finance_Data[[#This Row],[ Profit ]]/New_Finance_Data[[#This Row],[  Sales ]]</f>
        <v>0.21568627450980393</v>
      </c>
      <c r="R676" t="str">
        <f>IF(New_Finance_Data[[#This Row],[  Sales ]]&gt;=100000,"High",IF(New_Finance_Data[[#This Row],[  Sales ]]&gt;=50000,"Medium","Low"))</f>
        <v>Low</v>
      </c>
      <c r="S676" t="str">
        <f>IF(OR(ISBLANK(New_Finance_Data[[#This Row],[  Sales ]]),ISBLANK(New_Finance_Data[[#This Row],[ Profit ]])),"Missing","OK")</f>
        <v>OK</v>
      </c>
      <c r="T676" t="str">
        <f>TEXT(New_Finance_Data[[#This Row],[Date]],"MMM-YYYY")</f>
        <v>Aug-2014</v>
      </c>
      <c r="U676" t="str">
        <f>IF(New_Finance_Data[[#This Row],[ Profit ]]&gt;0,"Profit","Loss")</f>
        <v>Profit</v>
      </c>
      <c r="V676" t="str">
        <f>IF(New_Finance_Data[[#This Row],[  Sales ]]&gt;=50000,"High Sales","Low Sales")</f>
        <v>Low Sales</v>
      </c>
      <c r="W676" t="b">
        <f>ISNUMBER(New_Finance_Data[[#This Row],[Date]])</f>
        <v>1</v>
      </c>
    </row>
    <row r="677" spans="1:23" x14ac:dyDescent="0.2">
      <c r="A677" t="s">
        <v>15</v>
      </c>
      <c r="B677" t="s">
        <v>35</v>
      </c>
      <c r="C677" t="s">
        <v>36</v>
      </c>
      <c r="D677" t="s">
        <v>46</v>
      </c>
      <c r="E677" s="27">
        <v>267</v>
      </c>
      <c r="F677" s="27">
        <v>10</v>
      </c>
      <c r="G677" s="27">
        <v>20</v>
      </c>
      <c r="H677" s="27">
        <v>5340</v>
      </c>
      <c r="I677" s="5">
        <v>801</v>
      </c>
      <c r="J677" s="27">
        <v>4539</v>
      </c>
      <c r="K677" s="27">
        <v>2670</v>
      </c>
      <c r="L677" s="5">
        <v>1869</v>
      </c>
      <c r="M677" s="28">
        <v>41548</v>
      </c>
      <c r="N677" s="3">
        <v>10</v>
      </c>
      <c r="O677" s="29" t="s">
        <v>34</v>
      </c>
      <c r="P677" s="3">
        <v>2013</v>
      </c>
      <c r="Q677" s="6">
        <f>New_Finance_Data[[#This Row],[ Profit ]]/New_Finance_Data[[#This Row],[  Sales ]]</f>
        <v>0.41176470588235292</v>
      </c>
      <c r="R677" t="str">
        <f>IF(New_Finance_Data[[#This Row],[  Sales ]]&gt;=100000,"High",IF(New_Finance_Data[[#This Row],[  Sales ]]&gt;=50000,"Medium","Low"))</f>
        <v>Low</v>
      </c>
      <c r="S677" t="str">
        <f>IF(OR(ISBLANK(New_Finance_Data[[#This Row],[  Sales ]]),ISBLANK(New_Finance_Data[[#This Row],[ Profit ]])),"Missing","OK")</f>
        <v>OK</v>
      </c>
      <c r="T677" t="str">
        <f>TEXT(New_Finance_Data[[#This Row],[Date]],"MMM-YYYY")</f>
        <v>Oct-2013</v>
      </c>
      <c r="U677" t="str">
        <f>IF(New_Finance_Data[[#This Row],[ Profit ]]&gt;0,"Profit","Loss")</f>
        <v>Profit</v>
      </c>
      <c r="V677" t="str">
        <f>IF(New_Finance_Data[[#This Row],[  Sales ]]&gt;=50000,"High Sales","Low Sales")</f>
        <v>Low Sales</v>
      </c>
      <c r="W677" t="b">
        <f>ISNUMBER(New_Finance_Data[[#This Row],[Date]])</f>
        <v>1</v>
      </c>
    </row>
    <row r="678" spans="1:23" x14ac:dyDescent="0.2">
      <c r="A678" t="s">
        <v>29</v>
      </c>
      <c r="B678" t="s">
        <v>20</v>
      </c>
      <c r="C678" t="s">
        <v>36</v>
      </c>
      <c r="D678" t="s">
        <v>46</v>
      </c>
      <c r="E678" s="27">
        <v>1085</v>
      </c>
      <c r="F678" s="27">
        <v>10</v>
      </c>
      <c r="G678" s="27">
        <v>125</v>
      </c>
      <c r="H678" s="27">
        <v>135625</v>
      </c>
      <c r="I678" s="5">
        <v>20343.75</v>
      </c>
      <c r="J678" s="27">
        <v>115281.25</v>
      </c>
      <c r="K678" s="27">
        <v>130200</v>
      </c>
      <c r="L678" s="5">
        <v>-14918.75</v>
      </c>
      <c r="M678" s="28">
        <v>41913</v>
      </c>
      <c r="N678" s="3">
        <v>10</v>
      </c>
      <c r="O678" s="29" t="s">
        <v>34</v>
      </c>
      <c r="P678" s="3">
        <v>2014</v>
      </c>
      <c r="Q678" s="6">
        <f>New_Finance_Data[[#This Row],[ Profit ]]/New_Finance_Data[[#This Row],[  Sales ]]</f>
        <v>-0.12941176470588237</v>
      </c>
      <c r="R678" t="str">
        <f>IF(New_Finance_Data[[#This Row],[  Sales ]]&gt;=100000,"High",IF(New_Finance_Data[[#This Row],[  Sales ]]&gt;=50000,"Medium","Low"))</f>
        <v>High</v>
      </c>
      <c r="S678" t="str">
        <f>IF(OR(ISBLANK(New_Finance_Data[[#This Row],[  Sales ]]),ISBLANK(New_Finance_Data[[#This Row],[ Profit ]])),"Missing","OK")</f>
        <v>OK</v>
      </c>
      <c r="T678" t="str">
        <f>TEXT(New_Finance_Data[[#This Row],[Date]],"MMM-YYYY")</f>
        <v>Oct-2014</v>
      </c>
      <c r="U678" t="str">
        <f>IF(New_Finance_Data[[#This Row],[ Profit ]]&gt;0,"Profit","Loss")</f>
        <v>Loss</v>
      </c>
      <c r="V678" t="str">
        <f>IF(New_Finance_Data[[#This Row],[  Sales ]]&gt;=50000,"High Sales","Low Sales")</f>
        <v>High Sales</v>
      </c>
      <c r="W678" t="b">
        <f>ISNUMBER(New_Finance_Data[[#This Row],[Date]])</f>
        <v>1</v>
      </c>
    </row>
    <row r="679" spans="1:23" x14ac:dyDescent="0.2">
      <c r="A679" t="s">
        <v>21</v>
      </c>
      <c r="B679" t="s">
        <v>20</v>
      </c>
      <c r="C679" t="s">
        <v>36</v>
      </c>
      <c r="D679" t="s">
        <v>46</v>
      </c>
      <c r="E679" s="27">
        <v>1175</v>
      </c>
      <c r="F679" s="27">
        <v>10</v>
      </c>
      <c r="G679" s="27">
        <v>15</v>
      </c>
      <c r="H679" s="27">
        <v>17625</v>
      </c>
      <c r="I679" s="5">
        <v>2643.75</v>
      </c>
      <c r="J679" s="27">
        <v>14981.25</v>
      </c>
      <c r="K679" s="27">
        <v>11750</v>
      </c>
      <c r="L679" s="5">
        <v>3231.25</v>
      </c>
      <c r="M679" s="28">
        <v>41913</v>
      </c>
      <c r="N679" s="3">
        <v>10</v>
      </c>
      <c r="O679" s="29" t="s">
        <v>34</v>
      </c>
      <c r="P679" s="3">
        <v>2014</v>
      </c>
      <c r="Q679" s="6">
        <f>New_Finance_Data[[#This Row],[ Profit ]]/New_Finance_Data[[#This Row],[  Sales ]]</f>
        <v>0.21568627450980393</v>
      </c>
      <c r="R679" t="str">
        <f>IF(New_Finance_Data[[#This Row],[  Sales ]]&gt;=100000,"High",IF(New_Finance_Data[[#This Row],[  Sales ]]&gt;=50000,"Medium","Low"))</f>
        <v>Low</v>
      </c>
      <c r="S679" t="str">
        <f>IF(OR(ISBLANK(New_Finance_Data[[#This Row],[  Sales ]]),ISBLANK(New_Finance_Data[[#This Row],[ Profit ]])),"Missing","OK")</f>
        <v>OK</v>
      </c>
      <c r="T679" t="str">
        <f>TEXT(New_Finance_Data[[#This Row],[Date]],"MMM-YYYY")</f>
        <v>Oct-2014</v>
      </c>
      <c r="U679" t="str">
        <f>IF(New_Finance_Data[[#This Row],[ Profit ]]&gt;0,"Profit","Loss")</f>
        <v>Profit</v>
      </c>
      <c r="V679" t="str">
        <f>IF(New_Finance_Data[[#This Row],[  Sales ]]&gt;=50000,"High Sales","Low Sales")</f>
        <v>Low Sales</v>
      </c>
      <c r="W679" t="b">
        <f>ISNUMBER(New_Finance_Data[[#This Row],[Date]])</f>
        <v>1</v>
      </c>
    </row>
    <row r="680" spans="1:23" x14ac:dyDescent="0.2">
      <c r="A680" t="s">
        <v>15</v>
      </c>
      <c r="B680" t="s">
        <v>35</v>
      </c>
      <c r="C680" t="s">
        <v>36</v>
      </c>
      <c r="D680" t="s">
        <v>46</v>
      </c>
      <c r="E680" s="27">
        <v>2007</v>
      </c>
      <c r="F680" s="27">
        <v>10</v>
      </c>
      <c r="G680" s="27">
        <v>350</v>
      </c>
      <c r="H680" s="27">
        <v>702450</v>
      </c>
      <c r="I680" s="5">
        <v>105367.5</v>
      </c>
      <c r="J680" s="27">
        <v>597082.5</v>
      </c>
      <c r="K680" s="27">
        <v>521820</v>
      </c>
      <c r="L680" s="5">
        <v>75262.5</v>
      </c>
      <c r="M680" s="28">
        <v>41579</v>
      </c>
      <c r="N680" s="3">
        <v>11</v>
      </c>
      <c r="O680" s="29" t="s">
        <v>38</v>
      </c>
      <c r="P680" s="3">
        <v>2013</v>
      </c>
      <c r="Q680" s="6">
        <f>New_Finance_Data[[#This Row],[ Profit ]]/New_Finance_Data[[#This Row],[  Sales ]]</f>
        <v>0.12605042016806722</v>
      </c>
      <c r="R680" t="str">
        <f>IF(New_Finance_Data[[#This Row],[  Sales ]]&gt;=100000,"High",IF(New_Finance_Data[[#This Row],[  Sales ]]&gt;=50000,"Medium","Low"))</f>
        <v>High</v>
      </c>
      <c r="S680" t="str">
        <f>IF(OR(ISBLANK(New_Finance_Data[[#This Row],[  Sales ]]),ISBLANK(New_Finance_Data[[#This Row],[ Profit ]])),"Missing","OK")</f>
        <v>OK</v>
      </c>
      <c r="T680" t="str">
        <f>TEXT(New_Finance_Data[[#This Row],[Date]],"MMM-YYYY")</f>
        <v>Nov-2013</v>
      </c>
      <c r="U680" t="str">
        <f>IF(New_Finance_Data[[#This Row],[ Profit ]]&gt;0,"Profit","Loss")</f>
        <v>Profit</v>
      </c>
      <c r="V680" t="str">
        <f>IF(New_Finance_Data[[#This Row],[  Sales ]]&gt;=50000,"High Sales","Low Sales")</f>
        <v>High Sales</v>
      </c>
      <c r="W680" t="b">
        <f>ISNUMBER(New_Finance_Data[[#This Row],[Date]])</f>
        <v>1</v>
      </c>
    </row>
    <row r="681" spans="1:23" x14ac:dyDescent="0.2">
      <c r="A681" t="s">
        <v>15</v>
      </c>
      <c r="B681" t="s">
        <v>24</v>
      </c>
      <c r="C681" t="s">
        <v>36</v>
      </c>
      <c r="D681" t="s">
        <v>46</v>
      </c>
      <c r="E681" s="27">
        <v>2151</v>
      </c>
      <c r="F681" s="27">
        <v>10</v>
      </c>
      <c r="G681" s="27">
        <v>350</v>
      </c>
      <c r="H681" s="27">
        <v>752850</v>
      </c>
      <c r="I681" s="5">
        <v>112927.5</v>
      </c>
      <c r="J681" s="27">
        <v>639922.5</v>
      </c>
      <c r="K681" s="27">
        <v>559260</v>
      </c>
      <c r="L681" s="5">
        <v>80662.5</v>
      </c>
      <c r="M681" s="28">
        <v>41579</v>
      </c>
      <c r="N681" s="3">
        <v>11</v>
      </c>
      <c r="O681" s="29" t="s">
        <v>38</v>
      </c>
      <c r="P681" s="3">
        <v>2013</v>
      </c>
      <c r="Q681" s="6">
        <f>New_Finance_Data[[#This Row],[ Profit ]]/New_Finance_Data[[#This Row],[  Sales ]]</f>
        <v>0.12605042016806722</v>
      </c>
      <c r="R681" t="str">
        <f>IF(New_Finance_Data[[#This Row],[  Sales ]]&gt;=100000,"High",IF(New_Finance_Data[[#This Row],[  Sales ]]&gt;=50000,"Medium","Low"))</f>
        <v>High</v>
      </c>
      <c r="S681" t="str">
        <f>IF(OR(ISBLANK(New_Finance_Data[[#This Row],[  Sales ]]),ISBLANK(New_Finance_Data[[#This Row],[ Profit ]])),"Missing","OK")</f>
        <v>OK</v>
      </c>
      <c r="T681" t="str">
        <f>TEXT(New_Finance_Data[[#This Row],[Date]],"MMM-YYYY")</f>
        <v>Nov-2013</v>
      </c>
      <c r="U681" t="str">
        <f>IF(New_Finance_Data[[#This Row],[ Profit ]]&gt;0,"Profit","Loss")</f>
        <v>Profit</v>
      </c>
      <c r="V681" t="str">
        <f>IF(New_Finance_Data[[#This Row],[  Sales ]]&gt;=50000,"High Sales","Low Sales")</f>
        <v>High Sales</v>
      </c>
      <c r="W681" t="b">
        <f>ISNUMBER(New_Finance_Data[[#This Row],[Date]])</f>
        <v>1</v>
      </c>
    </row>
    <row r="682" spans="1:23" x14ac:dyDescent="0.2">
      <c r="A682" t="s">
        <v>28</v>
      </c>
      <c r="B682" t="s">
        <v>35</v>
      </c>
      <c r="C682" t="s">
        <v>36</v>
      </c>
      <c r="D682" t="s">
        <v>46</v>
      </c>
      <c r="E682" s="27">
        <v>914</v>
      </c>
      <c r="F682" s="27">
        <v>10</v>
      </c>
      <c r="G682" s="27">
        <v>12</v>
      </c>
      <c r="H682" s="27">
        <v>10968</v>
      </c>
      <c r="I682" s="5">
        <v>1645.2</v>
      </c>
      <c r="J682" s="27">
        <v>9322.7999999999993</v>
      </c>
      <c r="K682" s="27">
        <v>2742</v>
      </c>
      <c r="L682" s="5">
        <v>6580.8</v>
      </c>
      <c r="M682" s="28">
        <v>41974</v>
      </c>
      <c r="N682" s="3">
        <v>12</v>
      </c>
      <c r="O682" s="29" t="s">
        <v>25</v>
      </c>
      <c r="P682" s="3">
        <v>2014</v>
      </c>
      <c r="Q682" s="6">
        <f>New_Finance_Data[[#This Row],[ Profit ]]/New_Finance_Data[[#This Row],[  Sales ]]</f>
        <v>0.70588235294117652</v>
      </c>
      <c r="R682" t="str">
        <f>IF(New_Finance_Data[[#This Row],[  Sales ]]&gt;=100000,"High",IF(New_Finance_Data[[#This Row],[  Sales ]]&gt;=50000,"Medium","Low"))</f>
        <v>Low</v>
      </c>
      <c r="S682" t="str">
        <f>IF(OR(ISBLANK(New_Finance_Data[[#This Row],[  Sales ]]),ISBLANK(New_Finance_Data[[#This Row],[ Profit ]])),"Missing","OK")</f>
        <v>OK</v>
      </c>
      <c r="T682" t="str">
        <f>TEXT(New_Finance_Data[[#This Row],[Date]],"MMM-YYYY")</f>
        <v>Dec-2014</v>
      </c>
      <c r="U682" t="str">
        <f>IF(New_Finance_Data[[#This Row],[ Profit ]]&gt;0,"Profit","Loss")</f>
        <v>Profit</v>
      </c>
      <c r="V682" t="str">
        <f>IF(New_Finance_Data[[#This Row],[  Sales ]]&gt;=50000,"High Sales","Low Sales")</f>
        <v>Low Sales</v>
      </c>
      <c r="W682" t="b">
        <f>ISNUMBER(New_Finance_Data[[#This Row],[Date]])</f>
        <v>1</v>
      </c>
    </row>
    <row r="683" spans="1:23" x14ac:dyDescent="0.2">
      <c r="A683" t="s">
        <v>15</v>
      </c>
      <c r="B683" t="s">
        <v>22</v>
      </c>
      <c r="C683" t="s">
        <v>36</v>
      </c>
      <c r="D683" t="s">
        <v>46</v>
      </c>
      <c r="E683" s="27">
        <v>293</v>
      </c>
      <c r="F683" s="27">
        <v>10</v>
      </c>
      <c r="G683" s="27">
        <v>20</v>
      </c>
      <c r="H683" s="27">
        <v>5860</v>
      </c>
      <c r="I683" s="5">
        <v>879</v>
      </c>
      <c r="J683" s="27">
        <v>4981</v>
      </c>
      <c r="K683" s="27">
        <v>2930</v>
      </c>
      <c r="L683" s="5">
        <v>2051</v>
      </c>
      <c r="M683" s="28">
        <v>41974</v>
      </c>
      <c r="N683" s="3">
        <v>12</v>
      </c>
      <c r="O683" s="29" t="s">
        <v>25</v>
      </c>
      <c r="P683" s="3">
        <v>2014</v>
      </c>
      <c r="Q683" s="6">
        <f>New_Finance_Data[[#This Row],[ Profit ]]/New_Finance_Data[[#This Row],[  Sales ]]</f>
        <v>0.41176470588235292</v>
      </c>
      <c r="R683" t="str">
        <f>IF(New_Finance_Data[[#This Row],[  Sales ]]&gt;=100000,"High",IF(New_Finance_Data[[#This Row],[  Sales ]]&gt;=50000,"Medium","Low"))</f>
        <v>Low</v>
      </c>
      <c r="S683" t="str">
        <f>IF(OR(ISBLANK(New_Finance_Data[[#This Row],[  Sales ]]),ISBLANK(New_Finance_Data[[#This Row],[ Profit ]])),"Missing","OK")</f>
        <v>OK</v>
      </c>
      <c r="T683" t="str">
        <f>TEXT(New_Finance_Data[[#This Row],[Date]],"MMM-YYYY")</f>
        <v>Dec-2014</v>
      </c>
      <c r="U683" t="str">
        <f>IF(New_Finance_Data[[#This Row],[ Profit ]]&gt;0,"Profit","Loss")</f>
        <v>Profit</v>
      </c>
      <c r="V683" t="str">
        <f>IF(New_Finance_Data[[#This Row],[  Sales ]]&gt;=50000,"High Sales","Low Sales")</f>
        <v>Low Sales</v>
      </c>
      <c r="W683" t="b">
        <f>ISNUMBER(New_Finance_Data[[#This Row],[Date]])</f>
        <v>1</v>
      </c>
    </row>
    <row r="684" spans="1:23" x14ac:dyDescent="0.2">
      <c r="A684" t="s">
        <v>28</v>
      </c>
      <c r="B684" t="s">
        <v>24</v>
      </c>
      <c r="C684" t="s">
        <v>39</v>
      </c>
      <c r="D684" t="s">
        <v>46</v>
      </c>
      <c r="E684" s="27">
        <v>500</v>
      </c>
      <c r="F684" s="27">
        <v>120</v>
      </c>
      <c r="G684" s="27">
        <v>12</v>
      </c>
      <c r="H684" s="27">
        <v>6000</v>
      </c>
      <c r="I684" s="5">
        <v>900</v>
      </c>
      <c r="J684" s="27">
        <v>5100</v>
      </c>
      <c r="K684" s="27">
        <v>1500</v>
      </c>
      <c r="L684" s="5">
        <v>3600</v>
      </c>
      <c r="M684" s="28">
        <v>41699</v>
      </c>
      <c r="N684" s="3">
        <v>3</v>
      </c>
      <c r="O684" s="29" t="s">
        <v>27</v>
      </c>
      <c r="P684" s="3">
        <v>2014</v>
      </c>
      <c r="Q684" s="6">
        <f>New_Finance_Data[[#This Row],[ Profit ]]/New_Finance_Data[[#This Row],[  Sales ]]</f>
        <v>0.70588235294117652</v>
      </c>
      <c r="R684" t="str">
        <f>IF(New_Finance_Data[[#This Row],[  Sales ]]&gt;=100000,"High",IF(New_Finance_Data[[#This Row],[  Sales ]]&gt;=50000,"Medium","Low"))</f>
        <v>Low</v>
      </c>
      <c r="S684" t="str">
        <f>IF(OR(ISBLANK(New_Finance_Data[[#This Row],[  Sales ]]),ISBLANK(New_Finance_Data[[#This Row],[ Profit ]])),"Missing","OK")</f>
        <v>OK</v>
      </c>
      <c r="T684" t="str">
        <f>TEXT(New_Finance_Data[[#This Row],[Date]],"MMM-YYYY")</f>
        <v>Mar-2014</v>
      </c>
      <c r="U684" t="str">
        <f>IF(New_Finance_Data[[#This Row],[ Profit ]]&gt;0,"Profit","Loss")</f>
        <v>Profit</v>
      </c>
      <c r="V684" t="str">
        <f>IF(New_Finance_Data[[#This Row],[  Sales ]]&gt;=50000,"High Sales","Low Sales")</f>
        <v>Low Sales</v>
      </c>
      <c r="W684" t="b">
        <f>ISNUMBER(New_Finance_Data[[#This Row],[Date]])</f>
        <v>1</v>
      </c>
    </row>
    <row r="685" spans="1:23" x14ac:dyDescent="0.2">
      <c r="A685" t="s">
        <v>21</v>
      </c>
      <c r="B685" t="s">
        <v>22</v>
      </c>
      <c r="C685" t="s">
        <v>39</v>
      </c>
      <c r="D685" t="s">
        <v>46</v>
      </c>
      <c r="E685" s="27">
        <v>2826</v>
      </c>
      <c r="F685" s="27">
        <v>120</v>
      </c>
      <c r="G685" s="27">
        <v>15</v>
      </c>
      <c r="H685" s="27">
        <v>42390</v>
      </c>
      <c r="I685" s="5">
        <v>6358.5</v>
      </c>
      <c r="J685" s="27">
        <v>36031.5</v>
      </c>
      <c r="K685" s="27">
        <v>28260</v>
      </c>
      <c r="L685" s="5">
        <v>7771.5</v>
      </c>
      <c r="M685" s="28">
        <v>41760</v>
      </c>
      <c r="N685" s="3">
        <v>5</v>
      </c>
      <c r="O685" s="29" t="s">
        <v>44</v>
      </c>
      <c r="P685" s="3">
        <v>2014</v>
      </c>
      <c r="Q685" s="6">
        <f>New_Finance_Data[[#This Row],[ Profit ]]/New_Finance_Data[[#This Row],[  Sales ]]</f>
        <v>0.21568627450980393</v>
      </c>
      <c r="R685" t="str">
        <f>IF(New_Finance_Data[[#This Row],[  Sales ]]&gt;=100000,"High",IF(New_Finance_Data[[#This Row],[  Sales ]]&gt;=50000,"Medium","Low"))</f>
        <v>Low</v>
      </c>
      <c r="S685" t="str">
        <f>IF(OR(ISBLANK(New_Finance_Data[[#This Row],[  Sales ]]),ISBLANK(New_Finance_Data[[#This Row],[ Profit ]])),"Missing","OK")</f>
        <v>OK</v>
      </c>
      <c r="T685" t="str">
        <f>TEXT(New_Finance_Data[[#This Row],[Date]],"MMM-YYYY")</f>
        <v>May-2014</v>
      </c>
      <c r="U685" t="str">
        <f>IF(New_Finance_Data[[#This Row],[ Profit ]]&gt;0,"Profit","Loss")</f>
        <v>Profit</v>
      </c>
      <c r="V685" t="str">
        <f>IF(New_Finance_Data[[#This Row],[  Sales ]]&gt;=50000,"High Sales","Low Sales")</f>
        <v>Low Sales</v>
      </c>
      <c r="W685" t="b">
        <f>ISNUMBER(New_Finance_Data[[#This Row],[Date]])</f>
        <v>1</v>
      </c>
    </row>
    <row r="686" spans="1:23" x14ac:dyDescent="0.2">
      <c r="A686" t="s">
        <v>29</v>
      </c>
      <c r="B686" t="s">
        <v>22</v>
      </c>
      <c r="C686" t="s">
        <v>39</v>
      </c>
      <c r="D686" t="s">
        <v>46</v>
      </c>
      <c r="E686" s="27">
        <v>663</v>
      </c>
      <c r="F686" s="27">
        <v>120</v>
      </c>
      <c r="G686" s="27">
        <v>125</v>
      </c>
      <c r="H686" s="27">
        <v>82875</v>
      </c>
      <c r="I686" s="5">
        <v>12431.25</v>
      </c>
      <c r="J686" s="27">
        <v>70443.75</v>
      </c>
      <c r="K686" s="27">
        <v>79560</v>
      </c>
      <c r="L686" s="5">
        <v>-9116.25</v>
      </c>
      <c r="M686" s="28">
        <v>41883</v>
      </c>
      <c r="N686" s="3">
        <v>9</v>
      </c>
      <c r="O686" s="29" t="s">
        <v>33</v>
      </c>
      <c r="P686" s="3">
        <v>2014</v>
      </c>
      <c r="Q686" s="6">
        <f>New_Finance_Data[[#This Row],[ Profit ]]/New_Finance_Data[[#This Row],[  Sales ]]</f>
        <v>-0.12941176470588237</v>
      </c>
      <c r="R686" t="str">
        <f>IF(New_Finance_Data[[#This Row],[  Sales ]]&gt;=100000,"High",IF(New_Finance_Data[[#This Row],[  Sales ]]&gt;=50000,"Medium","Low"))</f>
        <v>Medium</v>
      </c>
      <c r="S686" t="str">
        <f>IF(OR(ISBLANK(New_Finance_Data[[#This Row],[  Sales ]]),ISBLANK(New_Finance_Data[[#This Row],[ Profit ]])),"Missing","OK")</f>
        <v>OK</v>
      </c>
      <c r="T686" t="str">
        <f>TEXT(New_Finance_Data[[#This Row],[Date]],"MMM-YYYY")</f>
        <v>Sep-2014</v>
      </c>
      <c r="U686" t="str">
        <f>IF(New_Finance_Data[[#This Row],[ Profit ]]&gt;0,"Profit","Loss")</f>
        <v>Loss</v>
      </c>
      <c r="V686" t="str">
        <f>IF(New_Finance_Data[[#This Row],[  Sales ]]&gt;=50000,"High Sales","Low Sales")</f>
        <v>High Sales</v>
      </c>
      <c r="W686" t="b">
        <f>ISNUMBER(New_Finance_Data[[#This Row],[Date]])</f>
        <v>1</v>
      </c>
    </row>
    <row r="687" spans="1:23" x14ac:dyDescent="0.2">
      <c r="A687" t="s">
        <v>31</v>
      </c>
      <c r="B687" t="s">
        <v>35</v>
      </c>
      <c r="C687" t="s">
        <v>39</v>
      </c>
      <c r="D687" t="s">
        <v>46</v>
      </c>
      <c r="E687" s="27">
        <v>2574</v>
      </c>
      <c r="F687" s="27">
        <v>120</v>
      </c>
      <c r="G687" s="27">
        <v>300</v>
      </c>
      <c r="H687" s="27">
        <v>772200</v>
      </c>
      <c r="I687" s="5">
        <v>115830</v>
      </c>
      <c r="J687" s="27">
        <v>656370</v>
      </c>
      <c r="K687" s="27">
        <v>643500</v>
      </c>
      <c r="L687" s="5">
        <v>12870</v>
      </c>
      <c r="M687" s="28">
        <v>41579</v>
      </c>
      <c r="N687" s="3">
        <v>11</v>
      </c>
      <c r="O687" s="29" t="s">
        <v>38</v>
      </c>
      <c r="P687" s="3">
        <v>2013</v>
      </c>
      <c r="Q687" s="6">
        <f>New_Finance_Data[[#This Row],[ Profit ]]/New_Finance_Data[[#This Row],[  Sales ]]</f>
        <v>1.9607843137254902E-2</v>
      </c>
      <c r="R687" t="str">
        <f>IF(New_Finance_Data[[#This Row],[  Sales ]]&gt;=100000,"High",IF(New_Finance_Data[[#This Row],[  Sales ]]&gt;=50000,"Medium","Low"))</f>
        <v>High</v>
      </c>
      <c r="S687" t="str">
        <f>IF(OR(ISBLANK(New_Finance_Data[[#This Row],[  Sales ]]),ISBLANK(New_Finance_Data[[#This Row],[ Profit ]])),"Missing","OK")</f>
        <v>OK</v>
      </c>
      <c r="T687" t="str">
        <f>TEXT(New_Finance_Data[[#This Row],[Date]],"MMM-YYYY")</f>
        <v>Nov-2013</v>
      </c>
      <c r="U687" t="str">
        <f>IF(New_Finance_Data[[#This Row],[ Profit ]]&gt;0,"Profit","Loss")</f>
        <v>Profit</v>
      </c>
      <c r="V687" t="str">
        <f>IF(New_Finance_Data[[#This Row],[  Sales ]]&gt;=50000,"High Sales","Low Sales")</f>
        <v>High Sales</v>
      </c>
      <c r="W687" t="b">
        <f>ISNUMBER(New_Finance_Data[[#This Row],[Date]])</f>
        <v>1</v>
      </c>
    </row>
    <row r="688" spans="1:23" x14ac:dyDescent="0.2">
      <c r="A688" t="s">
        <v>29</v>
      </c>
      <c r="B688" t="s">
        <v>35</v>
      </c>
      <c r="C688" t="s">
        <v>39</v>
      </c>
      <c r="D688" t="s">
        <v>46</v>
      </c>
      <c r="E688" s="27">
        <v>2438</v>
      </c>
      <c r="F688" s="27">
        <v>120</v>
      </c>
      <c r="G688" s="27">
        <v>125</v>
      </c>
      <c r="H688" s="27">
        <v>304750</v>
      </c>
      <c r="I688" s="5">
        <v>45712.5</v>
      </c>
      <c r="J688" s="27">
        <v>259037.5</v>
      </c>
      <c r="K688" s="27">
        <v>292560</v>
      </c>
      <c r="L688" s="5">
        <v>-33522.5</v>
      </c>
      <c r="M688" s="28">
        <v>41609</v>
      </c>
      <c r="N688" s="3">
        <v>12</v>
      </c>
      <c r="O688" s="29" t="s">
        <v>25</v>
      </c>
      <c r="P688" s="3">
        <v>2013</v>
      </c>
      <c r="Q688" s="6">
        <f>New_Finance_Data[[#This Row],[ Profit ]]/New_Finance_Data[[#This Row],[  Sales ]]</f>
        <v>-0.12941176470588237</v>
      </c>
      <c r="R688" t="str">
        <f>IF(New_Finance_Data[[#This Row],[  Sales ]]&gt;=100000,"High",IF(New_Finance_Data[[#This Row],[  Sales ]]&gt;=50000,"Medium","Low"))</f>
        <v>High</v>
      </c>
      <c r="S688" t="str">
        <f>IF(OR(ISBLANK(New_Finance_Data[[#This Row],[  Sales ]]),ISBLANK(New_Finance_Data[[#This Row],[ Profit ]])),"Missing","OK")</f>
        <v>OK</v>
      </c>
      <c r="T688" t="str">
        <f>TEXT(New_Finance_Data[[#This Row],[Date]],"MMM-YYYY")</f>
        <v>Dec-2013</v>
      </c>
      <c r="U688" t="str">
        <f>IF(New_Finance_Data[[#This Row],[ Profit ]]&gt;0,"Profit","Loss")</f>
        <v>Loss</v>
      </c>
      <c r="V688" t="str">
        <f>IF(New_Finance_Data[[#This Row],[  Sales ]]&gt;=50000,"High Sales","Low Sales")</f>
        <v>High Sales</v>
      </c>
      <c r="W688" t="b">
        <f>ISNUMBER(New_Finance_Data[[#This Row],[Date]])</f>
        <v>1</v>
      </c>
    </row>
    <row r="689" spans="1:23" x14ac:dyDescent="0.2">
      <c r="A689" t="s">
        <v>28</v>
      </c>
      <c r="B689" t="s">
        <v>35</v>
      </c>
      <c r="C689" t="s">
        <v>39</v>
      </c>
      <c r="D689" t="s">
        <v>46</v>
      </c>
      <c r="E689" s="27">
        <v>914</v>
      </c>
      <c r="F689" s="27">
        <v>120</v>
      </c>
      <c r="G689" s="27">
        <v>12</v>
      </c>
      <c r="H689" s="27">
        <v>10968</v>
      </c>
      <c r="I689" s="5">
        <v>1645.2</v>
      </c>
      <c r="J689" s="27">
        <v>9322.7999999999993</v>
      </c>
      <c r="K689" s="27">
        <v>2742</v>
      </c>
      <c r="L689" s="5">
        <v>6580.8</v>
      </c>
      <c r="M689" s="28">
        <v>41974</v>
      </c>
      <c r="N689" s="3">
        <v>12</v>
      </c>
      <c r="O689" s="29" t="s">
        <v>25</v>
      </c>
      <c r="P689" s="3">
        <v>2014</v>
      </c>
      <c r="Q689" s="6">
        <f>New_Finance_Data[[#This Row],[ Profit ]]/New_Finance_Data[[#This Row],[  Sales ]]</f>
        <v>0.70588235294117652</v>
      </c>
      <c r="R689" t="str">
        <f>IF(New_Finance_Data[[#This Row],[  Sales ]]&gt;=100000,"High",IF(New_Finance_Data[[#This Row],[  Sales ]]&gt;=50000,"Medium","Low"))</f>
        <v>Low</v>
      </c>
      <c r="S689" t="str">
        <f>IF(OR(ISBLANK(New_Finance_Data[[#This Row],[  Sales ]]),ISBLANK(New_Finance_Data[[#This Row],[ Profit ]])),"Missing","OK")</f>
        <v>OK</v>
      </c>
      <c r="T689" t="str">
        <f>TEXT(New_Finance_Data[[#This Row],[Date]],"MMM-YYYY")</f>
        <v>Dec-2014</v>
      </c>
      <c r="U689" t="str">
        <f>IF(New_Finance_Data[[#This Row],[ Profit ]]&gt;0,"Profit","Loss")</f>
        <v>Profit</v>
      </c>
      <c r="V689" t="str">
        <f>IF(New_Finance_Data[[#This Row],[  Sales ]]&gt;=50000,"High Sales","Low Sales")</f>
        <v>Low Sales</v>
      </c>
      <c r="W689" t="b">
        <f>ISNUMBER(New_Finance_Data[[#This Row],[Date]])</f>
        <v>1</v>
      </c>
    </row>
    <row r="690" spans="1:23" x14ac:dyDescent="0.2">
      <c r="A690" t="s">
        <v>15</v>
      </c>
      <c r="B690" t="s">
        <v>16</v>
      </c>
      <c r="C690" t="s">
        <v>40</v>
      </c>
      <c r="D690" t="s">
        <v>46</v>
      </c>
      <c r="E690" s="27">
        <v>865.5</v>
      </c>
      <c r="F690" s="27">
        <v>250</v>
      </c>
      <c r="G690" s="27">
        <v>20</v>
      </c>
      <c r="H690" s="27">
        <v>17310</v>
      </c>
      <c r="I690" s="5">
        <v>2596.5</v>
      </c>
      <c r="J690" s="27">
        <v>14713.5</v>
      </c>
      <c r="K690" s="27">
        <v>8655</v>
      </c>
      <c r="L690" s="5">
        <v>6058.5</v>
      </c>
      <c r="M690" s="28">
        <v>41821</v>
      </c>
      <c r="N690" s="3">
        <v>7</v>
      </c>
      <c r="O690" s="29" t="s">
        <v>30</v>
      </c>
      <c r="P690" s="3">
        <v>2014</v>
      </c>
      <c r="Q690" s="6">
        <f>New_Finance_Data[[#This Row],[ Profit ]]/New_Finance_Data[[#This Row],[  Sales ]]</f>
        <v>0.41176470588235292</v>
      </c>
      <c r="R690" t="str">
        <f>IF(New_Finance_Data[[#This Row],[  Sales ]]&gt;=100000,"High",IF(New_Finance_Data[[#This Row],[  Sales ]]&gt;=50000,"Medium","Low"))</f>
        <v>Low</v>
      </c>
      <c r="S690" t="str">
        <f>IF(OR(ISBLANK(New_Finance_Data[[#This Row],[  Sales ]]),ISBLANK(New_Finance_Data[[#This Row],[ Profit ]])),"Missing","OK")</f>
        <v>OK</v>
      </c>
      <c r="T690" t="str">
        <f>TEXT(New_Finance_Data[[#This Row],[Date]],"MMM-YYYY")</f>
        <v>Jul-2014</v>
      </c>
      <c r="U690" t="str">
        <f>IF(New_Finance_Data[[#This Row],[ Profit ]]&gt;0,"Profit","Loss")</f>
        <v>Profit</v>
      </c>
      <c r="V690" t="str">
        <f>IF(New_Finance_Data[[#This Row],[  Sales ]]&gt;=50000,"High Sales","Low Sales")</f>
        <v>Low Sales</v>
      </c>
      <c r="W690" t="b">
        <f>ISNUMBER(New_Finance_Data[[#This Row],[Date]])</f>
        <v>1</v>
      </c>
    </row>
    <row r="691" spans="1:23" x14ac:dyDescent="0.2">
      <c r="A691" t="s">
        <v>21</v>
      </c>
      <c r="B691" t="s">
        <v>20</v>
      </c>
      <c r="C691" t="s">
        <v>40</v>
      </c>
      <c r="D691" t="s">
        <v>46</v>
      </c>
      <c r="E691" s="27">
        <v>492</v>
      </c>
      <c r="F691" s="27">
        <v>250</v>
      </c>
      <c r="G691" s="27">
        <v>15</v>
      </c>
      <c r="H691" s="27">
        <v>7380</v>
      </c>
      <c r="I691" s="5">
        <v>1107</v>
      </c>
      <c r="J691" s="27">
        <v>6273</v>
      </c>
      <c r="K691" s="27">
        <v>4920</v>
      </c>
      <c r="L691" s="5">
        <v>1353</v>
      </c>
      <c r="M691" s="28">
        <v>41821</v>
      </c>
      <c r="N691" s="3">
        <v>7</v>
      </c>
      <c r="O691" s="29" t="s">
        <v>30</v>
      </c>
      <c r="P691" s="3">
        <v>2014</v>
      </c>
      <c r="Q691" s="6">
        <f>New_Finance_Data[[#This Row],[ Profit ]]/New_Finance_Data[[#This Row],[  Sales ]]</f>
        <v>0.21568627450980393</v>
      </c>
      <c r="R691" t="str">
        <f>IF(New_Finance_Data[[#This Row],[  Sales ]]&gt;=100000,"High",IF(New_Finance_Data[[#This Row],[  Sales ]]&gt;=50000,"Medium","Low"))</f>
        <v>Low</v>
      </c>
      <c r="S691" t="str">
        <f>IF(OR(ISBLANK(New_Finance_Data[[#This Row],[  Sales ]]),ISBLANK(New_Finance_Data[[#This Row],[ Profit ]])),"Missing","OK")</f>
        <v>OK</v>
      </c>
      <c r="T691" t="str">
        <f>TEXT(New_Finance_Data[[#This Row],[Date]],"MMM-YYYY")</f>
        <v>Jul-2014</v>
      </c>
      <c r="U691" t="str">
        <f>IF(New_Finance_Data[[#This Row],[ Profit ]]&gt;0,"Profit","Loss")</f>
        <v>Profit</v>
      </c>
      <c r="V691" t="str">
        <f>IF(New_Finance_Data[[#This Row],[  Sales ]]&gt;=50000,"High Sales","Low Sales")</f>
        <v>Low Sales</v>
      </c>
      <c r="W691" t="b">
        <f>ISNUMBER(New_Finance_Data[[#This Row],[Date]])</f>
        <v>1</v>
      </c>
    </row>
    <row r="692" spans="1:23" x14ac:dyDescent="0.2">
      <c r="A692" t="s">
        <v>15</v>
      </c>
      <c r="B692" t="s">
        <v>35</v>
      </c>
      <c r="C692" t="s">
        <v>40</v>
      </c>
      <c r="D692" t="s">
        <v>46</v>
      </c>
      <c r="E692" s="27">
        <v>267</v>
      </c>
      <c r="F692" s="27">
        <v>250</v>
      </c>
      <c r="G692" s="27">
        <v>20</v>
      </c>
      <c r="H692" s="27">
        <v>5340</v>
      </c>
      <c r="I692" s="5">
        <v>801</v>
      </c>
      <c r="J692" s="27">
        <v>4539</v>
      </c>
      <c r="K692" s="27">
        <v>2670</v>
      </c>
      <c r="L692" s="5">
        <v>1869</v>
      </c>
      <c r="M692" s="28">
        <v>41548</v>
      </c>
      <c r="N692" s="3">
        <v>10</v>
      </c>
      <c r="O692" s="29" t="s">
        <v>34</v>
      </c>
      <c r="P692" s="3">
        <v>2013</v>
      </c>
      <c r="Q692" s="6">
        <f>New_Finance_Data[[#This Row],[ Profit ]]/New_Finance_Data[[#This Row],[  Sales ]]</f>
        <v>0.41176470588235292</v>
      </c>
      <c r="R692" t="str">
        <f>IF(New_Finance_Data[[#This Row],[  Sales ]]&gt;=100000,"High",IF(New_Finance_Data[[#This Row],[  Sales ]]&gt;=50000,"Medium","Low"))</f>
        <v>Low</v>
      </c>
      <c r="S692" t="str">
        <f>IF(OR(ISBLANK(New_Finance_Data[[#This Row],[  Sales ]]),ISBLANK(New_Finance_Data[[#This Row],[ Profit ]])),"Missing","OK")</f>
        <v>OK</v>
      </c>
      <c r="T692" t="str">
        <f>TEXT(New_Finance_Data[[#This Row],[Date]],"MMM-YYYY")</f>
        <v>Oct-2013</v>
      </c>
      <c r="U692" t="str">
        <f>IF(New_Finance_Data[[#This Row],[ Profit ]]&gt;0,"Profit","Loss")</f>
        <v>Profit</v>
      </c>
      <c r="V692" t="str">
        <f>IF(New_Finance_Data[[#This Row],[  Sales ]]&gt;=50000,"High Sales","Low Sales")</f>
        <v>Low Sales</v>
      </c>
      <c r="W692" t="b">
        <f>ISNUMBER(New_Finance_Data[[#This Row],[Date]])</f>
        <v>1</v>
      </c>
    </row>
    <row r="693" spans="1:23" x14ac:dyDescent="0.2">
      <c r="A693" t="s">
        <v>21</v>
      </c>
      <c r="B693" t="s">
        <v>20</v>
      </c>
      <c r="C693" t="s">
        <v>40</v>
      </c>
      <c r="D693" t="s">
        <v>46</v>
      </c>
      <c r="E693" s="27">
        <v>1175</v>
      </c>
      <c r="F693" s="27">
        <v>250</v>
      </c>
      <c r="G693" s="27">
        <v>15</v>
      </c>
      <c r="H693" s="27">
        <v>17625</v>
      </c>
      <c r="I693" s="5">
        <v>2643.75</v>
      </c>
      <c r="J693" s="27">
        <v>14981.25</v>
      </c>
      <c r="K693" s="27">
        <v>11750</v>
      </c>
      <c r="L693" s="5">
        <v>3231.25</v>
      </c>
      <c r="M693" s="28">
        <v>41913</v>
      </c>
      <c r="N693" s="3">
        <v>10</v>
      </c>
      <c r="O693" s="29" t="s">
        <v>34</v>
      </c>
      <c r="P693" s="3">
        <v>2014</v>
      </c>
      <c r="Q693" s="6">
        <f>New_Finance_Data[[#This Row],[ Profit ]]/New_Finance_Data[[#This Row],[  Sales ]]</f>
        <v>0.21568627450980393</v>
      </c>
      <c r="R693" t="str">
        <f>IF(New_Finance_Data[[#This Row],[  Sales ]]&gt;=100000,"High",IF(New_Finance_Data[[#This Row],[  Sales ]]&gt;=50000,"Medium","Low"))</f>
        <v>Low</v>
      </c>
      <c r="S693" t="str">
        <f>IF(OR(ISBLANK(New_Finance_Data[[#This Row],[  Sales ]]),ISBLANK(New_Finance_Data[[#This Row],[ Profit ]])),"Missing","OK")</f>
        <v>OK</v>
      </c>
      <c r="T693" t="str">
        <f>TEXT(New_Finance_Data[[#This Row],[Date]],"MMM-YYYY")</f>
        <v>Oct-2014</v>
      </c>
      <c r="U693" t="str">
        <f>IF(New_Finance_Data[[#This Row],[ Profit ]]&gt;0,"Profit","Loss")</f>
        <v>Profit</v>
      </c>
      <c r="V693" t="str">
        <f>IF(New_Finance_Data[[#This Row],[  Sales ]]&gt;=50000,"High Sales","Low Sales")</f>
        <v>Low Sales</v>
      </c>
      <c r="W693" t="b">
        <f>ISNUMBER(New_Finance_Data[[#This Row],[Date]])</f>
        <v>1</v>
      </c>
    </row>
    <row r="694" spans="1:23" x14ac:dyDescent="0.2">
      <c r="A694" t="s">
        <v>29</v>
      </c>
      <c r="B694" t="s">
        <v>16</v>
      </c>
      <c r="C694" t="s">
        <v>40</v>
      </c>
      <c r="D694" t="s">
        <v>46</v>
      </c>
      <c r="E694" s="27">
        <v>2954</v>
      </c>
      <c r="F694" s="27">
        <v>250</v>
      </c>
      <c r="G694" s="27">
        <v>125</v>
      </c>
      <c r="H694" s="27">
        <v>369250</v>
      </c>
      <c r="I694" s="5">
        <v>55387.5</v>
      </c>
      <c r="J694" s="27">
        <v>313862.5</v>
      </c>
      <c r="K694" s="27">
        <v>354480</v>
      </c>
      <c r="L694" s="5">
        <v>-40617.5</v>
      </c>
      <c r="M694" s="28">
        <v>41579</v>
      </c>
      <c r="N694" s="3">
        <v>11</v>
      </c>
      <c r="O694" s="29" t="s">
        <v>38</v>
      </c>
      <c r="P694" s="3">
        <v>2013</v>
      </c>
      <c r="Q694" s="6">
        <f>New_Finance_Data[[#This Row],[ Profit ]]/New_Finance_Data[[#This Row],[  Sales ]]</f>
        <v>-0.12941176470588237</v>
      </c>
      <c r="R694" t="str">
        <f>IF(New_Finance_Data[[#This Row],[  Sales ]]&gt;=100000,"High",IF(New_Finance_Data[[#This Row],[  Sales ]]&gt;=50000,"Medium","Low"))</f>
        <v>High</v>
      </c>
      <c r="S694" t="str">
        <f>IF(OR(ISBLANK(New_Finance_Data[[#This Row],[  Sales ]]),ISBLANK(New_Finance_Data[[#This Row],[ Profit ]])),"Missing","OK")</f>
        <v>OK</v>
      </c>
      <c r="T694" t="str">
        <f>TEXT(New_Finance_Data[[#This Row],[Date]],"MMM-YYYY")</f>
        <v>Nov-2013</v>
      </c>
      <c r="U694" t="str">
        <f>IF(New_Finance_Data[[#This Row],[ Profit ]]&gt;0,"Profit","Loss")</f>
        <v>Loss</v>
      </c>
      <c r="V694" t="str">
        <f>IF(New_Finance_Data[[#This Row],[  Sales ]]&gt;=50000,"High Sales","Low Sales")</f>
        <v>High Sales</v>
      </c>
      <c r="W694" t="b">
        <f>ISNUMBER(New_Finance_Data[[#This Row],[Date]])</f>
        <v>1</v>
      </c>
    </row>
    <row r="695" spans="1:23" x14ac:dyDescent="0.2">
      <c r="A695" t="s">
        <v>29</v>
      </c>
      <c r="B695" t="s">
        <v>20</v>
      </c>
      <c r="C695" t="s">
        <v>40</v>
      </c>
      <c r="D695" t="s">
        <v>46</v>
      </c>
      <c r="E695" s="27">
        <v>552</v>
      </c>
      <c r="F695" s="27">
        <v>250</v>
      </c>
      <c r="G695" s="27">
        <v>125</v>
      </c>
      <c r="H695" s="27">
        <v>69000</v>
      </c>
      <c r="I695" s="5">
        <v>10350</v>
      </c>
      <c r="J695" s="27">
        <v>58650</v>
      </c>
      <c r="K695" s="27">
        <v>66240</v>
      </c>
      <c r="L695" s="5">
        <v>-7590</v>
      </c>
      <c r="M695" s="28">
        <v>41944</v>
      </c>
      <c r="N695" s="3">
        <v>11</v>
      </c>
      <c r="O695" s="29" t="s">
        <v>38</v>
      </c>
      <c r="P695" s="3">
        <v>2014</v>
      </c>
      <c r="Q695" s="6">
        <f>New_Finance_Data[[#This Row],[ Profit ]]/New_Finance_Data[[#This Row],[  Sales ]]</f>
        <v>-0.12941176470588237</v>
      </c>
      <c r="R695" t="str">
        <f>IF(New_Finance_Data[[#This Row],[  Sales ]]&gt;=100000,"High",IF(New_Finance_Data[[#This Row],[  Sales ]]&gt;=50000,"Medium","Low"))</f>
        <v>Medium</v>
      </c>
      <c r="S695" t="str">
        <f>IF(OR(ISBLANK(New_Finance_Data[[#This Row],[  Sales ]]),ISBLANK(New_Finance_Data[[#This Row],[ Profit ]])),"Missing","OK")</f>
        <v>OK</v>
      </c>
      <c r="T695" t="str">
        <f>TEXT(New_Finance_Data[[#This Row],[Date]],"MMM-YYYY")</f>
        <v>Nov-2014</v>
      </c>
      <c r="U695" t="str">
        <f>IF(New_Finance_Data[[#This Row],[ Profit ]]&gt;0,"Profit","Loss")</f>
        <v>Loss</v>
      </c>
      <c r="V695" t="str">
        <f>IF(New_Finance_Data[[#This Row],[  Sales ]]&gt;=50000,"High Sales","Low Sales")</f>
        <v>High Sales</v>
      </c>
      <c r="W695" t="b">
        <f>ISNUMBER(New_Finance_Data[[#This Row],[Date]])</f>
        <v>1</v>
      </c>
    </row>
    <row r="696" spans="1:23" x14ac:dyDescent="0.2">
      <c r="A696" t="s">
        <v>15</v>
      </c>
      <c r="B696" t="s">
        <v>22</v>
      </c>
      <c r="C696" t="s">
        <v>40</v>
      </c>
      <c r="D696" t="s">
        <v>46</v>
      </c>
      <c r="E696" s="27">
        <v>293</v>
      </c>
      <c r="F696" s="27">
        <v>250</v>
      </c>
      <c r="G696" s="27">
        <v>20</v>
      </c>
      <c r="H696" s="27">
        <v>5860</v>
      </c>
      <c r="I696" s="5">
        <v>879</v>
      </c>
      <c r="J696" s="27">
        <v>4981</v>
      </c>
      <c r="K696" s="27">
        <v>2930</v>
      </c>
      <c r="L696" s="5">
        <v>2051</v>
      </c>
      <c r="M696" s="28">
        <v>41974</v>
      </c>
      <c r="N696" s="3">
        <v>12</v>
      </c>
      <c r="O696" s="29" t="s">
        <v>25</v>
      </c>
      <c r="P696" s="3">
        <v>2014</v>
      </c>
      <c r="Q696" s="6">
        <f>New_Finance_Data[[#This Row],[ Profit ]]/New_Finance_Data[[#This Row],[  Sales ]]</f>
        <v>0.41176470588235292</v>
      </c>
      <c r="R696" t="str">
        <f>IF(New_Finance_Data[[#This Row],[  Sales ]]&gt;=100000,"High",IF(New_Finance_Data[[#This Row],[  Sales ]]&gt;=50000,"Medium","Low"))</f>
        <v>Low</v>
      </c>
      <c r="S696" t="str">
        <f>IF(OR(ISBLANK(New_Finance_Data[[#This Row],[  Sales ]]),ISBLANK(New_Finance_Data[[#This Row],[ Profit ]])),"Missing","OK")</f>
        <v>OK</v>
      </c>
      <c r="T696" t="str">
        <f>TEXT(New_Finance_Data[[#This Row],[Date]],"MMM-YYYY")</f>
        <v>Dec-2014</v>
      </c>
      <c r="U696" t="str">
        <f>IF(New_Finance_Data[[#This Row],[ Profit ]]&gt;0,"Profit","Loss")</f>
        <v>Profit</v>
      </c>
      <c r="V696" t="str">
        <f>IF(New_Finance_Data[[#This Row],[  Sales ]]&gt;=50000,"High Sales","Low Sales")</f>
        <v>Low Sales</v>
      </c>
      <c r="W696" t="b">
        <f>ISNUMBER(New_Finance_Data[[#This Row],[Date]])</f>
        <v>1</v>
      </c>
    </row>
    <row r="697" spans="1:23" x14ac:dyDescent="0.2">
      <c r="A697" t="s">
        <v>31</v>
      </c>
      <c r="B697" t="s">
        <v>22</v>
      </c>
      <c r="C697" t="s">
        <v>42</v>
      </c>
      <c r="D697" t="s">
        <v>46</v>
      </c>
      <c r="E697" s="27">
        <v>2475</v>
      </c>
      <c r="F697" s="27">
        <v>260</v>
      </c>
      <c r="G697" s="27">
        <v>300</v>
      </c>
      <c r="H697" s="27">
        <v>742500</v>
      </c>
      <c r="I697" s="5">
        <v>111375</v>
      </c>
      <c r="J697" s="27">
        <v>631125</v>
      </c>
      <c r="K697" s="27">
        <v>618750</v>
      </c>
      <c r="L697" s="5">
        <v>12375</v>
      </c>
      <c r="M697" s="28">
        <v>41699</v>
      </c>
      <c r="N697" s="3">
        <v>3</v>
      </c>
      <c r="O697" s="29" t="s">
        <v>27</v>
      </c>
      <c r="P697" s="3">
        <v>2014</v>
      </c>
      <c r="Q697" s="6">
        <f>New_Finance_Data[[#This Row],[ Profit ]]/New_Finance_Data[[#This Row],[  Sales ]]</f>
        <v>1.9607843137254902E-2</v>
      </c>
      <c r="R697" t="str">
        <f>IF(New_Finance_Data[[#This Row],[  Sales ]]&gt;=100000,"High",IF(New_Finance_Data[[#This Row],[  Sales ]]&gt;=50000,"Medium","Low"))</f>
        <v>High</v>
      </c>
      <c r="S697" t="str">
        <f>IF(OR(ISBLANK(New_Finance_Data[[#This Row],[  Sales ]]),ISBLANK(New_Finance_Data[[#This Row],[ Profit ]])),"Missing","OK")</f>
        <v>OK</v>
      </c>
      <c r="T697" t="str">
        <f>TEXT(New_Finance_Data[[#This Row],[Date]],"MMM-YYYY")</f>
        <v>Mar-2014</v>
      </c>
      <c r="U697" t="str">
        <f>IF(New_Finance_Data[[#This Row],[ Profit ]]&gt;0,"Profit","Loss")</f>
        <v>Profit</v>
      </c>
      <c r="V697" t="str">
        <f>IF(New_Finance_Data[[#This Row],[  Sales ]]&gt;=50000,"High Sales","Low Sales")</f>
        <v>High Sales</v>
      </c>
      <c r="W697" t="b">
        <f>ISNUMBER(New_Finance_Data[[#This Row],[Date]])</f>
        <v>1</v>
      </c>
    </row>
    <row r="698" spans="1:23" x14ac:dyDescent="0.2">
      <c r="A698" t="s">
        <v>31</v>
      </c>
      <c r="B698" t="s">
        <v>24</v>
      </c>
      <c r="C698" t="s">
        <v>42</v>
      </c>
      <c r="D698" t="s">
        <v>46</v>
      </c>
      <c r="E698" s="27">
        <v>546</v>
      </c>
      <c r="F698" s="27">
        <v>260</v>
      </c>
      <c r="G698" s="27">
        <v>300</v>
      </c>
      <c r="H698" s="27">
        <v>163800</v>
      </c>
      <c r="I698" s="5">
        <v>24570</v>
      </c>
      <c r="J698" s="27">
        <v>139230</v>
      </c>
      <c r="K698" s="27">
        <v>136500</v>
      </c>
      <c r="L698" s="5">
        <v>2730</v>
      </c>
      <c r="M698" s="28">
        <v>41913</v>
      </c>
      <c r="N698" s="3">
        <v>10</v>
      </c>
      <c r="O698" s="29" t="s">
        <v>34</v>
      </c>
      <c r="P698" s="3">
        <v>2014</v>
      </c>
      <c r="Q698" s="6">
        <f>New_Finance_Data[[#This Row],[ Profit ]]/New_Finance_Data[[#This Row],[  Sales ]]</f>
        <v>1.9607843137254902E-2</v>
      </c>
      <c r="R698" t="str">
        <f>IF(New_Finance_Data[[#This Row],[  Sales ]]&gt;=100000,"High",IF(New_Finance_Data[[#This Row],[  Sales ]]&gt;=50000,"Medium","Low"))</f>
        <v>High</v>
      </c>
      <c r="S698" t="str">
        <f>IF(OR(ISBLANK(New_Finance_Data[[#This Row],[  Sales ]]),ISBLANK(New_Finance_Data[[#This Row],[ Profit ]])),"Missing","OK")</f>
        <v>OK</v>
      </c>
      <c r="T698" t="str">
        <f>TEXT(New_Finance_Data[[#This Row],[Date]],"MMM-YYYY")</f>
        <v>Oct-2014</v>
      </c>
      <c r="U698" t="str">
        <f>IF(New_Finance_Data[[#This Row],[ Profit ]]&gt;0,"Profit","Loss")</f>
        <v>Profit</v>
      </c>
      <c r="V698" t="str">
        <f>IF(New_Finance_Data[[#This Row],[  Sales ]]&gt;=50000,"High Sales","Low Sales")</f>
        <v>High Sales</v>
      </c>
      <c r="W698" t="b">
        <f>ISNUMBER(New_Finance_Data[[#This Row],[Date]])</f>
        <v>1</v>
      </c>
    </row>
    <row r="699" spans="1:23" x14ac:dyDescent="0.2">
      <c r="A699" t="s">
        <v>15</v>
      </c>
      <c r="B699" t="s">
        <v>24</v>
      </c>
      <c r="C699" t="s">
        <v>26</v>
      </c>
      <c r="D699" t="s">
        <v>46</v>
      </c>
      <c r="E699" s="27">
        <v>1368</v>
      </c>
      <c r="F699" s="27">
        <v>5</v>
      </c>
      <c r="G699" s="27">
        <v>7</v>
      </c>
      <c r="H699" s="27">
        <v>9576</v>
      </c>
      <c r="I699" s="5">
        <v>1436.4</v>
      </c>
      <c r="J699" s="27">
        <v>8139.6</v>
      </c>
      <c r="K699" s="27">
        <v>6840</v>
      </c>
      <c r="L699" s="5">
        <v>1299.5999999999999</v>
      </c>
      <c r="M699" s="28">
        <v>41671</v>
      </c>
      <c r="N699" s="3">
        <v>2</v>
      </c>
      <c r="O699" s="29" t="s">
        <v>37</v>
      </c>
      <c r="P699" s="3">
        <v>2014</v>
      </c>
      <c r="Q699" s="6">
        <f>New_Finance_Data[[#This Row],[ Profit ]]/New_Finance_Data[[#This Row],[  Sales ]]</f>
        <v>0.15966386554621848</v>
      </c>
      <c r="R699" t="str">
        <f>IF(New_Finance_Data[[#This Row],[  Sales ]]&gt;=100000,"High",IF(New_Finance_Data[[#This Row],[  Sales ]]&gt;=50000,"Medium","Low"))</f>
        <v>Low</v>
      </c>
      <c r="S699" t="str">
        <f>IF(OR(ISBLANK(New_Finance_Data[[#This Row],[  Sales ]]),ISBLANK(New_Finance_Data[[#This Row],[ Profit ]])),"Missing","OK")</f>
        <v>OK</v>
      </c>
      <c r="T699" t="str">
        <f>TEXT(New_Finance_Data[[#This Row],[Date]],"MMM-YYYY")</f>
        <v>Feb-2014</v>
      </c>
      <c r="U699" t="str">
        <f>IF(New_Finance_Data[[#This Row],[ Profit ]]&gt;0,"Profit","Loss")</f>
        <v>Profit</v>
      </c>
      <c r="V699" t="str">
        <f>IF(New_Finance_Data[[#This Row],[  Sales ]]&gt;=50000,"High Sales","Low Sales")</f>
        <v>Low Sales</v>
      </c>
      <c r="W699" t="b">
        <f>ISNUMBER(New_Finance_Data[[#This Row],[Date]])</f>
        <v>1</v>
      </c>
    </row>
    <row r="700" spans="1:23" x14ac:dyDescent="0.2">
      <c r="A700" t="s">
        <v>15</v>
      </c>
      <c r="B700" t="s">
        <v>16</v>
      </c>
      <c r="C700" t="s">
        <v>36</v>
      </c>
      <c r="D700" t="s">
        <v>46</v>
      </c>
      <c r="E700" s="27">
        <v>723</v>
      </c>
      <c r="F700" s="27">
        <v>10</v>
      </c>
      <c r="G700" s="27">
        <v>7</v>
      </c>
      <c r="H700" s="27">
        <v>5061</v>
      </c>
      <c r="I700" s="5">
        <v>759.15</v>
      </c>
      <c r="J700" s="27">
        <v>4301.8500000000004</v>
      </c>
      <c r="K700" s="27">
        <v>3615</v>
      </c>
      <c r="L700" s="5">
        <v>686.85</v>
      </c>
      <c r="M700" s="28">
        <v>41730</v>
      </c>
      <c r="N700" s="3">
        <v>4</v>
      </c>
      <c r="O700" s="29" t="s">
        <v>41</v>
      </c>
      <c r="P700" s="3">
        <v>2014</v>
      </c>
      <c r="Q700" s="6">
        <f>New_Finance_Data[[#This Row],[ Profit ]]/New_Finance_Data[[#This Row],[  Sales ]]</f>
        <v>0.15966386554621848</v>
      </c>
      <c r="R700" t="str">
        <f>IF(New_Finance_Data[[#This Row],[  Sales ]]&gt;=100000,"High",IF(New_Finance_Data[[#This Row],[  Sales ]]&gt;=50000,"Medium","Low"))</f>
        <v>Low</v>
      </c>
      <c r="S700" t="str">
        <f>IF(OR(ISBLANK(New_Finance_Data[[#This Row],[  Sales ]]),ISBLANK(New_Finance_Data[[#This Row],[ Profit ]])),"Missing","OK")</f>
        <v>OK</v>
      </c>
      <c r="T700" t="str">
        <f>TEXT(New_Finance_Data[[#This Row],[Date]],"MMM-YYYY")</f>
        <v>Apr-2014</v>
      </c>
      <c r="U700" t="str">
        <f>IF(New_Finance_Data[[#This Row],[ Profit ]]&gt;0,"Profit","Loss")</f>
        <v>Profit</v>
      </c>
      <c r="V700" t="str">
        <f>IF(New_Finance_Data[[#This Row],[  Sales ]]&gt;=50000,"High Sales","Low Sales")</f>
        <v>Low Sales</v>
      </c>
      <c r="W700" t="b">
        <f>ISNUMBER(New_Finance_Data[[#This Row],[Date]])</f>
        <v>1</v>
      </c>
    </row>
    <row r="701" spans="1:23" x14ac:dyDescent="0.2">
      <c r="A701" t="s">
        <v>28</v>
      </c>
      <c r="B701" t="s">
        <v>35</v>
      </c>
      <c r="C701" t="s">
        <v>40</v>
      </c>
      <c r="D701" t="s">
        <v>46</v>
      </c>
      <c r="E701" s="27">
        <v>1806</v>
      </c>
      <c r="F701" s="27">
        <v>250</v>
      </c>
      <c r="G701" s="27">
        <v>12</v>
      </c>
      <c r="H701" s="27">
        <v>21672</v>
      </c>
      <c r="I701" s="5">
        <v>3250.8</v>
      </c>
      <c r="J701" s="27">
        <v>18421.2</v>
      </c>
      <c r="K701" s="27">
        <v>5418</v>
      </c>
      <c r="L701" s="5">
        <v>13003.2</v>
      </c>
      <c r="M701" s="28">
        <v>41760</v>
      </c>
      <c r="N701" s="3">
        <v>5</v>
      </c>
      <c r="O701" s="29" t="s">
        <v>44</v>
      </c>
      <c r="P701" s="3">
        <v>2014</v>
      </c>
      <c r="Q701" s="6">
        <f>New_Finance_Data[[#This Row],[ Profit ]]/New_Finance_Data[[#This Row],[  Sales ]]</f>
        <v>0.70588235294117652</v>
      </c>
      <c r="R701" t="str">
        <f>IF(New_Finance_Data[[#This Row],[  Sales ]]&gt;=100000,"High",IF(New_Finance_Data[[#This Row],[  Sales ]]&gt;=50000,"Medium","Low"))</f>
        <v>Low</v>
      </c>
      <c r="S701" t="str">
        <f>IF(OR(ISBLANK(New_Finance_Data[[#This Row],[  Sales ]]),ISBLANK(New_Finance_Data[[#This Row],[ Profit ]])),"Missing","OK")</f>
        <v>OK</v>
      </c>
      <c r="T701" t="str">
        <f>TEXT(New_Finance_Data[[#This Row],[Date]],"MMM-YYYY")</f>
        <v>May-2014</v>
      </c>
      <c r="U701" t="str">
        <f>IF(New_Finance_Data[[#This Row],[ Profit ]]&gt;0,"Profit","Loss")</f>
        <v>Profit</v>
      </c>
      <c r="V701" t="str">
        <f>IF(New_Finance_Data[[#This Row],[  Sales ]]&gt;=50000,"High Sales","Low Sales")</f>
        <v>Low Sales</v>
      </c>
      <c r="W701" t="b">
        <f>ISNUMBER(New_Finance_Data[[#This Row],[Date]])</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3EAB-46AF-5B42-A7F5-3098AD67C326}">
  <dimension ref="A3:Q53"/>
  <sheetViews>
    <sheetView workbookViewId="0">
      <selection activeCell="L28" sqref="L28"/>
    </sheetView>
  </sheetViews>
  <sheetFormatPr baseColWidth="10" defaultRowHeight="16" x14ac:dyDescent="0.2"/>
  <cols>
    <col min="1" max="2" width="13.33203125" bestFit="1" customWidth="1"/>
    <col min="3" max="3" width="12" bestFit="1" customWidth="1"/>
    <col min="5" max="5" width="18.1640625" bestFit="1" customWidth="1"/>
    <col min="6" max="6" width="13" bestFit="1" customWidth="1"/>
    <col min="7" max="7" width="17" bestFit="1" customWidth="1"/>
    <col min="8" max="8" width="3.6640625" customWidth="1"/>
    <col min="9" max="9" width="15" bestFit="1" customWidth="1"/>
    <col min="10" max="10" width="13.33203125" bestFit="1" customWidth="1"/>
    <col min="11" max="12" width="21" bestFit="1" customWidth="1"/>
    <col min="13" max="13" width="13" style="34" bestFit="1" customWidth="1"/>
    <col min="14" max="14" width="13.33203125" bestFit="1" customWidth="1"/>
    <col min="15" max="16" width="13" bestFit="1" customWidth="1"/>
    <col min="17" max="17" width="13.33203125" bestFit="1" customWidth="1"/>
  </cols>
  <sheetData>
    <row r="3" spans="1:17" x14ac:dyDescent="0.2">
      <c r="A3" t="s">
        <v>49</v>
      </c>
      <c r="C3" t="s">
        <v>91</v>
      </c>
      <c r="E3" t="s">
        <v>55</v>
      </c>
      <c r="G3" t="s">
        <v>56</v>
      </c>
      <c r="I3" t="s">
        <v>57</v>
      </c>
      <c r="K3" s="7" t="s">
        <v>58</v>
      </c>
      <c r="O3" s="1" t="s">
        <v>47</v>
      </c>
      <c r="P3" t="s">
        <v>91</v>
      </c>
      <c r="Q3" t="s">
        <v>49</v>
      </c>
    </row>
    <row r="4" spans="1:17" x14ac:dyDescent="0.2">
      <c r="A4" s="40">
        <v>118726350.26999989</v>
      </c>
      <c r="C4" s="40">
        <v>16893702.250000011</v>
      </c>
      <c r="E4" s="40">
        <v>127931598.5</v>
      </c>
      <c r="G4" s="40">
        <v>1125806</v>
      </c>
      <c r="I4" s="40">
        <v>9205248.2600000016</v>
      </c>
      <c r="K4" s="6">
        <f>C4/A4</f>
        <v>0.14229109386064198</v>
      </c>
      <c r="O4" s="2" t="s">
        <v>60</v>
      </c>
      <c r="P4" s="5">
        <v>3878464.51</v>
      </c>
      <c r="Q4">
        <v>26415255.509999998</v>
      </c>
    </row>
    <row r="5" spans="1:17" x14ac:dyDescent="0.2">
      <c r="O5" s="30" t="s">
        <v>93</v>
      </c>
      <c r="P5" s="5">
        <v>763603.03000000014</v>
      </c>
      <c r="Q5">
        <v>4484000.03</v>
      </c>
    </row>
    <row r="6" spans="1:17" x14ac:dyDescent="0.2">
      <c r="O6" s="30" t="s">
        <v>94</v>
      </c>
      <c r="P6" s="5">
        <v>1657795.0999999999</v>
      </c>
      <c r="Q6">
        <v>9295611.0999999959</v>
      </c>
    </row>
    <row r="7" spans="1:17" x14ac:dyDescent="0.2">
      <c r="A7" s="1" t="s">
        <v>47</v>
      </c>
      <c r="B7" t="s">
        <v>49</v>
      </c>
      <c r="E7" s="1" t="s">
        <v>47</v>
      </c>
      <c r="F7" t="s">
        <v>91</v>
      </c>
      <c r="I7" s="1" t="s">
        <v>47</v>
      </c>
      <c r="J7" t="s">
        <v>49</v>
      </c>
      <c r="M7" s="35" t="s">
        <v>47</v>
      </c>
      <c r="N7" t="s">
        <v>49</v>
      </c>
      <c r="O7" s="30" t="s">
        <v>95</v>
      </c>
      <c r="P7" s="5">
        <v>765502.3</v>
      </c>
      <c r="Q7">
        <v>7267203.2999999998</v>
      </c>
    </row>
    <row r="8" spans="1:17" x14ac:dyDescent="0.2">
      <c r="A8" s="2" t="s">
        <v>60</v>
      </c>
      <c r="B8">
        <v>26415255.509999998</v>
      </c>
      <c r="E8" s="2" t="s">
        <v>16</v>
      </c>
      <c r="F8" s="5">
        <v>3529228.88</v>
      </c>
      <c r="I8" s="2" t="s">
        <v>28</v>
      </c>
      <c r="J8">
        <v>1800593.6399999994</v>
      </c>
      <c r="M8" s="36" t="s">
        <v>42</v>
      </c>
      <c r="N8">
        <v>17747116.059999999</v>
      </c>
      <c r="O8" s="30" t="s">
        <v>96</v>
      </c>
      <c r="P8" s="5">
        <v>691564.08000000007</v>
      </c>
      <c r="Q8">
        <v>5368441.08</v>
      </c>
    </row>
    <row r="9" spans="1:17" x14ac:dyDescent="0.2">
      <c r="A9" s="30" t="s">
        <v>93</v>
      </c>
      <c r="B9">
        <v>4484000.03</v>
      </c>
      <c r="E9" s="2" t="s">
        <v>22</v>
      </c>
      <c r="F9" s="5">
        <v>3781020.7900000005</v>
      </c>
      <c r="I9" s="2" t="s">
        <v>21</v>
      </c>
      <c r="J9">
        <v>2381883.08</v>
      </c>
      <c r="M9" s="36" t="s">
        <v>17</v>
      </c>
      <c r="N9">
        <v>13815307.890000004</v>
      </c>
      <c r="O9" s="2" t="s">
        <v>89</v>
      </c>
      <c r="P9" s="5">
        <v>13015237.74</v>
      </c>
      <c r="Q9">
        <v>92311094.760000005</v>
      </c>
    </row>
    <row r="10" spans="1:17" x14ac:dyDescent="0.2">
      <c r="A10" s="30" t="s">
        <v>94</v>
      </c>
      <c r="B10">
        <v>9295611.0999999959</v>
      </c>
      <c r="E10" s="2" t="s">
        <v>20</v>
      </c>
      <c r="F10" s="5">
        <v>3680388.8200000008</v>
      </c>
      <c r="I10" s="2" t="s">
        <v>29</v>
      </c>
      <c r="J10">
        <v>19611694.379999999</v>
      </c>
      <c r="M10" s="36" t="s">
        <v>26</v>
      </c>
      <c r="N10">
        <v>15390801.879999995</v>
      </c>
      <c r="O10" s="30" t="s">
        <v>97</v>
      </c>
      <c r="P10" s="5">
        <v>814028.67999999993</v>
      </c>
      <c r="Q10">
        <v>6607761.6900000004</v>
      </c>
    </row>
    <row r="11" spans="1:17" x14ac:dyDescent="0.2">
      <c r="A11" s="30" t="s">
        <v>95</v>
      </c>
      <c r="B11">
        <v>7267203.2999999998</v>
      </c>
      <c r="E11" s="2" t="s">
        <v>24</v>
      </c>
      <c r="F11" s="5">
        <v>2907523.1100000003</v>
      </c>
      <c r="I11" s="2" t="s">
        <v>31</v>
      </c>
      <c r="J11">
        <v>42427918.5</v>
      </c>
      <c r="M11" s="36" t="s">
        <v>36</v>
      </c>
      <c r="N11">
        <v>33011143.950000007</v>
      </c>
      <c r="O11" s="30" t="s">
        <v>98</v>
      </c>
      <c r="P11" s="5">
        <v>1148547.3899999999</v>
      </c>
      <c r="Q11">
        <v>7297531.3900000006</v>
      </c>
    </row>
    <row r="12" spans="1:17" x14ac:dyDescent="0.2">
      <c r="A12" s="30" t="s">
        <v>96</v>
      </c>
      <c r="B12">
        <v>5368441.08</v>
      </c>
      <c r="E12" s="2" t="s">
        <v>35</v>
      </c>
      <c r="F12" s="5">
        <v>2995540.649999999</v>
      </c>
      <c r="I12" s="2" t="s">
        <v>15</v>
      </c>
      <c r="J12">
        <v>52504260.670000032</v>
      </c>
      <c r="M12" s="36" t="s">
        <v>39</v>
      </c>
      <c r="N12">
        <v>18250059.470000003</v>
      </c>
      <c r="O12" s="30" t="s">
        <v>99</v>
      </c>
      <c r="P12" s="5">
        <v>669866.87</v>
      </c>
      <c r="Q12">
        <v>5586859.8699999992</v>
      </c>
    </row>
    <row r="13" spans="1:17" x14ac:dyDescent="0.2">
      <c r="A13" s="2" t="s">
        <v>89</v>
      </c>
      <c r="B13">
        <v>92311094.760000005</v>
      </c>
      <c r="E13" s="2" t="s">
        <v>48</v>
      </c>
      <c r="F13" s="5">
        <v>16893702.25</v>
      </c>
      <c r="I13" s="2" t="s">
        <v>48</v>
      </c>
      <c r="J13">
        <v>118726350.27000003</v>
      </c>
      <c r="M13" s="36" t="s">
        <v>40</v>
      </c>
      <c r="N13">
        <v>20511921.02</v>
      </c>
      <c r="O13" s="30" t="s">
        <v>100</v>
      </c>
      <c r="P13" s="5">
        <v>929984.56999999983</v>
      </c>
      <c r="Q13">
        <v>6964775.0700000012</v>
      </c>
    </row>
    <row r="14" spans="1:17" x14ac:dyDescent="0.2">
      <c r="A14" s="30" t="s">
        <v>97</v>
      </c>
      <c r="B14">
        <v>6607761.6900000004</v>
      </c>
      <c r="M14" s="36" t="s">
        <v>48</v>
      </c>
      <c r="N14">
        <v>118726350.27</v>
      </c>
      <c r="O14" s="30" t="s">
        <v>101</v>
      </c>
      <c r="P14" s="5">
        <v>828640.06</v>
      </c>
      <c r="Q14">
        <v>6210211.0600000005</v>
      </c>
    </row>
    <row r="15" spans="1:17" x14ac:dyDescent="0.2">
      <c r="A15" s="30" t="s">
        <v>98</v>
      </c>
      <c r="B15">
        <v>7297531.3900000006</v>
      </c>
      <c r="O15" s="30" t="s">
        <v>102</v>
      </c>
      <c r="P15" s="5">
        <v>1473753.8200000003</v>
      </c>
      <c r="Q15">
        <v>9518893.8199999966</v>
      </c>
    </row>
    <row r="16" spans="1:17" x14ac:dyDescent="0.2">
      <c r="A16" s="30" t="s">
        <v>99</v>
      </c>
      <c r="B16">
        <v>5586859.8699999992</v>
      </c>
      <c r="O16" s="30" t="s">
        <v>103</v>
      </c>
      <c r="P16" s="5">
        <v>923865.66999999981</v>
      </c>
      <c r="Q16">
        <v>8102920.1800000016</v>
      </c>
    </row>
    <row r="17" spans="1:17" x14ac:dyDescent="0.2">
      <c r="A17" s="30" t="s">
        <v>100</v>
      </c>
      <c r="B17">
        <v>6964775.0700000012</v>
      </c>
      <c r="O17" s="30" t="s">
        <v>104</v>
      </c>
      <c r="P17" s="5">
        <v>791066.41999999993</v>
      </c>
      <c r="Q17">
        <v>5864622.4199999999</v>
      </c>
    </row>
    <row r="18" spans="1:17" x14ac:dyDescent="0.2">
      <c r="A18" s="30" t="s">
        <v>101</v>
      </c>
      <c r="B18">
        <v>6210211.0600000005</v>
      </c>
      <c r="O18" s="30" t="s">
        <v>93</v>
      </c>
      <c r="P18" s="5">
        <v>1023132.24</v>
      </c>
      <c r="Q18">
        <v>6398697.2400000002</v>
      </c>
    </row>
    <row r="19" spans="1:17" x14ac:dyDescent="0.2">
      <c r="A19" s="30" t="s">
        <v>102</v>
      </c>
      <c r="B19">
        <v>9518893.8199999966</v>
      </c>
      <c r="O19" s="30" t="s">
        <v>94</v>
      </c>
      <c r="P19" s="5">
        <v>1781985.9200000004</v>
      </c>
      <c r="Q19">
        <v>12375819.919999994</v>
      </c>
    </row>
    <row r="20" spans="1:17" x14ac:dyDescent="0.2">
      <c r="A20" s="30" t="s">
        <v>103</v>
      </c>
      <c r="B20">
        <v>8102920.1800000016</v>
      </c>
      <c r="I20" s="1" t="s">
        <v>47</v>
      </c>
      <c r="J20" t="s">
        <v>79</v>
      </c>
      <c r="O20" s="30" t="s">
        <v>95</v>
      </c>
      <c r="P20" s="5">
        <v>604600.19999999995</v>
      </c>
      <c r="Q20">
        <v>5384214.2000000002</v>
      </c>
    </row>
    <row r="21" spans="1:17" x14ac:dyDescent="0.2">
      <c r="A21" s="30" t="s">
        <v>104</v>
      </c>
      <c r="B21">
        <v>5864622.4199999999</v>
      </c>
      <c r="I21" s="2" t="s">
        <v>46</v>
      </c>
      <c r="J21">
        <v>245</v>
      </c>
      <c r="O21" s="30" t="s">
        <v>96</v>
      </c>
      <c r="P21" s="5">
        <v>2025765.9000000008</v>
      </c>
      <c r="Q21">
        <v>11998787.900000002</v>
      </c>
    </row>
    <row r="22" spans="1:17" x14ac:dyDescent="0.2">
      <c r="A22" s="30" t="s">
        <v>93</v>
      </c>
      <c r="B22">
        <v>6398697.2400000002</v>
      </c>
      <c r="I22" s="2" t="s">
        <v>43</v>
      </c>
      <c r="J22">
        <v>160</v>
      </c>
      <c r="O22" s="2" t="s">
        <v>48</v>
      </c>
      <c r="P22" s="5">
        <v>16893702.25</v>
      </c>
      <c r="Q22">
        <v>118726350.27</v>
      </c>
    </row>
    <row r="23" spans="1:17" x14ac:dyDescent="0.2">
      <c r="A23" s="30" t="s">
        <v>94</v>
      </c>
      <c r="B23">
        <v>12375819.919999994</v>
      </c>
      <c r="I23" s="2" t="s">
        <v>45</v>
      </c>
      <c r="J23">
        <v>242</v>
      </c>
    </row>
    <row r="24" spans="1:17" x14ac:dyDescent="0.2">
      <c r="A24" s="30" t="s">
        <v>95</v>
      </c>
      <c r="B24">
        <v>5384214.2000000002</v>
      </c>
      <c r="I24" s="2" t="s">
        <v>18</v>
      </c>
      <c r="J24">
        <v>53</v>
      </c>
    </row>
    <row r="25" spans="1:17" x14ac:dyDescent="0.2">
      <c r="A25" s="30" t="s">
        <v>96</v>
      </c>
      <c r="B25">
        <v>11998787.900000002</v>
      </c>
      <c r="I25" s="2" t="s">
        <v>48</v>
      </c>
      <c r="J25">
        <v>700</v>
      </c>
    </row>
    <row r="26" spans="1:17" x14ac:dyDescent="0.2">
      <c r="A26" s="2" t="s">
        <v>48</v>
      </c>
      <c r="B26">
        <v>118726350.27</v>
      </c>
    </row>
    <row r="30" spans="1:17" x14ac:dyDescent="0.2">
      <c r="I30" s="4"/>
    </row>
    <row r="31" spans="1:17" ht="26" x14ac:dyDescent="0.2">
      <c r="I31" s="11" t="s">
        <v>2</v>
      </c>
      <c r="J31" s="9" t="s">
        <v>57</v>
      </c>
      <c r="K31" s="9" t="s">
        <v>87</v>
      </c>
      <c r="L31" s="10" t="s">
        <v>82</v>
      </c>
      <c r="M31" s="37" t="s">
        <v>92</v>
      </c>
      <c r="N31" s="9" t="s">
        <v>91</v>
      </c>
      <c r="O31" s="9" t="s">
        <v>80</v>
      </c>
      <c r="P31" s="9" t="s">
        <v>58</v>
      </c>
    </row>
    <row r="32" spans="1:17" ht="21" x14ac:dyDescent="0.2">
      <c r="I32" s="12" t="s">
        <v>42</v>
      </c>
      <c r="J32" s="12">
        <v>1290163.4400000002</v>
      </c>
      <c r="K32" s="12">
        <v>17747116.059999999</v>
      </c>
      <c r="L32" s="13">
        <v>19037279.5</v>
      </c>
      <c r="M32" s="41">
        <v>14933012</v>
      </c>
      <c r="N32" s="38">
        <v>2814104.0499999993</v>
      </c>
      <c r="O32" s="12">
        <v>155315</v>
      </c>
      <c r="P32" s="39">
        <f>GETPIVOTDATA("Sum of  Profit ",$I$31," Product "," Amarilla ")/GETPIVOTDATA("Sales ",$I$31," Product "," Amarilla ")</f>
        <v>0.1585668364643579</v>
      </c>
    </row>
    <row r="33" spans="9:16" ht="21" x14ac:dyDescent="0.2">
      <c r="I33" s="12" t="s">
        <v>17</v>
      </c>
      <c r="J33" s="12">
        <v>1122212.6199999999</v>
      </c>
      <c r="K33" s="12">
        <v>13815307.890000004</v>
      </c>
      <c r="L33" s="13">
        <v>14937520.5</v>
      </c>
      <c r="M33" s="41">
        <v>11988503</v>
      </c>
      <c r="N33" s="38">
        <v>1826804.8899999997</v>
      </c>
      <c r="O33" s="12">
        <v>146846</v>
      </c>
      <c r="P33" s="39">
        <f>GETPIVOTDATA("Sum of  Profit ",$I$31," Product "," Carretera ")/GETPIVOTDATA("Sales ",$I$31," Product "," Carretera ")</f>
        <v>0.13223048697469161</v>
      </c>
    </row>
    <row r="34" spans="9:16" ht="21" x14ac:dyDescent="0.2">
      <c r="I34" s="12" t="s">
        <v>26</v>
      </c>
      <c r="J34" s="12">
        <v>1159032.6200000001</v>
      </c>
      <c r="K34" s="12">
        <v>15390801.879999995</v>
      </c>
      <c r="L34" s="13">
        <v>16549834.5</v>
      </c>
      <c r="M34" s="41">
        <v>13276047</v>
      </c>
      <c r="N34" s="38">
        <v>2114754.8800000004</v>
      </c>
      <c r="O34" s="12">
        <v>154198</v>
      </c>
      <c r="P34" s="39">
        <f>GETPIVOTDATA("Sum of  Profit ",$I$31," Product "," Montana ")/GETPIVOTDATA("Sales ",$I$31," Product "," Montana ")</f>
        <v>0.13740381407599545</v>
      </c>
    </row>
    <row r="35" spans="9:16" ht="21" x14ac:dyDescent="0.2">
      <c r="I35" s="12" t="s">
        <v>36</v>
      </c>
      <c r="J35" s="12">
        <v>2600518.06</v>
      </c>
      <c r="K35" s="12">
        <v>33011143.950000007</v>
      </c>
      <c r="L35" s="13">
        <v>35611662</v>
      </c>
      <c r="M35" s="41">
        <v>28213706</v>
      </c>
      <c r="N35" s="38">
        <v>4797437.9399999995</v>
      </c>
      <c r="O35" s="12">
        <v>338239.5</v>
      </c>
      <c r="P35" s="39">
        <f>GETPIVOTDATA("Units Sold ",$I$31," Product "," Paseo ")/GETPIVOTDATA("Sales ",$I$31," Product "," Paseo ")</f>
        <v>1.0246221715682166E-2</v>
      </c>
    </row>
    <row r="36" spans="9:16" ht="21" x14ac:dyDescent="0.2">
      <c r="I36" s="12" t="s">
        <v>39</v>
      </c>
      <c r="J36" s="12">
        <v>1576709.0400000003</v>
      </c>
      <c r="K36" s="12">
        <v>18250059.470000003</v>
      </c>
      <c r="L36" s="13">
        <v>19826768.5</v>
      </c>
      <c r="M36" s="41">
        <v>15944067</v>
      </c>
      <c r="N36" s="38">
        <v>2305992.4699999997</v>
      </c>
      <c r="O36" s="12">
        <v>162424.5</v>
      </c>
      <c r="P36" s="39">
        <f>GETPIVOTDATA("Sum of  Profit ",$I$31," Product "," Velo ")/GETPIVOTDATA("Sales ",$I$31," Product "," Velo ")</f>
        <v>0.12635534003550289</v>
      </c>
    </row>
    <row r="37" spans="9:16" ht="21" x14ac:dyDescent="0.2">
      <c r="I37" s="12" t="s">
        <v>40</v>
      </c>
      <c r="J37" s="12">
        <v>1456612.4799999995</v>
      </c>
      <c r="K37" s="12">
        <v>20511921.02</v>
      </c>
      <c r="L37" s="13">
        <v>21968533.5</v>
      </c>
      <c r="M37" s="41">
        <v>17477313</v>
      </c>
      <c r="N37" s="38">
        <v>3034608.0200000005</v>
      </c>
      <c r="O37" s="12">
        <v>168783</v>
      </c>
      <c r="P37" s="39">
        <f>GETPIVOTDATA("Sum of  Profit ",$I$31," Product "," VTT ")/GETPIVOTDATA("Sales ",$I$31," Product "," VTT ")</f>
        <v>0.14794362834378741</v>
      </c>
    </row>
    <row r="49" spans="12:12" x14ac:dyDescent="0.2">
      <c r="L49" s="2"/>
    </row>
    <row r="50" spans="12:12" x14ac:dyDescent="0.2">
      <c r="L50" s="2"/>
    </row>
    <row r="51" spans="12:12" x14ac:dyDescent="0.2">
      <c r="L51" s="2"/>
    </row>
    <row r="52" spans="12:12" x14ac:dyDescent="0.2">
      <c r="L52" s="2"/>
    </row>
    <row r="53" spans="12:12" x14ac:dyDescent="0.2">
      <c r="L53" s="2"/>
    </row>
  </sheetData>
  <sortState xmlns:xlrd2="http://schemas.microsoft.com/office/spreadsheetml/2017/richdata2" ref="I31:P37">
    <sortCondition ref="I3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471EB-9AD9-CB4D-900C-C7D4B291944B}">
  <dimension ref="A1:M41"/>
  <sheetViews>
    <sheetView tabSelected="1" zoomScale="125" zoomScaleNormal="100" workbookViewId="0">
      <selection activeCell="B33" sqref="B33:D33"/>
    </sheetView>
  </sheetViews>
  <sheetFormatPr baseColWidth="10" defaultRowHeight="16" x14ac:dyDescent="0.2"/>
  <cols>
    <col min="5" max="5" width="18.6640625" bestFit="1" customWidth="1"/>
    <col min="6" max="6" width="15.33203125" customWidth="1"/>
    <col min="7" max="7" width="11.83203125" bestFit="1" customWidth="1"/>
    <col min="8" max="8" width="13.83203125" customWidth="1"/>
    <col min="9" max="9" width="16.83203125" customWidth="1"/>
    <col min="10" max="10" width="23" customWidth="1"/>
    <col min="11" max="11" width="12.33203125" customWidth="1"/>
    <col min="12" max="12" width="21.5" customWidth="1"/>
  </cols>
  <sheetData>
    <row r="1" spans="1:13" x14ac:dyDescent="0.2">
      <c r="A1" s="7" t="s">
        <v>61</v>
      </c>
      <c r="B1" s="7" t="s">
        <v>62</v>
      </c>
    </row>
    <row r="2" spans="1:13" x14ac:dyDescent="0.2">
      <c r="A2" t="s">
        <v>63</v>
      </c>
      <c r="B2" s="7" t="s">
        <v>64</v>
      </c>
    </row>
    <row r="3" spans="1:13" x14ac:dyDescent="0.2">
      <c r="A3" t="s">
        <v>65</v>
      </c>
      <c r="B3" s="7" t="s">
        <v>66</v>
      </c>
      <c r="F3" t="s">
        <v>58</v>
      </c>
      <c r="I3" s="7" t="s">
        <v>0</v>
      </c>
      <c r="J3" s="7" t="s">
        <v>77</v>
      </c>
      <c r="M3" t="s">
        <v>78</v>
      </c>
    </row>
    <row r="4" spans="1:13" x14ac:dyDescent="0.2">
      <c r="A4" t="s">
        <v>67</v>
      </c>
      <c r="B4" s="7" t="s">
        <v>68</v>
      </c>
      <c r="F4" s="6">
        <f>GETPIVOTDATA(" Profit ",Pivot!$C$3)/GETPIVOTDATA("  Sales ",Pivot!$A$3)</f>
        <v>0.14229109386064198</v>
      </c>
      <c r="I4" t="s">
        <v>15</v>
      </c>
      <c r="J4">
        <f>GETPIVOTDATA("  Sales ",Pivot!$I$7,"Segment","Channel Partners")</f>
        <v>1800593.6399999994</v>
      </c>
      <c r="L4" s="2"/>
      <c r="M4">
        <f>GETPIVOTDATA("  Sales ",Pivot!$I$7,"Segment","Channel Partners")</f>
        <v>1800593.6399999994</v>
      </c>
    </row>
    <row r="5" spans="1:13" x14ac:dyDescent="0.2">
      <c r="A5" t="s">
        <v>69</v>
      </c>
      <c r="B5" s="7" t="s">
        <v>70</v>
      </c>
      <c r="I5" t="s">
        <v>21</v>
      </c>
      <c r="J5">
        <f>GETPIVOTDATA("  Sales ",Pivot!$I$7,"Segment","Midmarket")</f>
        <v>2381883.08</v>
      </c>
      <c r="L5" s="2"/>
    </row>
    <row r="6" spans="1:13" x14ac:dyDescent="0.2">
      <c r="A6" t="s">
        <v>71</v>
      </c>
      <c r="B6" s="7" t="s">
        <v>72</v>
      </c>
      <c r="I6" t="s">
        <v>29</v>
      </c>
      <c r="J6">
        <f>GETPIVOTDATA("  Sales ",Pivot!$I$7,"Segment","Enterprise")</f>
        <v>19611694.379999999</v>
      </c>
      <c r="L6" s="2"/>
    </row>
    <row r="7" spans="1:13" x14ac:dyDescent="0.2">
      <c r="A7" t="s">
        <v>73</v>
      </c>
      <c r="B7" s="7" t="s">
        <v>74</v>
      </c>
      <c r="I7" t="s">
        <v>31</v>
      </c>
      <c r="J7">
        <f>GETPIVOTDATA("  Sales ",Pivot!$I$7,"Segment","Small Business")</f>
        <v>42427918.5</v>
      </c>
      <c r="L7" s="2"/>
    </row>
    <row r="8" spans="1:13" x14ac:dyDescent="0.2">
      <c r="A8" t="s">
        <v>75</v>
      </c>
      <c r="B8" s="7" t="s">
        <v>76</v>
      </c>
      <c r="I8" t="s">
        <v>28</v>
      </c>
      <c r="J8">
        <f>GETPIVOTDATA("  Sales ",Pivot!$I$7,"Segment","Government")</f>
        <v>52504260.670000032</v>
      </c>
      <c r="L8" s="2"/>
    </row>
    <row r="11" spans="1:13" x14ac:dyDescent="0.2">
      <c r="F11" s="2" t="s">
        <v>46</v>
      </c>
      <c r="G11">
        <f>GETPIVOTDATA(" Discounts ",Pivot!$I$20," Discount Band "," High ")</f>
        <v>245</v>
      </c>
    </row>
    <row r="12" spans="1:13" x14ac:dyDescent="0.2">
      <c r="F12" s="2" t="s">
        <v>43</v>
      </c>
      <c r="G12">
        <f>GETPIVOTDATA(" Discounts ",Pivot!$I$20," Discount Band "," Low ")</f>
        <v>160</v>
      </c>
    </row>
    <row r="13" spans="1:13" x14ac:dyDescent="0.2">
      <c r="F13" s="2" t="s">
        <v>45</v>
      </c>
      <c r="G13">
        <f>GETPIVOTDATA(" Discounts ",Pivot!$I$20," Discount Band "," Medium ")</f>
        <v>242</v>
      </c>
    </row>
    <row r="14" spans="1:13" x14ac:dyDescent="0.2">
      <c r="F14" s="2" t="s">
        <v>18</v>
      </c>
      <c r="G14">
        <f>GETPIVOTDATA(" Discounts ",Pivot!$I$20," Discount Band "," None ")</f>
        <v>53</v>
      </c>
    </row>
    <row r="33" spans="2:13" x14ac:dyDescent="0.2">
      <c r="B33" s="42"/>
      <c r="C33" s="42"/>
      <c r="D33" s="42"/>
      <c r="E33" s="42"/>
      <c r="F33" s="42"/>
      <c r="G33" s="42"/>
      <c r="H33" s="42"/>
      <c r="I33" s="42"/>
      <c r="J33" s="42"/>
      <c r="K33" s="42"/>
      <c r="L33" s="42"/>
      <c r="M33" s="42"/>
    </row>
    <row r="35" spans="2:13" ht="21" x14ac:dyDescent="0.2">
      <c r="D35" s="12"/>
      <c r="E35" s="12"/>
      <c r="F35" s="12"/>
      <c r="G35" s="12"/>
      <c r="H35" s="12"/>
      <c r="I35" s="12"/>
      <c r="J35" s="12"/>
      <c r="K35" s="12"/>
    </row>
    <row r="36" spans="2:13" ht="21" x14ac:dyDescent="0.2">
      <c r="D36" s="12"/>
      <c r="E36" s="13"/>
      <c r="F36" s="12"/>
      <c r="G36" s="12"/>
      <c r="H36" s="12"/>
      <c r="I36" s="12"/>
      <c r="J36" s="31"/>
      <c r="K36" s="12"/>
    </row>
    <row r="37" spans="2:13" ht="21" x14ac:dyDescent="0.2">
      <c r="D37" s="12"/>
      <c r="E37" s="13"/>
      <c r="F37" s="12"/>
      <c r="G37" s="12"/>
      <c r="H37" s="12"/>
      <c r="I37" s="12"/>
      <c r="J37" s="31"/>
      <c r="K37" s="12"/>
    </row>
    <row r="38" spans="2:13" ht="21" x14ac:dyDescent="0.2">
      <c r="D38" s="12"/>
      <c r="E38" s="13"/>
      <c r="F38" s="12"/>
      <c r="G38" s="12"/>
      <c r="H38" s="12"/>
      <c r="I38" s="12"/>
      <c r="J38" s="31"/>
      <c r="K38" s="12"/>
    </row>
    <row r="39" spans="2:13" ht="21" x14ac:dyDescent="0.2">
      <c r="D39" s="12"/>
      <c r="E39" s="13"/>
      <c r="F39" s="12"/>
      <c r="G39" s="12"/>
      <c r="H39" s="12"/>
      <c r="I39" s="12"/>
      <c r="J39" s="31"/>
      <c r="K39" s="12"/>
    </row>
    <row r="40" spans="2:13" ht="21" x14ac:dyDescent="0.2">
      <c r="D40" s="12"/>
      <c r="E40" s="13"/>
      <c r="F40" s="12"/>
      <c r="G40" s="12"/>
      <c r="H40" s="12"/>
      <c r="I40" s="12"/>
      <c r="J40" s="31"/>
      <c r="K40" s="12"/>
    </row>
    <row r="41" spans="2:13" ht="21" x14ac:dyDescent="0.2">
      <c r="D41" s="12"/>
      <c r="E41" s="13"/>
      <c r="F41" s="12"/>
      <c r="G41" s="12"/>
      <c r="H41" s="12"/>
      <c r="I41" s="12"/>
      <c r="J41" s="31"/>
      <c r="K41" s="12"/>
    </row>
  </sheetData>
  <sortState xmlns:xlrd2="http://schemas.microsoft.com/office/spreadsheetml/2017/richdata2" ref="J4:J8">
    <sortCondition ref="J4:J8"/>
  </sortState>
  <mergeCells count="4">
    <mergeCell ref="B33:D33"/>
    <mergeCell ref="E33:G33"/>
    <mergeCell ref="H33:J33"/>
    <mergeCell ref="K33:M33"/>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3BBB6-4C62-C949-A23E-448E774D06B0}">
  <dimension ref="B51:I57"/>
  <sheetViews>
    <sheetView showGridLines="0" showRowColHeaders="0" zoomScale="82" zoomScaleNormal="100" workbookViewId="0">
      <selection activeCell="G60" sqref="G60"/>
    </sheetView>
  </sheetViews>
  <sheetFormatPr baseColWidth="10" defaultRowHeight="16" x14ac:dyDescent="0.2"/>
  <cols>
    <col min="2" max="4" width="32.83203125" customWidth="1"/>
    <col min="5" max="5" width="32.33203125" customWidth="1"/>
    <col min="6" max="6" width="32.6640625" customWidth="1"/>
    <col min="7" max="7" width="32.33203125" customWidth="1"/>
    <col min="8" max="8" width="32" customWidth="1"/>
    <col min="9" max="9" width="22.6640625" customWidth="1"/>
    <col min="10" max="10" width="10.33203125" customWidth="1"/>
  </cols>
  <sheetData>
    <row r="51" spans="2:9" ht="24" x14ac:dyDescent="0.2">
      <c r="B51" s="14" t="s">
        <v>2</v>
      </c>
      <c r="C51" s="15" t="s">
        <v>81</v>
      </c>
      <c r="D51" s="16" t="s">
        <v>82</v>
      </c>
      <c r="E51" s="15" t="s">
        <v>83</v>
      </c>
      <c r="F51" s="16" t="s">
        <v>84</v>
      </c>
      <c r="G51" s="17" t="s">
        <v>85</v>
      </c>
      <c r="H51" s="15" t="s">
        <v>86</v>
      </c>
      <c r="I51" s="15" t="s">
        <v>80</v>
      </c>
    </row>
    <row r="52" spans="2:9" ht="19" x14ac:dyDescent="0.2">
      <c r="B52" s="18" t="str">
        <f>Pivot!I32</f>
        <v xml:space="preserve"> Amarilla </v>
      </c>
      <c r="C52" s="19">
        <f>GETPIVOTDATA("Sales ",Pivot!$I$32," Product "," Amarilla ")</f>
        <v>17747116.059999999</v>
      </c>
      <c r="D52" s="19">
        <f>GETPIVOTDATA("Gross Sales($)",Pivot!$I$31," Product "," Amarilla ")</f>
        <v>19037279.5</v>
      </c>
      <c r="E52" s="19">
        <f>GETPIVOTDATA("Sum of  COGS ",Pivot!$I$31," Product "," Amarilla ")</f>
        <v>14933012</v>
      </c>
      <c r="F52" s="19">
        <f>GETPIVOTDATA("Sum of  Discounts ",Pivot!$I$31," Product "," Amarilla ")</f>
        <v>1290163.4400000002</v>
      </c>
      <c r="G52" s="20">
        <f>GETPIVOTDATA("Sum of  Profit ",Pivot!$I$31," Product "," Amarilla ")</f>
        <v>2814104.0499999993</v>
      </c>
      <c r="H52" s="21">
        <f>Table4[[#This Row],[Profit($)]]/Table4[[#This Row],[Sales($)]]</f>
        <v>0.1585668364643579</v>
      </c>
      <c r="I52" s="33">
        <f>GETPIVOTDATA("Units Sold ",Pivot!$I$31," Product "," Amarilla ")</f>
        <v>155315</v>
      </c>
    </row>
    <row r="53" spans="2:9" ht="19" x14ac:dyDescent="0.2">
      <c r="B53" s="22" t="str">
        <f>Pivot!I33</f>
        <v xml:space="preserve"> Carretera </v>
      </c>
      <c r="C53" s="19">
        <f>GETPIVOTDATA("Sales ",Pivot!$I$31," Product "," Carretera ")</f>
        <v>13815307.890000004</v>
      </c>
      <c r="D53" s="19">
        <f>GETPIVOTDATA("Gross Sales($)",Pivot!$I$31," Product "," Carretera ")</f>
        <v>14937520.5</v>
      </c>
      <c r="E53" s="19">
        <f>GETPIVOTDATA("Sum of  COGS ",Pivot!$I$31," Product "," Carretera ")</f>
        <v>11988503</v>
      </c>
      <c r="F53" s="19">
        <f>GETPIVOTDATA("Sum of  Discounts ",Pivot!$I$31," Product "," Carretera ")</f>
        <v>1122212.6199999999</v>
      </c>
      <c r="G53" s="20">
        <f>GETPIVOTDATA("Sum of  Profit ",Pivot!$I$31," Product "," Carretera ")</f>
        <v>1826804.8899999997</v>
      </c>
      <c r="H53" s="21">
        <f>Table4[[#This Row],[Profit($)]]/Table4[[#This Row],[Sales($)]]</f>
        <v>0.13223048697469161</v>
      </c>
      <c r="I53" s="33">
        <f>GETPIVOTDATA("Units Sold ",Pivot!$I$31," Product "," Carretera ")</f>
        <v>146846</v>
      </c>
    </row>
    <row r="54" spans="2:9" ht="19" x14ac:dyDescent="0.2">
      <c r="B54" s="23" t="str">
        <f>Pivot!I34</f>
        <v xml:space="preserve"> Montana </v>
      </c>
      <c r="C54" s="19">
        <f>GETPIVOTDATA("Sales ",Pivot!$I$31," Product "," Montana ")</f>
        <v>15390801.879999995</v>
      </c>
      <c r="D54" s="19">
        <f>GETPIVOTDATA("Gross Sales($)",Pivot!$I$31," Product "," Montana ")</f>
        <v>16549834.5</v>
      </c>
      <c r="E54" s="19">
        <f>GETPIVOTDATA("Sum of  Profit ",Pivot!$I$31," Product "," Montana ")</f>
        <v>2114754.8800000004</v>
      </c>
      <c r="F54" s="19">
        <f>GETPIVOTDATA("Sum of  Discounts ",Pivot!$I$31," Product "," Montana ")</f>
        <v>1159032.6200000001</v>
      </c>
      <c r="G54" s="20">
        <f>GETPIVOTDATA("Sum of  Profit ",Pivot!$I$31," Product "," Montana ")</f>
        <v>2114754.8800000004</v>
      </c>
      <c r="H54" s="21">
        <f>Table4[[#This Row],[Profit($)]]/Table4[[#This Row],[Sales($)]]</f>
        <v>0.13740381407599545</v>
      </c>
      <c r="I54" s="33">
        <f>GETPIVOTDATA("Units Sold ",Pivot!$I$31," Product "," Montana ")</f>
        <v>154198</v>
      </c>
    </row>
    <row r="55" spans="2:9" ht="19" x14ac:dyDescent="0.2">
      <c r="B55" s="24" t="str">
        <f>Pivot!I35</f>
        <v xml:space="preserve"> Paseo </v>
      </c>
      <c r="C55" s="19">
        <f>GETPIVOTDATA("Sales ",Pivot!$I$31," Product "," Paseo ")</f>
        <v>33011143.950000007</v>
      </c>
      <c r="D55" s="19">
        <f>GETPIVOTDATA("Gross Sales($)",Pivot!$I$31," Product "," Paseo ")</f>
        <v>35611662</v>
      </c>
      <c r="E55" s="19">
        <f>GETPIVOTDATA("Sum of  COGS ",Pivot!$I$31," Product "," Paseo ")</f>
        <v>28213706</v>
      </c>
      <c r="F55" s="19">
        <f>GETPIVOTDATA("Sum of  Discounts ",Pivot!$I$31," Product "," Paseo ")</f>
        <v>2600518.06</v>
      </c>
      <c r="G55" s="20">
        <f>GETPIVOTDATA("Sum of  Profit ",Pivot!$I$31," Product "," Paseo ")</f>
        <v>4797437.9399999995</v>
      </c>
      <c r="H55" s="21">
        <f>Table4[[#This Row],[Profit($)]]/Table4[[#This Row],[Sales($)]]</f>
        <v>0.14532783072487249</v>
      </c>
      <c r="I55" s="33">
        <f>GETPIVOTDATA("Units Sold ",Pivot!$I$31," Product "," Paseo ")</f>
        <v>338239.5</v>
      </c>
    </row>
    <row r="56" spans="2:9" ht="19" x14ac:dyDescent="0.2">
      <c r="B56" s="18" t="str">
        <f>Pivot!I36</f>
        <v xml:space="preserve"> Velo </v>
      </c>
      <c r="C56" s="19">
        <f>GETPIVOTDATA("Sales ",Pivot!$I$31," Product "," Velo ")</f>
        <v>18250059.470000003</v>
      </c>
      <c r="D56" s="19">
        <f>GETPIVOTDATA("Gross Sales($)",Pivot!$I$31," Product "," Velo ")</f>
        <v>19826768.5</v>
      </c>
      <c r="E56" s="19">
        <f>GETPIVOTDATA("Sum of  COGS ",Pivot!$I$31," Product "," Velo ")</f>
        <v>15944067</v>
      </c>
      <c r="F56" s="19">
        <f>GETPIVOTDATA("Sum of  Discounts ",Pivot!$I$31," Product "," Velo ")</f>
        <v>1576709.0400000003</v>
      </c>
      <c r="G56" s="20">
        <f>GETPIVOTDATA("Sum of  Profit ",Pivot!$I$31," Product "," Velo ")</f>
        <v>2305992.4699999997</v>
      </c>
      <c r="H56" s="21">
        <f>Table4[[#This Row],[Profit($)]]/Table4[[#This Row],[Sales($)]]</f>
        <v>0.12635534003550289</v>
      </c>
      <c r="I56" s="33">
        <f>GETPIVOTDATA("Units Sold ",Pivot!$I$31," Product "," Velo ")</f>
        <v>162424.5</v>
      </c>
    </row>
    <row r="57" spans="2:9" ht="19" x14ac:dyDescent="0.2">
      <c r="B57" s="25" t="str">
        <f>Pivot!I37</f>
        <v xml:space="preserve"> VTT </v>
      </c>
      <c r="C57" s="19">
        <f>GETPIVOTDATA("Sales ",Pivot!$I$31," Product "," VTT ")</f>
        <v>20511921.02</v>
      </c>
      <c r="D57" s="19">
        <f>GETPIVOTDATA("Gross Sales($)",Pivot!$I$31," Product "," VTT ")</f>
        <v>21968533.5</v>
      </c>
      <c r="E57" s="19">
        <f>GETPIVOTDATA("Sum of  COGS ",Pivot!$I$31," Product "," VTT ")</f>
        <v>17477313</v>
      </c>
      <c r="F57" s="32">
        <f>GETPIVOTDATA("Sum of  Discounts ",Pivot!$I$31," Product "," VTT ")</f>
        <v>1456612.4799999995</v>
      </c>
      <c r="G57" s="20">
        <f>GETPIVOTDATA("Sum of  Profit ",Pivot!$I$31," Product "," VTT ")</f>
        <v>3034608.0200000005</v>
      </c>
      <c r="H57" s="21">
        <f>Table4[[#This Row],[Profit($)]]/Table4[[#This Row],[Sales($)]]</f>
        <v>0.14794362834378741</v>
      </c>
      <c r="I57" s="33">
        <f>GETPIVOTDATA("Units Sold ",Pivot!$I$31," Product "," VTT ")</f>
        <v>168783</v>
      </c>
    </row>
  </sheetData>
  <pageMargins left="0.7" right="0.7" top="0.75" bottom="0.75" header="0.3" footer="0.3"/>
  <pageSetup paperSize="9" orientation="portrait" horizontalDpi="0" verticalDpi="0"/>
  <ignoredErrors>
    <ignoredError sqref="C53:C57 D53:D57 E53:G57 I53:I57" calculatedColumn="1"/>
  </ignoredErrors>
  <drawing r:id="rId1"/>
  <tableParts count="1">
    <tablePart r:id="rId2"/>
  </tableParts>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BA5FDD-2DF1-BE48-90EC-166C1786A8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financial_data</vt:lpstr>
      <vt:lpstr>Pivot</vt:lpstr>
      <vt:lpstr>Helper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Jayesh B Bhadja</dc:creator>
  <cp:lastModifiedBy>Jayesh B Bhadja</cp:lastModifiedBy>
  <dcterms:created xsi:type="dcterms:W3CDTF">2026-06-18T10:36:26Z</dcterms:created>
  <dcterms:modified xsi:type="dcterms:W3CDTF">2026-09-27T18:12:52Z</dcterms:modified>
</cp:coreProperties>
</file>